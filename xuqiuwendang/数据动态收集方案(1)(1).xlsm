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8_{718AA23A-7B2D-4910-83C9-4B131AEBF6DB}" xr6:coauthVersionLast="47" xr6:coauthVersionMax="47" xr10:uidLastSave="{00000000-0000-0000-0000-000000000000}"/>
  <bookViews>
    <workbookView xWindow="-120" yWindow="-120" windowWidth="29040" windowHeight="15840" tabRatio="927" activeTab="9" xr2:uid="{00000000-000D-0000-FFFF-FFFF00000000}"/>
  </bookViews>
  <sheets>
    <sheet name="0-使用说明" sheetId="18" r:id="rId1"/>
    <sheet name="1-1 基本信息" sheetId="1" r:id="rId2"/>
    <sheet name="Sheet9" sheetId="10" state="hidden" r:id="rId3"/>
    <sheet name="1-2-1 绩效数据" sheetId="22" r:id="rId4"/>
    <sheet name="1-2-2 关键绩效" sheetId="2" r:id="rId5"/>
    <sheet name="1-3 关键能力得分" sheetId="3" r:id="rId6"/>
    <sheet name="1-4 关键专业" sheetId="4" r:id="rId7"/>
    <sheet name="1-5-2 关键经历得分汇总表" sheetId="17" state="hidden" r:id="rId8"/>
    <sheet name="1-5-1 关键经历积分对应表" sheetId="26" r:id="rId9"/>
    <sheet name="1-5-2 关键经历得分表" sheetId="25" r:id="rId10"/>
    <sheet name="1-6 风险因素" sheetId="9" r:id="rId11"/>
    <sheet name="2-个人报告" sheetId="6" r:id="rId12"/>
    <sheet name="3-团队报告" sheetId="7" r:id="rId13"/>
  </sheets>
  <definedNames>
    <definedName name="_xlnm._FilterDatabase" localSheetId="1" hidden="1">'1-1 基本信息'!$A$2:$Q$87</definedName>
    <definedName name="_xlnm._FilterDatabase" localSheetId="5" hidden="1">'1-3 关键能力得分'!$A$2:$S$2</definedName>
    <definedName name="_xlnm._FilterDatabase" localSheetId="10" hidden="1">'1-6 风险因素'!$A$2:$J$104</definedName>
    <definedName name="安全环保部">'1-4 关键专业'!$AO$3:$AO$15</definedName>
    <definedName name="财务资产部">'1-4 关键专业'!$AF$3:$AF$15</definedName>
    <definedName name="采气二厂">'1-4 关键专业'!$Q$3:$Q$15</definedName>
    <definedName name="采气一厂">'1-4 关键专业'!$P$3:$P$15</definedName>
    <definedName name="采油气服务中心">#REF!</definedName>
    <definedName name="采油气工程服务中心">'1-4 关键专业'!$V$3:$V$15</definedName>
    <definedName name="采油一厂">'1-4 关键专业'!$R$3:$R$15</definedName>
    <definedName name="层级">'1-4 关键专业'!$M$2:$M$3</definedName>
    <definedName name="党委办公室">'1-4 关键专业'!$AI$3:$AI$15</definedName>
    <definedName name="党委宣传部">'1-4 关键专业'!$AC$3:$AC$15</definedName>
    <definedName name="党委组织部">'1-4 关键专业'!#REF!</definedName>
    <definedName name="档案管理中心">'1-4 关键专业'!$AT$3:$AT$15</definedName>
    <definedName name="概预算中心">'1-4 关键专业'!$AH$3:$AH$15</definedName>
    <definedName name="工程技术管理部">'1-4 关键专业'!$S$3:$S$15</definedName>
    <definedName name="工会">'1-4 关键专业'!$AK$3:$AK$15</definedName>
    <definedName name="管理机关">#REF!</definedName>
    <definedName name="纪委监督部">'1-4 关键专业'!$AJ$3:$AJ$15</definedName>
    <definedName name="勘探开发研究院">'1-4 关键专业'!$N$3:$N$15</definedName>
    <definedName name="科技管理部">'1-4 关键专业'!$AP$3:$AP$15</definedName>
    <definedName name="科研生产">#REF!</definedName>
    <definedName name="培训中心_党校">'1-4 关键专业'!$Z$3:$Z$15</definedName>
    <definedName name="企管与法律部">'1-4 关键专业'!$AE$3:$AE$15</definedName>
    <definedName name="人力资源部">'1-4 关键专业'!$AD$3:$AD$15</definedName>
    <definedName name="设备管理部">'1-4 关键专业'!$AQ$3:$AQ$15</definedName>
    <definedName name="审计部">'1-4 关键专业'!$AN$3:$AN$15</definedName>
    <definedName name="生产运行管理部">'1-4 关键专业'!$U$3:$U$15</definedName>
    <definedName name="石油工程技术研究院">'1-4 关键专业'!$O$3:$O$15</definedName>
    <definedName name="石油工程监督中心">'1-4 关键专业'!$W$3:$W$15</definedName>
    <definedName name="首行">'1-4 关键专业'!$N$2:$AT$2</definedName>
    <definedName name="所在单位">#REF!</definedName>
    <definedName name="投资发展部">'1-4 关键专业'!$AG$3:$AG$15</definedName>
    <definedName name="物资供应中心">'1-4 关键专业'!$X$3:$X$15</definedName>
    <definedName name="新乡社区管理服务中心">'1-4 关键专业'!$AB$3:$AB$15</definedName>
    <definedName name="信息化管理中心">'1-4 关键专业'!$AS$3:$AS$15</definedName>
    <definedName name="油地工作保卫部">'1-4 关键专业'!$AR$3:$AR$15</definedName>
    <definedName name="油气开发管理部">'1-4 关键专业'!$T$3:$T$15</definedName>
    <definedName name="油气勘探管理部">'1-4 关键专业'!$AL$3:$AL$15</definedName>
    <definedName name="油气生产">#REF!</definedName>
    <definedName name="油气销售中心">'1-4 关键专业'!$Y$3:$Y$15</definedName>
    <definedName name="郑州社区管理服务中心">'1-4 关键专业'!$AA$3:$AA$15</definedName>
    <definedName name="总经理办公室">'1-4 关键专业'!$AM$3:$AM$15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3" i="4"/>
  <c r="D1" i="18" l="1"/>
  <c r="I2" i="26"/>
  <c r="J2" i="22"/>
  <c r="B449" i="26"/>
  <c r="B450" i="26" s="1"/>
  <c r="B446" i="26"/>
  <c r="B447" i="26" s="1"/>
  <c r="B443" i="26"/>
  <c r="B444" i="26" s="1"/>
  <c r="B440" i="26"/>
  <c r="B441" i="26" s="1"/>
  <c r="B437" i="26"/>
  <c r="B438" i="26" s="1"/>
  <c r="B434" i="26"/>
  <c r="B435" i="26" s="1"/>
  <c r="B431" i="26"/>
  <c r="B432" i="26" s="1"/>
  <c r="B428" i="26"/>
  <c r="B429" i="26" s="1"/>
  <c r="B425" i="26"/>
  <c r="B426" i="26" s="1"/>
  <c r="B422" i="26"/>
  <c r="B423" i="26" s="1"/>
  <c r="B419" i="26"/>
  <c r="B420" i="26" s="1"/>
  <c r="B416" i="26"/>
  <c r="B417" i="26" s="1"/>
  <c r="B413" i="26"/>
  <c r="B414" i="26" s="1"/>
  <c r="B410" i="26"/>
  <c r="B411" i="26" s="1"/>
  <c r="B407" i="26"/>
  <c r="B408" i="26" s="1"/>
  <c r="B404" i="26"/>
  <c r="B405" i="26" s="1"/>
  <c r="B401" i="26"/>
  <c r="B402" i="26" s="1"/>
  <c r="B397" i="26"/>
  <c r="B398" i="26" s="1"/>
  <c r="B394" i="26"/>
  <c r="B395" i="26" s="1"/>
  <c r="B391" i="26"/>
  <c r="B392" i="26" s="1"/>
  <c r="B388" i="26"/>
  <c r="B389" i="26" s="1"/>
  <c r="B385" i="26"/>
  <c r="B386" i="26" s="1"/>
  <c r="B382" i="26"/>
  <c r="B383" i="26" s="1"/>
  <c r="B379" i="26"/>
  <c r="B380" i="26" s="1"/>
  <c r="B376" i="26"/>
  <c r="B377" i="26" s="1"/>
  <c r="B373" i="26"/>
  <c r="B374" i="26" s="1"/>
  <c r="B371" i="26"/>
  <c r="B369" i="26"/>
  <c r="B366" i="26"/>
  <c r="B367" i="26" s="1"/>
  <c r="B363" i="26"/>
  <c r="B364" i="26" s="1"/>
  <c r="B357" i="26"/>
  <c r="B358" i="26" s="1"/>
  <c r="B354" i="26"/>
  <c r="B355" i="26" s="1"/>
  <c r="B351" i="26"/>
  <c r="B352" i="26" s="1"/>
  <c r="B348" i="26"/>
  <c r="B349" i="26" s="1"/>
  <c r="B345" i="26"/>
  <c r="B346" i="26" s="1"/>
  <c r="B342" i="26"/>
  <c r="B343" i="26" s="1"/>
  <c r="B339" i="26"/>
  <c r="B340" i="26" s="1"/>
  <c r="B336" i="26"/>
  <c r="B337" i="26" s="1"/>
  <c r="B333" i="26"/>
  <c r="B334" i="26" s="1"/>
  <c r="B331" i="26"/>
  <c r="B329" i="26"/>
  <c r="B326" i="26"/>
  <c r="B327" i="26" s="1"/>
  <c r="B323" i="26"/>
  <c r="B324" i="26" s="1"/>
  <c r="B318" i="26"/>
  <c r="B319" i="26" s="1"/>
  <c r="B315" i="26"/>
  <c r="B316" i="26" s="1"/>
  <c r="B312" i="26"/>
  <c r="B313" i="26" s="1"/>
  <c r="B309" i="26"/>
  <c r="B310" i="26" s="1"/>
  <c r="B306" i="26"/>
  <c r="B307" i="26" s="1"/>
  <c r="B303" i="26"/>
  <c r="B304" i="26" s="1"/>
  <c r="B300" i="26"/>
  <c r="B301" i="26" s="1"/>
  <c r="B297" i="26"/>
  <c r="B298" i="26" s="1"/>
  <c r="B295" i="26"/>
  <c r="B292" i="26"/>
  <c r="B293" i="26" s="1"/>
  <c r="B288" i="26"/>
  <c r="B289" i="26" s="1"/>
  <c r="B286" i="26"/>
  <c r="B285" i="26"/>
  <c r="B282" i="26"/>
  <c r="B283" i="26" s="1"/>
  <c r="B279" i="26"/>
  <c r="B280" i="26" s="1"/>
  <c r="B277" i="26"/>
  <c r="B276" i="26"/>
  <c r="B273" i="26"/>
  <c r="B274" i="26" s="1"/>
  <c r="B270" i="26"/>
  <c r="B271" i="26" s="1"/>
  <c r="B267" i="26"/>
  <c r="B268" i="26" s="1"/>
  <c r="B264" i="26"/>
  <c r="B265" i="26" s="1"/>
  <c r="B262" i="26"/>
  <c r="B260" i="26"/>
  <c r="B257" i="26"/>
  <c r="B258" i="26" s="1"/>
  <c r="B254" i="26"/>
  <c r="B255" i="26" s="1"/>
  <c r="B247" i="26"/>
  <c r="B248" i="26" s="1"/>
  <c r="B249" i="26" s="1"/>
  <c r="B250" i="26" s="1"/>
  <c r="B242" i="26"/>
  <c r="B243" i="26" s="1"/>
  <c r="B244" i="26" s="1"/>
  <c r="B245" i="26" s="1"/>
  <c r="B237" i="26"/>
  <c r="B238" i="26" s="1"/>
  <c r="B239" i="26" s="1"/>
  <c r="B240" i="26" s="1"/>
  <c r="B232" i="26"/>
  <c r="B233" i="26" s="1"/>
  <c r="B234" i="26" s="1"/>
  <c r="B235" i="26" s="1"/>
  <c r="B227" i="26"/>
  <c r="B228" i="26" s="1"/>
  <c r="B229" i="26" s="1"/>
  <c r="B230" i="26" s="1"/>
  <c r="B222" i="26"/>
  <c r="B223" i="26" s="1"/>
  <c r="B224" i="26" s="1"/>
  <c r="B225" i="26" s="1"/>
  <c r="B217" i="26"/>
  <c r="B218" i="26" s="1"/>
  <c r="B219" i="26" s="1"/>
  <c r="B220" i="26" s="1"/>
  <c r="B212" i="26"/>
  <c r="B213" i="26" s="1"/>
  <c r="B214" i="26" s="1"/>
  <c r="B215" i="26" s="1"/>
  <c r="B208" i="26"/>
  <c r="B209" i="26" s="1"/>
  <c r="B210" i="26" s="1"/>
  <c r="B205" i="26"/>
  <c r="B206" i="26" s="1"/>
  <c r="B204" i="26"/>
  <c r="B200" i="26"/>
  <c r="B201" i="26" s="1"/>
  <c r="B202" i="26" s="1"/>
  <c r="B196" i="26"/>
  <c r="B197" i="26" s="1"/>
  <c r="B198" i="26" s="1"/>
  <c r="B192" i="26"/>
  <c r="B193" i="26" s="1"/>
  <c r="B194" i="26" s="1"/>
  <c r="B188" i="26"/>
  <c r="B189" i="26" s="1"/>
  <c r="B190" i="26" s="1"/>
  <c r="B184" i="26"/>
  <c r="B185" i="26" s="1"/>
  <c r="B186" i="26" s="1"/>
  <c r="B180" i="26"/>
  <c r="B181" i="26" s="1"/>
  <c r="B182" i="26" s="1"/>
  <c r="B176" i="26"/>
  <c r="B177" i="26" s="1"/>
  <c r="B178" i="26" s="1"/>
  <c r="B172" i="26"/>
  <c r="B173" i="26" s="1"/>
  <c r="B174" i="26" s="1"/>
  <c r="B168" i="26"/>
  <c r="B169" i="26" s="1"/>
  <c r="B170" i="26" s="1"/>
  <c r="B164" i="26"/>
  <c r="B165" i="26" s="1"/>
  <c r="B166" i="26" s="1"/>
  <c r="B160" i="26"/>
  <c r="B161" i="26" s="1"/>
  <c r="B162" i="26" s="1"/>
  <c r="B156" i="26"/>
  <c r="B157" i="26" s="1"/>
  <c r="B158" i="26" s="1"/>
  <c r="B152" i="26"/>
  <c r="B153" i="26" s="1"/>
  <c r="B154" i="26" s="1"/>
  <c r="B148" i="26"/>
  <c r="B149" i="26" s="1"/>
  <c r="B150" i="26" s="1"/>
  <c r="B144" i="26"/>
  <c r="B145" i="26" s="1"/>
  <c r="B146" i="26" s="1"/>
  <c r="B140" i="26"/>
  <c r="B141" i="26" s="1"/>
  <c r="B142" i="26" s="1"/>
  <c r="B123" i="26"/>
  <c r="B124" i="26" s="1"/>
  <c r="B125" i="26" s="1"/>
  <c r="B126" i="26" s="1"/>
  <c r="B119" i="26"/>
  <c r="B120" i="26" s="1"/>
  <c r="B121" i="26" s="1"/>
  <c r="B118" i="26"/>
  <c r="B113" i="26"/>
  <c r="B114" i="26" s="1"/>
  <c r="B115" i="26" s="1"/>
  <c r="B116" i="26" s="1"/>
  <c r="B108" i="26"/>
  <c r="B109" i="26" s="1"/>
  <c r="B110" i="26" s="1"/>
  <c r="B111" i="26" s="1"/>
  <c r="B103" i="26"/>
  <c r="B104" i="26" s="1"/>
  <c r="B105" i="26" s="1"/>
  <c r="B106" i="26" s="1"/>
  <c r="B98" i="26"/>
  <c r="B99" i="26" s="1"/>
  <c r="B100" i="26" s="1"/>
  <c r="B101" i="26" s="1"/>
  <c r="B93" i="26"/>
  <c r="B94" i="26" s="1"/>
  <c r="B95" i="26" s="1"/>
  <c r="B96" i="26" s="1"/>
  <c r="A91" i="26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B88" i="26"/>
  <c r="B89" i="26" s="1"/>
  <c r="B90" i="26" s="1"/>
  <c r="B91" i="26" s="1"/>
  <c r="A88" i="26"/>
  <c r="A89" i="26" s="1"/>
  <c r="A85" i="26"/>
  <c r="A86" i="26" s="1"/>
  <c r="B84" i="26"/>
  <c r="B85" i="26" s="1"/>
  <c r="B86" i="26" s="1"/>
  <c r="A82" i="26"/>
  <c r="A83" i="26" s="1"/>
  <c r="B80" i="26"/>
  <c r="B81" i="26" s="1"/>
  <c r="B82" i="26" s="1"/>
  <c r="A79" i="26"/>
  <c r="A80" i="26" s="1"/>
  <c r="A77" i="26"/>
  <c r="B76" i="26"/>
  <c r="B77" i="26" s="1"/>
  <c r="B78" i="26" s="1"/>
  <c r="A76" i="26"/>
  <c r="B73" i="26"/>
  <c r="B74" i="26" s="1"/>
  <c r="A73" i="26"/>
  <c r="A74" i="26" s="1"/>
  <c r="B72" i="26"/>
  <c r="A70" i="26"/>
  <c r="A71" i="26" s="1"/>
  <c r="B68" i="26"/>
  <c r="B69" i="26" s="1"/>
  <c r="B70" i="26" s="1"/>
  <c r="A67" i="26"/>
  <c r="A68" i="26" s="1"/>
  <c r="B64" i="26"/>
  <c r="B65" i="26" s="1"/>
  <c r="B66" i="26" s="1"/>
  <c r="A64" i="26"/>
  <c r="A65" i="26" s="1"/>
  <c r="A61" i="26"/>
  <c r="A62" i="26" s="1"/>
  <c r="B60" i="26"/>
  <c r="B61" i="26" s="1"/>
  <c r="B62" i="26" s="1"/>
  <c r="A59" i="26"/>
  <c r="A58" i="26"/>
  <c r="B56" i="26"/>
  <c r="B57" i="26" s="1"/>
  <c r="B58" i="26" s="1"/>
  <c r="A56" i="26"/>
  <c r="A55" i="26"/>
  <c r="B52" i="26"/>
  <c r="B53" i="26" s="1"/>
  <c r="B54" i="26" s="1"/>
  <c r="A52" i="26"/>
  <c r="A53" i="26" s="1"/>
  <c r="A49" i="26"/>
  <c r="A50" i="26" s="1"/>
  <c r="B48" i="26"/>
  <c r="B49" i="26" s="1"/>
  <c r="B50" i="26" s="1"/>
  <c r="A46" i="26"/>
  <c r="A47" i="26" s="1"/>
  <c r="B44" i="26"/>
  <c r="B45" i="26" s="1"/>
  <c r="B46" i="26" s="1"/>
  <c r="A43" i="26"/>
  <c r="A44" i="26" s="1"/>
  <c r="B40" i="26"/>
  <c r="B41" i="26" s="1"/>
  <c r="B42" i="26" s="1"/>
  <c r="A40" i="26"/>
  <c r="A41" i="26" s="1"/>
  <c r="A37" i="26"/>
  <c r="A38" i="26" s="1"/>
  <c r="B36" i="26"/>
  <c r="B37" i="26" s="1"/>
  <c r="B38" i="26" s="1"/>
  <c r="A34" i="26"/>
  <c r="A35" i="26" s="1"/>
  <c r="B33" i="26"/>
  <c r="B34" i="26" s="1"/>
  <c r="B32" i="26"/>
  <c r="A31" i="26"/>
  <c r="A32" i="26" s="1"/>
  <c r="B28" i="26"/>
  <c r="B29" i="26" s="1"/>
  <c r="B30" i="26" s="1"/>
  <c r="A28" i="26"/>
  <c r="A29" i="26" s="1"/>
  <c r="A26" i="26"/>
  <c r="A25" i="26"/>
  <c r="B24" i="26"/>
  <c r="B25" i="26" s="1"/>
  <c r="B26" i="26" s="1"/>
  <c r="A22" i="26"/>
  <c r="A23" i="26" s="1"/>
  <c r="B20" i="26"/>
  <c r="B21" i="26" s="1"/>
  <c r="B22" i="26" s="1"/>
  <c r="A19" i="26"/>
  <c r="A20" i="26" s="1"/>
  <c r="B16" i="26"/>
  <c r="B17" i="26" s="1"/>
  <c r="B18" i="26" s="1"/>
  <c r="A16" i="26"/>
  <c r="A17" i="26" s="1"/>
  <c r="A14" i="26"/>
  <c r="A13" i="26"/>
  <c r="A10" i="26"/>
  <c r="A11" i="26" s="1"/>
  <c r="A7" i="26"/>
  <c r="A8" i="26" s="1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3" i="2"/>
  <c r="H102" i="22"/>
  <c r="H101" i="22"/>
  <c r="H100" i="22"/>
  <c r="H99" i="22"/>
  <c r="H98" i="22"/>
  <c r="H97" i="22"/>
  <c r="H96" i="22"/>
  <c r="H95" i="22"/>
  <c r="H94" i="22"/>
  <c r="H93" i="22"/>
  <c r="H92" i="22"/>
  <c r="H91" i="22"/>
  <c r="H90" i="22"/>
  <c r="H89" i="22"/>
  <c r="B89" i="22"/>
  <c r="H88" i="22"/>
  <c r="B88" i="22"/>
  <c r="H87" i="22"/>
  <c r="B87" i="22"/>
  <c r="H86" i="22"/>
  <c r="B86" i="22"/>
  <c r="H85" i="22"/>
  <c r="B85" i="22"/>
  <c r="H84" i="22"/>
  <c r="B84" i="22"/>
  <c r="H83" i="22"/>
  <c r="B83" i="22"/>
  <c r="H82" i="22"/>
  <c r="B82" i="22"/>
  <c r="H81" i="22"/>
  <c r="B81" i="22"/>
  <c r="H80" i="22"/>
  <c r="B80" i="22"/>
  <c r="H79" i="22"/>
  <c r="B79" i="22"/>
  <c r="H78" i="22"/>
  <c r="B78" i="22"/>
  <c r="H77" i="22"/>
  <c r="B77" i="22"/>
  <c r="H76" i="22"/>
  <c r="B76" i="22"/>
  <c r="H75" i="22"/>
  <c r="B75" i="22"/>
  <c r="H74" i="22"/>
  <c r="B74" i="22"/>
  <c r="H73" i="22"/>
  <c r="B73" i="22"/>
  <c r="H72" i="22"/>
  <c r="B72" i="22"/>
  <c r="H71" i="22"/>
  <c r="B71" i="22"/>
  <c r="H70" i="22"/>
  <c r="B70" i="22"/>
  <c r="H69" i="22"/>
  <c r="B69" i="22"/>
  <c r="H68" i="22"/>
  <c r="B68" i="22"/>
  <c r="H67" i="22"/>
  <c r="B67" i="22"/>
  <c r="H66" i="22"/>
  <c r="B66" i="22"/>
  <c r="H65" i="22"/>
  <c r="B65" i="22"/>
  <c r="H64" i="22"/>
  <c r="B64" i="22"/>
  <c r="H63" i="22"/>
  <c r="B63" i="22"/>
  <c r="H62" i="22"/>
  <c r="B62" i="22"/>
  <c r="H61" i="22"/>
  <c r="B61" i="22"/>
  <c r="H60" i="22"/>
  <c r="B60" i="22"/>
  <c r="H59" i="22"/>
  <c r="B59" i="22"/>
  <c r="H58" i="22"/>
  <c r="B58" i="22"/>
  <c r="H57" i="22"/>
  <c r="E57" i="22"/>
  <c r="B57" i="22"/>
  <c r="H56" i="22"/>
  <c r="E56" i="22"/>
  <c r="B56" i="22"/>
  <c r="H55" i="22"/>
  <c r="E55" i="22"/>
  <c r="B55" i="22"/>
  <c r="H54" i="22"/>
  <c r="E54" i="22"/>
  <c r="B54" i="22"/>
  <c r="H53" i="22"/>
  <c r="E53" i="22"/>
  <c r="B53" i="22"/>
  <c r="H52" i="22"/>
  <c r="E52" i="22"/>
  <c r="B52" i="22"/>
  <c r="H51" i="22"/>
  <c r="E51" i="22"/>
  <c r="B51" i="22"/>
  <c r="H50" i="22"/>
  <c r="E50" i="22"/>
  <c r="B50" i="22"/>
  <c r="H49" i="22"/>
  <c r="E49" i="22"/>
  <c r="B49" i="22"/>
  <c r="H48" i="22"/>
  <c r="E48" i="22"/>
  <c r="B48" i="22"/>
  <c r="H47" i="22"/>
  <c r="E47" i="22"/>
  <c r="B47" i="22"/>
  <c r="H46" i="22"/>
  <c r="E46" i="22"/>
  <c r="B46" i="22"/>
  <c r="H45" i="22"/>
  <c r="E45" i="22"/>
  <c r="B45" i="22"/>
  <c r="H44" i="22"/>
  <c r="E44" i="22"/>
  <c r="B44" i="22"/>
  <c r="H43" i="22"/>
  <c r="E43" i="22"/>
  <c r="B43" i="22"/>
  <c r="H42" i="22"/>
  <c r="E42" i="22"/>
  <c r="B42" i="22"/>
  <c r="H41" i="22"/>
  <c r="E41" i="22"/>
  <c r="B41" i="22"/>
  <c r="H40" i="22"/>
  <c r="E40" i="22"/>
  <c r="B40" i="22"/>
  <c r="H39" i="22"/>
  <c r="E39" i="22"/>
  <c r="B39" i="22"/>
  <c r="H38" i="22"/>
  <c r="E38" i="22"/>
  <c r="B38" i="22"/>
  <c r="H37" i="22"/>
  <c r="E37" i="22"/>
  <c r="B37" i="22"/>
  <c r="H36" i="22"/>
  <c r="E36" i="22"/>
  <c r="B36" i="22"/>
  <c r="H35" i="22"/>
  <c r="E35" i="22"/>
  <c r="B35" i="22"/>
  <c r="H34" i="22"/>
  <c r="E34" i="22"/>
  <c r="B34" i="22"/>
  <c r="H33" i="22"/>
  <c r="E33" i="22"/>
  <c r="B33" i="22"/>
  <c r="H32" i="22"/>
  <c r="E32" i="22"/>
  <c r="B32" i="22"/>
  <c r="H31" i="22"/>
  <c r="E31" i="22"/>
  <c r="B31" i="22"/>
  <c r="H30" i="22"/>
  <c r="E30" i="22"/>
  <c r="B30" i="22"/>
  <c r="H29" i="22"/>
  <c r="E29" i="22"/>
  <c r="B29" i="22"/>
  <c r="H28" i="22"/>
  <c r="E28" i="22"/>
  <c r="B28" i="22"/>
  <c r="H27" i="22"/>
  <c r="E27" i="22"/>
  <c r="B27" i="22"/>
  <c r="H26" i="22"/>
  <c r="E26" i="22"/>
  <c r="B26" i="22"/>
  <c r="H25" i="22"/>
  <c r="E25" i="22"/>
  <c r="B25" i="22"/>
  <c r="H24" i="22"/>
  <c r="E24" i="22"/>
  <c r="B24" i="22"/>
  <c r="H23" i="22"/>
  <c r="E23" i="22"/>
  <c r="B23" i="22"/>
  <c r="H22" i="22"/>
  <c r="E22" i="22"/>
  <c r="B22" i="22"/>
  <c r="H21" i="22"/>
  <c r="E21" i="22"/>
  <c r="B21" i="22"/>
  <c r="H20" i="22"/>
  <c r="E20" i="22"/>
  <c r="B20" i="22"/>
  <c r="H19" i="22"/>
  <c r="E19" i="22"/>
  <c r="B19" i="22"/>
  <c r="H18" i="22"/>
  <c r="E18" i="22"/>
  <c r="B18" i="22"/>
  <c r="H17" i="22"/>
  <c r="E17" i="22"/>
  <c r="B17" i="22"/>
  <c r="H16" i="22"/>
  <c r="E16" i="22"/>
  <c r="B16" i="22"/>
  <c r="H15" i="22"/>
  <c r="E15" i="22"/>
  <c r="B15" i="22"/>
  <c r="H14" i="22"/>
  <c r="E14" i="22"/>
  <c r="B14" i="22"/>
  <c r="H13" i="22"/>
  <c r="E13" i="22"/>
  <c r="B13" i="22"/>
  <c r="H12" i="22"/>
  <c r="E12" i="22"/>
  <c r="B12" i="22"/>
  <c r="H11" i="22"/>
  <c r="E11" i="22"/>
  <c r="B11" i="22"/>
  <c r="H10" i="22"/>
  <c r="E10" i="22"/>
  <c r="B10" i="22"/>
  <c r="H9" i="22"/>
  <c r="E9" i="22"/>
  <c r="B9" i="22"/>
  <c r="H8" i="22"/>
  <c r="E8" i="22"/>
  <c r="B8" i="22"/>
  <c r="H7" i="22"/>
  <c r="E7" i="22"/>
  <c r="B7" i="22"/>
  <c r="H6" i="22"/>
  <c r="E6" i="22"/>
  <c r="B6" i="22"/>
  <c r="H5" i="22"/>
  <c r="E5" i="22"/>
  <c r="B5" i="22"/>
  <c r="S1" i="2"/>
  <c r="L1" i="2"/>
  <c r="E1" i="2"/>
  <c r="D2" i="6" l="1"/>
  <c r="C31" i="6" l="1"/>
  <c r="S2" i="2"/>
  <c r="L2" i="2"/>
  <c r="A10" i="6"/>
  <c r="A9" i="6"/>
  <c r="A8" i="6"/>
  <c r="D11" i="7"/>
  <c r="D12" i="7"/>
  <c r="D105" i="9"/>
  <c r="D106" i="9"/>
  <c r="D107" i="9"/>
  <c r="D108" i="9"/>
  <c r="E108" i="9" s="1"/>
  <c r="D109" i="9"/>
  <c r="D110" i="9"/>
  <c r="D111" i="9"/>
  <c r="D112" i="9"/>
  <c r="E112" i="9" s="1"/>
  <c r="D113" i="9"/>
  <c r="D114" i="9"/>
  <c r="D115" i="9"/>
  <c r="D116" i="9"/>
  <c r="D117" i="9"/>
  <c r="D118" i="9"/>
  <c r="D119" i="9"/>
  <c r="D120" i="9"/>
  <c r="E120" i="9" s="1"/>
  <c r="D121" i="9"/>
  <c r="D122" i="9"/>
  <c r="D123" i="9"/>
  <c r="D124" i="9"/>
  <c r="E124" i="9" s="1"/>
  <c r="D125" i="9"/>
  <c r="D126" i="9"/>
  <c r="D127" i="9"/>
  <c r="D128" i="9"/>
  <c r="E128" i="9" s="1"/>
  <c r="D129" i="9"/>
  <c r="E129" i="9" s="1"/>
  <c r="D130" i="9"/>
  <c r="D131" i="9"/>
  <c r="D132" i="9"/>
  <c r="E132" i="9" s="1"/>
  <c r="D133" i="9"/>
  <c r="D134" i="9"/>
  <c r="D135" i="9"/>
  <c r="D136" i="9"/>
  <c r="E136" i="9" s="1"/>
  <c r="D137" i="9"/>
  <c r="E137" i="9" s="1"/>
  <c r="D138" i="9"/>
  <c r="D139" i="9"/>
  <c r="D140" i="9"/>
  <c r="E140" i="9" s="1"/>
  <c r="D141" i="9"/>
  <c r="E141" i="9" s="1"/>
  <c r="D142" i="9"/>
  <c r="D143" i="9"/>
  <c r="D144" i="9"/>
  <c r="E144" i="9" s="1"/>
  <c r="D145" i="9"/>
  <c r="D146" i="9"/>
  <c r="D147" i="9"/>
  <c r="D148" i="9"/>
  <c r="E148" i="9" s="1"/>
  <c r="D149" i="9"/>
  <c r="E149" i="9" s="1"/>
  <c r="D150" i="9"/>
  <c r="D151" i="9"/>
  <c r="D152" i="9"/>
  <c r="E152" i="9" s="1"/>
  <c r="D153" i="9"/>
  <c r="D154" i="9"/>
  <c r="D155" i="9"/>
  <c r="D156" i="9"/>
  <c r="E156" i="9" s="1"/>
  <c r="D157" i="9"/>
  <c r="D158" i="9"/>
  <c r="D159" i="9"/>
  <c r="D160" i="9"/>
  <c r="E160" i="9" s="1"/>
  <c r="D161" i="9"/>
  <c r="E161" i="9" s="1"/>
  <c r="D162" i="9"/>
  <c r="D163" i="9"/>
  <c r="D164" i="9"/>
  <c r="E164" i="9" s="1"/>
  <c r="D165" i="9"/>
  <c r="D166" i="9"/>
  <c r="D167" i="9"/>
  <c r="D168" i="9"/>
  <c r="E168" i="9" s="1"/>
  <c r="D169" i="9"/>
  <c r="D170" i="9"/>
  <c r="D171" i="9"/>
  <c r="D172" i="9"/>
  <c r="E172" i="9" s="1"/>
  <c r="D173" i="9"/>
  <c r="D174" i="9"/>
  <c r="D175" i="9"/>
  <c r="D176" i="9"/>
  <c r="E176" i="9" s="1"/>
  <c r="D177" i="9"/>
  <c r="D178" i="9"/>
  <c r="E178" i="9" s="1"/>
  <c r="D179" i="9"/>
  <c r="D180" i="9"/>
  <c r="E180" i="9" s="1"/>
  <c r="D181" i="9"/>
  <c r="D182" i="9"/>
  <c r="D183" i="9"/>
  <c r="D184" i="9"/>
  <c r="E184" i="9" s="1"/>
  <c r="D185" i="9"/>
  <c r="D186" i="9"/>
  <c r="D187" i="9"/>
  <c r="D188" i="9"/>
  <c r="E188" i="9" s="1"/>
  <c r="D189" i="9"/>
  <c r="D190" i="9"/>
  <c r="D191" i="9"/>
  <c r="D192" i="9"/>
  <c r="E192" i="9" s="1"/>
  <c r="D193" i="9"/>
  <c r="E193" i="9" s="1"/>
  <c r="D194" i="9"/>
  <c r="D195" i="9"/>
  <c r="D196" i="9"/>
  <c r="E196" i="9" s="1"/>
  <c r="D197" i="9"/>
  <c r="D198" i="9"/>
  <c r="D199" i="9"/>
  <c r="D200" i="9"/>
  <c r="E200" i="9" s="1"/>
  <c r="D201" i="9"/>
  <c r="E201" i="9" s="1"/>
  <c r="D202" i="9"/>
  <c r="D203" i="9"/>
  <c r="D204" i="9"/>
  <c r="E204" i="9" s="1"/>
  <c r="D205" i="9"/>
  <c r="E205" i="9" s="1"/>
  <c r="D206" i="9"/>
  <c r="D207" i="9"/>
  <c r="D208" i="9"/>
  <c r="E208" i="9" s="1"/>
  <c r="D209" i="9"/>
  <c r="E209" i="9" s="1"/>
  <c r="D210" i="9"/>
  <c r="E210" i="9" s="1"/>
  <c r="D211" i="9"/>
  <c r="D212" i="9"/>
  <c r="E212" i="9" s="1"/>
  <c r="D213" i="9"/>
  <c r="E213" i="9" s="1"/>
  <c r="D214" i="9"/>
  <c r="D215" i="9"/>
  <c r="D216" i="9"/>
  <c r="E216" i="9" s="1"/>
  <c r="D217" i="9"/>
  <c r="E217" i="9" s="1"/>
  <c r="D218" i="9"/>
  <c r="D219" i="9"/>
  <c r="D220" i="9"/>
  <c r="D221" i="9"/>
  <c r="D222" i="9"/>
  <c r="D223" i="9"/>
  <c r="D224" i="9"/>
  <c r="E224" i="9" s="1"/>
  <c r="D225" i="9"/>
  <c r="D226" i="9"/>
  <c r="D227" i="9"/>
  <c r="D228" i="9"/>
  <c r="E228" i="9" s="1"/>
  <c r="D229" i="9"/>
  <c r="D230" i="9"/>
  <c r="D231" i="9"/>
  <c r="D232" i="9"/>
  <c r="E232" i="9" s="1"/>
  <c r="D233" i="9"/>
  <c r="E233" i="9" s="1"/>
  <c r="D234" i="9"/>
  <c r="D235" i="9"/>
  <c r="D236" i="9"/>
  <c r="E236" i="9" s="1"/>
  <c r="D237" i="9"/>
  <c r="D238" i="9"/>
  <c r="D239" i="9"/>
  <c r="D240" i="9"/>
  <c r="E240" i="9" s="1"/>
  <c r="D241" i="9"/>
  <c r="E241" i="9" s="1"/>
  <c r="D242" i="9"/>
  <c r="D243" i="9"/>
  <c r="D244" i="9"/>
  <c r="E244" i="9" s="1"/>
  <c r="D245" i="9"/>
  <c r="D246" i="9"/>
  <c r="D247" i="9"/>
  <c r="D248" i="9"/>
  <c r="E248" i="9" s="1"/>
  <c r="D249" i="9"/>
  <c r="E249" i="9" s="1"/>
  <c r="D250" i="9"/>
  <c r="E250" i="9" s="1"/>
  <c r="D251" i="9"/>
  <c r="D252" i="9"/>
  <c r="E252" i="9" s="1"/>
  <c r="D253" i="9"/>
  <c r="D254" i="9"/>
  <c r="D255" i="9"/>
  <c r="D256" i="9"/>
  <c r="E256" i="9" s="1"/>
  <c r="D257" i="9"/>
  <c r="E257" i="9" s="1"/>
  <c r="D258" i="9"/>
  <c r="E258" i="9" s="1"/>
  <c r="D259" i="9"/>
  <c r="D260" i="9"/>
  <c r="E260" i="9" s="1"/>
  <c r="D261" i="9"/>
  <c r="D262" i="9"/>
  <c r="D263" i="9"/>
  <c r="D264" i="9"/>
  <c r="E264" i="9" s="1"/>
  <c r="D265" i="9"/>
  <c r="E265" i="9" s="1"/>
  <c r="D266" i="9"/>
  <c r="D267" i="9"/>
  <c r="D268" i="9"/>
  <c r="E268" i="9" s="1"/>
  <c r="D269" i="9"/>
  <c r="E269" i="9" s="1"/>
  <c r="D270" i="9"/>
  <c r="D271" i="9"/>
  <c r="D272" i="9"/>
  <c r="E272" i="9" s="1"/>
  <c r="D273" i="9"/>
  <c r="E273" i="9" s="1"/>
  <c r="D274" i="9"/>
  <c r="E274" i="9" s="1"/>
  <c r="D275" i="9"/>
  <c r="D276" i="9"/>
  <c r="E276" i="9" s="1"/>
  <c r="D277" i="9"/>
  <c r="E277" i="9" s="1"/>
  <c r="D278" i="9"/>
  <c r="D279" i="9"/>
  <c r="D280" i="9"/>
  <c r="E280" i="9" s="1"/>
  <c r="D281" i="9"/>
  <c r="E281" i="9" s="1"/>
  <c r="D282" i="9"/>
  <c r="D283" i="9"/>
  <c r="E283" i="9" s="1"/>
  <c r="D284" i="9"/>
  <c r="D285" i="9"/>
  <c r="D286" i="9"/>
  <c r="D287" i="9"/>
  <c r="D288" i="9"/>
  <c r="E288" i="9" s="1"/>
  <c r="D289" i="9"/>
  <c r="E289" i="9" s="1"/>
  <c r="D290" i="9"/>
  <c r="E290" i="9" s="1"/>
  <c r="D291" i="9"/>
  <c r="D292" i="9"/>
  <c r="E292" i="9" s="1"/>
  <c r="D293" i="9"/>
  <c r="D294" i="9"/>
  <c r="D295" i="9"/>
  <c r="D296" i="9"/>
  <c r="E296" i="9" s="1"/>
  <c r="D297" i="9"/>
  <c r="E297" i="9" s="1"/>
  <c r="D298" i="9"/>
  <c r="D299" i="9"/>
  <c r="D300" i="9"/>
  <c r="E300" i="9" s="1"/>
  <c r="D301" i="9"/>
  <c r="D302" i="9"/>
  <c r="D303" i="9"/>
  <c r="D304" i="9"/>
  <c r="E304" i="9" s="1"/>
  <c r="D305" i="9"/>
  <c r="E305" i="9" s="1"/>
  <c r="D306" i="9"/>
  <c r="E306" i="9" s="1"/>
  <c r="D307" i="9"/>
  <c r="D308" i="9"/>
  <c r="E308" i="9" s="1"/>
  <c r="D309" i="9"/>
  <c r="E309" i="9" s="1"/>
  <c r="D310" i="9"/>
  <c r="D311" i="9"/>
  <c r="D312" i="9"/>
  <c r="E312" i="9" s="1"/>
  <c r="D313" i="9"/>
  <c r="E313" i="9" s="1"/>
  <c r="D314" i="9"/>
  <c r="D315" i="9"/>
  <c r="E315" i="9" s="1"/>
  <c r="D316" i="9"/>
  <c r="E316" i="9" s="1"/>
  <c r="D317" i="9"/>
  <c r="D318" i="9"/>
  <c r="D319" i="9"/>
  <c r="D320" i="9"/>
  <c r="E320" i="9" s="1"/>
  <c r="D321" i="9"/>
  <c r="E321" i="9" s="1"/>
  <c r="D322" i="9"/>
  <c r="D323" i="9"/>
  <c r="D324" i="9"/>
  <c r="E324" i="9" s="1"/>
  <c r="D325" i="9"/>
  <c r="D326" i="9"/>
  <c r="D327" i="9"/>
  <c r="D328" i="9"/>
  <c r="E328" i="9" s="1"/>
  <c r="D329" i="9"/>
  <c r="E329" i="9" s="1"/>
  <c r="D330" i="9"/>
  <c r="D331" i="9"/>
  <c r="E331" i="9" s="1"/>
  <c r="D332" i="9"/>
  <c r="E332" i="9" s="1"/>
  <c r="D333" i="9"/>
  <c r="D334" i="9"/>
  <c r="D335" i="9"/>
  <c r="D336" i="9"/>
  <c r="E336" i="9" s="1"/>
  <c r="D337" i="9"/>
  <c r="E337" i="9" s="1"/>
  <c r="D338" i="9"/>
  <c r="E338" i="9" s="1"/>
  <c r="D339" i="9"/>
  <c r="D340" i="9"/>
  <c r="E340" i="9" s="1"/>
  <c r="D341" i="9"/>
  <c r="E341" i="9" s="1"/>
  <c r="D342" i="9"/>
  <c r="D343" i="9"/>
  <c r="D344" i="9"/>
  <c r="E344" i="9" s="1"/>
  <c r="D345" i="9"/>
  <c r="E345" i="9" s="1"/>
  <c r="D346" i="9"/>
  <c r="D347" i="9"/>
  <c r="D348" i="9"/>
  <c r="E348" i="9" s="1"/>
  <c r="D349" i="9"/>
  <c r="D350" i="9"/>
  <c r="D351" i="9"/>
  <c r="D352" i="9"/>
  <c r="E352" i="9" s="1"/>
  <c r="D353" i="9"/>
  <c r="E353" i="9" s="1"/>
  <c r="D354" i="9"/>
  <c r="E354" i="9" s="1"/>
  <c r="D355" i="9"/>
  <c r="E355" i="9" s="1"/>
  <c r="D356" i="9"/>
  <c r="E356" i="9" s="1"/>
  <c r="D357" i="9"/>
  <c r="D358" i="9"/>
  <c r="D359" i="9"/>
  <c r="D360" i="9"/>
  <c r="E360" i="9" s="1"/>
  <c r="D361" i="9"/>
  <c r="E361" i="9" s="1"/>
  <c r="D362" i="9"/>
  <c r="D363" i="9"/>
  <c r="E363" i="9" s="1"/>
  <c r="D364" i="9"/>
  <c r="E364" i="9" s="1"/>
  <c r="D365" i="9"/>
  <c r="D366" i="9"/>
  <c r="D367" i="9"/>
  <c r="D368" i="9"/>
  <c r="E368" i="9" s="1"/>
  <c r="D369" i="9"/>
  <c r="E369" i="9" s="1"/>
  <c r="D370" i="9"/>
  <c r="D371" i="9"/>
  <c r="D372" i="9"/>
  <c r="E372" i="9" s="1"/>
  <c r="D373" i="9"/>
  <c r="E373" i="9" s="1"/>
  <c r="D374" i="9"/>
  <c r="D375" i="9"/>
  <c r="D376" i="9"/>
  <c r="E376" i="9" s="1"/>
  <c r="D377" i="9"/>
  <c r="E377" i="9" s="1"/>
  <c r="D378" i="9"/>
  <c r="E378" i="9" s="1"/>
  <c r="D379" i="9"/>
  <c r="D380" i="9"/>
  <c r="E380" i="9" s="1"/>
  <c r="D381" i="9"/>
  <c r="D382" i="9"/>
  <c r="D383" i="9"/>
  <c r="D384" i="9"/>
  <c r="E384" i="9" s="1"/>
  <c r="D385" i="9"/>
  <c r="E385" i="9" s="1"/>
  <c r="D386" i="9"/>
  <c r="D387" i="9"/>
  <c r="E387" i="9" s="1"/>
  <c r="D388" i="9"/>
  <c r="E388" i="9" s="1"/>
  <c r="D389" i="9"/>
  <c r="D390" i="9"/>
  <c r="D391" i="9"/>
  <c r="D392" i="9"/>
  <c r="E392" i="9" s="1"/>
  <c r="D393" i="9"/>
  <c r="E393" i="9" s="1"/>
  <c r="D394" i="9"/>
  <c r="D395" i="9"/>
  <c r="D396" i="9"/>
  <c r="D397" i="9"/>
  <c r="E397" i="9" s="1"/>
  <c r="D398" i="9"/>
  <c r="D399" i="9"/>
  <c r="D400" i="9"/>
  <c r="E400" i="9" s="1"/>
  <c r="D401" i="9"/>
  <c r="E401" i="9" s="1"/>
  <c r="D402" i="9"/>
  <c r="E402" i="9" s="1"/>
  <c r="D403" i="9"/>
  <c r="E403" i="9" s="1"/>
  <c r="D404" i="9"/>
  <c r="E404" i="9" s="1"/>
  <c r="D405" i="9"/>
  <c r="E405" i="9" s="1"/>
  <c r="D406" i="9"/>
  <c r="D407" i="9"/>
  <c r="D408" i="9"/>
  <c r="E408" i="9" s="1"/>
  <c r="D409" i="9"/>
  <c r="E409" i="9" s="1"/>
  <c r="D410" i="9"/>
  <c r="D411" i="9"/>
  <c r="D412" i="9"/>
  <c r="D413" i="9"/>
  <c r="E413" i="9" s="1"/>
  <c r="D414" i="9"/>
  <c r="D415" i="9"/>
  <c r="D416" i="9"/>
  <c r="E416" i="9" s="1"/>
  <c r="D417" i="9"/>
  <c r="E417" i="9" s="1"/>
  <c r="D418" i="9"/>
  <c r="D419" i="9"/>
  <c r="D420" i="9"/>
  <c r="E420" i="9" s="1"/>
  <c r="D421" i="9"/>
  <c r="E421" i="9" s="1"/>
  <c r="D422" i="9"/>
  <c r="D423" i="9"/>
  <c r="D424" i="9"/>
  <c r="E424" i="9" s="1"/>
  <c r="D425" i="9"/>
  <c r="E425" i="9" s="1"/>
  <c r="D426" i="9"/>
  <c r="E426" i="9" s="1"/>
  <c r="D427" i="9"/>
  <c r="D428" i="9"/>
  <c r="E428" i="9" s="1"/>
  <c r="D429" i="9"/>
  <c r="E429" i="9" s="1"/>
  <c r="D430" i="9"/>
  <c r="D431" i="9"/>
  <c r="D432" i="9"/>
  <c r="E432" i="9" s="1"/>
  <c r="D433" i="9"/>
  <c r="E433" i="9" s="1"/>
  <c r="D434" i="9"/>
  <c r="D435" i="9"/>
  <c r="E435" i="9" s="1"/>
  <c r="D436" i="9"/>
  <c r="E436" i="9" s="1"/>
  <c r="D437" i="9"/>
  <c r="E437" i="9" s="1"/>
  <c r="D438" i="9"/>
  <c r="D439" i="9"/>
  <c r="D440" i="9"/>
  <c r="E440" i="9" s="1"/>
  <c r="D441" i="9"/>
  <c r="E441" i="9" s="1"/>
  <c r="D442" i="9"/>
  <c r="E442" i="9" s="1"/>
  <c r="D443" i="9"/>
  <c r="E443" i="9" s="1"/>
  <c r="D444" i="9"/>
  <c r="D445" i="9"/>
  <c r="D446" i="9"/>
  <c r="D447" i="9"/>
  <c r="D448" i="9"/>
  <c r="E448" i="9" s="1"/>
  <c r="D449" i="9"/>
  <c r="E449" i="9" s="1"/>
  <c r="D450" i="9"/>
  <c r="E450" i="9" s="1"/>
  <c r="D451" i="9"/>
  <c r="D452" i="9"/>
  <c r="E452" i="9" s="1"/>
  <c r="D453" i="9"/>
  <c r="E453" i="9" s="1"/>
  <c r="D454" i="9"/>
  <c r="D455" i="9"/>
  <c r="D456" i="9"/>
  <c r="E456" i="9" s="1"/>
  <c r="D457" i="9"/>
  <c r="E457" i="9" s="1"/>
  <c r="D458" i="9"/>
  <c r="D459" i="9"/>
  <c r="D460" i="9"/>
  <c r="E460" i="9" s="1"/>
  <c r="D461" i="9"/>
  <c r="D462" i="9"/>
  <c r="D463" i="9"/>
  <c r="D464" i="9"/>
  <c r="E464" i="9" s="1"/>
  <c r="D465" i="9"/>
  <c r="E465" i="9" s="1"/>
  <c r="D466" i="9"/>
  <c r="E466" i="9" s="1"/>
  <c r="D467" i="9"/>
  <c r="E467" i="9" s="1"/>
  <c r="D468" i="9"/>
  <c r="E468" i="9" s="1"/>
  <c r="D469" i="9"/>
  <c r="E469" i="9" s="1"/>
  <c r="D470" i="9"/>
  <c r="D471" i="9"/>
  <c r="D472" i="9"/>
  <c r="E472" i="9" s="1"/>
  <c r="D473" i="9"/>
  <c r="E473" i="9" s="1"/>
  <c r="D474" i="9"/>
  <c r="D475" i="9"/>
  <c r="E475" i="9" s="1"/>
  <c r="D476" i="9"/>
  <c r="E476" i="9" s="1"/>
  <c r="D477" i="9"/>
  <c r="E477" i="9" s="1"/>
  <c r="D478" i="9"/>
  <c r="D479" i="9"/>
  <c r="D480" i="9"/>
  <c r="E480" i="9" s="1"/>
  <c r="D481" i="9"/>
  <c r="E481" i="9" s="1"/>
  <c r="D482" i="9"/>
  <c r="D483" i="9"/>
  <c r="D484" i="9"/>
  <c r="E484" i="9" s="1"/>
  <c r="D485" i="9"/>
  <c r="E485" i="9" s="1"/>
  <c r="D486" i="9"/>
  <c r="D487" i="9"/>
  <c r="D488" i="9"/>
  <c r="E488" i="9" s="1"/>
  <c r="D489" i="9"/>
  <c r="E489" i="9" s="1"/>
  <c r="D490" i="9"/>
  <c r="E490" i="9" s="1"/>
  <c r="E105" i="9"/>
  <c r="E106" i="9"/>
  <c r="E107" i="9"/>
  <c r="E109" i="9"/>
  <c r="E110" i="9"/>
  <c r="E111" i="9"/>
  <c r="E113" i="9"/>
  <c r="E114" i="9"/>
  <c r="E115" i="9"/>
  <c r="E116" i="9"/>
  <c r="E117" i="9"/>
  <c r="E118" i="9"/>
  <c r="E119" i="9"/>
  <c r="E121" i="9"/>
  <c r="E122" i="9"/>
  <c r="E123" i="9"/>
  <c r="E125" i="9"/>
  <c r="E126" i="9"/>
  <c r="E127" i="9"/>
  <c r="E130" i="9"/>
  <c r="E131" i="9"/>
  <c r="E133" i="9"/>
  <c r="E134" i="9"/>
  <c r="E135" i="9"/>
  <c r="E138" i="9"/>
  <c r="E139" i="9"/>
  <c r="E142" i="9"/>
  <c r="E143" i="9"/>
  <c r="E145" i="9"/>
  <c r="E146" i="9"/>
  <c r="E147" i="9"/>
  <c r="E150" i="9"/>
  <c r="E151" i="9"/>
  <c r="E153" i="9"/>
  <c r="E154" i="9"/>
  <c r="E155" i="9"/>
  <c r="E157" i="9"/>
  <c r="E158" i="9"/>
  <c r="E159" i="9"/>
  <c r="E162" i="9"/>
  <c r="E163" i="9"/>
  <c r="E165" i="9"/>
  <c r="E166" i="9"/>
  <c r="E167" i="9"/>
  <c r="E169" i="9"/>
  <c r="E170" i="9"/>
  <c r="E171" i="9"/>
  <c r="E173" i="9"/>
  <c r="E174" i="9"/>
  <c r="E175" i="9"/>
  <c r="E177" i="9"/>
  <c r="E179" i="9"/>
  <c r="E181" i="9"/>
  <c r="E182" i="9"/>
  <c r="E183" i="9"/>
  <c r="E185" i="9"/>
  <c r="E186" i="9"/>
  <c r="E187" i="9"/>
  <c r="E189" i="9"/>
  <c r="E190" i="9"/>
  <c r="E191" i="9"/>
  <c r="E194" i="9"/>
  <c r="E195" i="9"/>
  <c r="E197" i="9"/>
  <c r="E198" i="9"/>
  <c r="E199" i="9"/>
  <c r="E202" i="9"/>
  <c r="E203" i="9"/>
  <c r="E206" i="9"/>
  <c r="E207" i="9"/>
  <c r="E211" i="9"/>
  <c r="E214" i="9"/>
  <c r="E215" i="9"/>
  <c r="E218" i="9"/>
  <c r="E219" i="9"/>
  <c r="E220" i="9"/>
  <c r="E221" i="9"/>
  <c r="E222" i="9"/>
  <c r="E223" i="9"/>
  <c r="E225" i="9"/>
  <c r="E226" i="9"/>
  <c r="E227" i="9"/>
  <c r="E229" i="9"/>
  <c r="E230" i="9"/>
  <c r="E231" i="9"/>
  <c r="E234" i="9"/>
  <c r="E235" i="9"/>
  <c r="E237" i="9"/>
  <c r="E238" i="9"/>
  <c r="E239" i="9"/>
  <c r="E242" i="9"/>
  <c r="E243" i="9"/>
  <c r="E245" i="9"/>
  <c r="E246" i="9"/>
  <c r="E247" i="9"/>
  <c r="E251" i="9"/>
  <c r="E253" i="9"/>
  <c r="E254" i="9"/>
  <c r="E255" i="9"/>
  <c r="E259" i="9"/>
  <c r="E261" i="9"/>
  <c r="E262" i="9"/>
  <c r="E263" i="9"/>
  <c r="E266" i="9"/>
  <c r="E267" i="9"/>
  <c r="E270" i="9"/>
  <c r="E271" i="9"/>
  <c r="E275" i="9"/>
  <c r="E278" i="9"/>
  <c r="E279" i="9"/>
  <c r="E282" i="9"/>
  <c r="E284" i="9"/>
  <c r="E285" i="9"/>
  <c r="E286" i="9"/>
  <c r="E287" i="9"/>
  <c r="E291" i="9"/>
  <c r="E293" i="9"/>
  <c r="E294" i="9"/>
  <c r="E295" i="9"/>
  <c r="E298" i="9"/>
  <c r="E299" i="9"/>
  <c r="E301" i="9"/>
  <c r="E302" i="9"/>
  <c r="E303" i="9"/>
  <c r="E307" i="9"/>
  <c r="E310" i="9"/>
  <c r="E311" i="9"/>
  <c r="E314" i="9"/>
  <c r="E317" i="9"/>
  <c r="E318" i="9"/>
  <c r="E319" i="9"/>
  <c r="E322" i="9"/>
  <c r="E323" i="9"/>
  <c r="E325" i="9"/>
  <c r="E326" i="9"/>
  <c r="E327" i="9"/>
  <c r="E330" i="9"/>
  <c r="E333" i="9"/>
  <c r="E334" i="9"/>
  <c r="E335" i="9"/>
  <c r="E339" i="9"/>
  <c r="E342" i="9"/>
  <c r="E343" i="9"/>
  <c r="E346" i="9"/>
  <c r="E347" i="9"/>
  <c r="E349" i="9"/>
  <c r="E350" i="9"/>
  <c r="E351" i="9"/>
  <c r="E357" i="9"/>
  <c r="E358" i="9"/>
  <c r="E359" i="9"/>
  <c r="E362" i="9"/>
  <c r="E365" i="9"/>
  <c r="E366" i="9"/>
  <c r="E367" i="9"/>
  <c r="E370" i="9"/>
  <c r="E371" i="9"/>
  <c r="E374" i="9"/>
  <c r="E375" i="9"/>
  <c r="E379" i="9"/>
  <c r="E381" i="9"/>
  <c r="E382" i="9"/>
  <c r="E383" i="9"/>
  <c r="E386" i="9"/>
  <c r="E389" i="9"/>
  <c r="E390" i="9"/>
  <c r="E391" i="9"/>
  <c r="E394" i="9"/>
  <c r="E395" i="9"/>
  <c r="E396" i="9"/>
  <c r="E398" i="9"/>
  <c r="E399" i="9"/>
  <c r="E406" i="9"/>
  <c r="E407" i="9"/>
  <c r="E410" i="9"/>
  <c r="E411" i="9"/>
  <c r="E412" i="9"/>
  <c r="E414" i="9"/>
  <c r="E415" i="9"/>
  <c r="E418" i="9"/>
  <c r="E419" i="9"/>
  <c r="E422" i="9"/>
  <c r="E423" i="9"/>
  <c r="E427" i="9"/>
  <c r="E430" i="9"/>
  <c r="E431" i="9"/>
  <c r="E434" i="9"/>
  <c r="E438" i="9"/>
  <c r="E439" i="9"/>
  <c r="E444" i="9"/>
  <c r="E445" i="9"/>
  <c r="E446" i="9"/>
  <c r="E447" i="9"/>
  <c r="E451" i="9"/>
  <c r="E454" i="9"/>
  <c r="E455" i="9"/>
  <c r="E458" i="9"/>
  <c r="E459" i="9"/>
  <c r="E461" i="9"/>
  <c r="E462" i="9"/>
  <c r="E463" i="9"/>
  <c r="E470" i="9"/>
  <c r="E471" i="9"/>
  <c r="E474" i="9"/>
  <c r="E478" i="9"/>
  <c r="E479" i="9"/>
  <c r="E482" i="9"/>
  <c r="E483" i="9"/>
  <c r="E486" i="9"/>
  <c r="E487" i="9"/>
  <c r="M4" i="1" l="1"/>
  <c r="N4" i="1"/>
  <c r="O4" i="1"/>
  <c r="P4" i="1"/>
  <c r="M5" i="1"/>
  <c r="N5" i="1"/>
  <c r="O5" i="1"/>
  <c r="P5" i="1"/>
  <c r="M6" i="1"/>
  <c r="N6" i="1"/>
  <c r="O6" i="1"/>
  <c r="P6" i="1"/>
  <c r="M7" i="1"/>
  <c r="N7" i="1"/>
  <c r="O7" i="1"/>
  <c r="P7" i="1"/>
  <c r="L8" i="1"/>
  <c r="M8" i="1"/>
  <c r="N8" i="1"/>
  <c r="O8" i="1"/>
  <c r="P8" i="1"/>
  <c r="L9" i="1"/>
  <c r="M9" i="1"/>
  <c r="N9" i="1"/>
  <c r="O9" i="1"/>
  <c r="P9" i="1"/>
  <c r="M10" i="1"/>
  <c r="N10" i="1"/>
  <c r="O10" i="1"/>
  <c r="P10" i="1"/>
  <c r="M11" i="1"/>
  <c r="N11" i="1"/>
  <c r="O11" i="1"/>
  <c r="P11" i="1"/>
  <c r="M12" i="1"/>
  <c r="N12" i="1"/>
  <c r="O12" i="1"/>
  <c r="P12" i="1"/>
  <c r="M13" i="1"/>
  <c r="N13" i="1"/>
  <c r="O13" i="1"/>
  <c r="P13" i="1"/>
  <c r="M14" i="1"/>
  <c r="N14" i="1"/>
  <c r="O14" i="1"/>
  <c r="P14" i="1"/>
  <c r="M15" i="1"/>
  <c r="N15" i="1"/>
  <c r="O15" i="1"/>
  <c r="P15" i="1"/>
  <c r="M16" i="1"/>
  <c r="N16" i="1"/>
  <c r="O16" i="1"/>
  <c r="P16" i="1"/>
  <c r="M17" i="1"/>
  <c r="N17" i="1"/>
  <c r="O17" i="1"/>
  <c r="P17" i="1"/>
  <c r="M18" i="1"/>
  <c r="N18" i="1"/>
  <c r="O18" i="1"/>
  <c r="P18" i="1"/>
  <c r="M19" i="1"/>
  <c r="N19" i="1"/>
  <c r="O19" i="1"/>
  <c r="P19" i="1"/>
  <c r="M20" i="1"/>
  <c r="N20" i="1"/>
  <c r="O20" i="1"/>
  <c r="P20" i="1"/>
  <c r="M21" i="1"/>
  <c r="N21" i="1"/>
  <c r="O21" i="1"/>
  <c r="P21" i="1"/>
  <c r="M22" i="1"/>
  <c r="N22" i="1"/>
  <c r="O22" i="1"/>
  <c r="P22" i="1"/>
  <c r="M23" i="1"/>
  <c r="N23" i="1"/>
  <c r="O23" i="1"/>
  <c r="P23" i="1"/>
  <c r="M24" i="1"/>
  <c r="N24" i="1"/>
  <c r="O24" i="1"/>
  <c r="P24" i="1"/>
  <c r="L25" i="1"/>
  <c r="M25" i="1"/>
  <c r="N25" i="1"/>
  <c r="O25" i="1"/>
  <c r="P25" i="1"/>
  <c r="M26" i="1"/>
  <c r="N26" i="1"/>
  <c r="O26" i="1"/>
  <c r="P26" i="1"/>
  <c r="M27" i="1"/>
  <c r="N27" i="1"/>
  <c r="O27" i="1"/>
  <c r="P27" i="1"/>
  <c r="M28" i="1"/>
  <c r="N28" i="1"/>
  <c r="O28" i="1"/>
  <c r="P28" i="1"/>
  <c r="M29" i="1"/>
  <c r="N29" i="1"/>
  <c r="O29" i="1"/>
  <c r="P29" i="1"/>
  <c r="M30" i="1"/>
  <c r="N30" i="1"/>
  <c r="O30" i="1"/>
  <c r="P30" i="1"/>
  <c r="M31" i="1"/>
  <c r="N31" i="1"/>
  <c r="O31" i="1"/>
  <c r="P31" i="1"/>
  <c r="M32" i="1"/>
  <c r="N32" i="1"/>
  <c r="O32" i="1"/>
  <c r="P32" i="1"/>
  <c r="M33" i="1"/>
  <c r="N33" i="1"/>
  <c r="O33" i="1"/>
  <c r="P33" i="1"/>
  <c r="M34" i="1"/>
  <c r="N34" i="1"/>
  <c r="O34" i="1"/>
  <c r="P34" i="1"/>
  <c r="M35" i="1"/>
  <c r="N35" i="1"/>
  <c r="O35" i="1"/>
  <c r="P35" i="1"/>
  <c r="M36" i="1"/>
  <c r="N36" i="1"/>
  <c r="O36" i="1"/>
  <c r="P36" i="1"/>
  <c r="M37" i="1"/>
  <c r="N37" i="1"/>
  <c r="O37" i="1"/>
  <c r="P37" i="1"/>
  <c r="M38" i="1"/>
  <c r="N38" i="1"/>
  <c r="O38" i="1"/>
  <c r="P38" i="1"/>
  <c r="M39" i="1"/>
  <c r="N39" i="1"/>
  <c r="O39" i="1"/>
  <c r="P39" i="1"/>
  <c r="L40" i="1"/>
  <c r="M40" i="1"/>
  <c r="N40" i="1"/>
  <c r="O40" i="1"/>
  <c r="P40" i="1"/>
  <c r="M41" i="1"/>
  <c r="N41" i="1"/>
  <c r="O41" i="1"/>
  <c r="P41" i="1"/>
  <c r="M42" i="1"/>
  <c r="N42" i="1"/>
  <c r="O42" i="1"/>
  <c r="P42" i="1"/>
  <c r="M43" i="1"/>
  <c r="N43" i="1"/>
  <c r="O43" i="1"/>
  <c r="P43" i="1"/>
  <c r="M44" i="1"/>
  <c r="N44" i="1"/>
  <c r="O44" i="1"/>
  <c r="P44" i="1"/>
  <c r="M45" i="1"/>
  <c r="N45" i="1"/>
  <c r="O45" i="1"/>
  <c r="P45" i="1"/>
  <c r="M46" i="1"/>
  <c r="N46" i="1"/>
  <c r="O46" i="1"/>
  <c r="P46" i="1"/>
  <c r="M47" i="1"/>
  <c r="N47" i="1"/>
  <c r="O47" i="1"/>
  <c r="P47" i="1"/>
  <c r="M48" i="1"/>
  <c r="N48" i="1"/>
  <c r="O48" i="1"/>
  <c r="P48" i="1"/>
  <c r="M49" i="1"/>
  <c r="N49" i="1"/>
  <c r="O49" i="1"/>
  <c r="P49" i="1"/>
  <c r="M50" i="1"/>
  <c r="N50" i="1"/>
  <c r="O50" i="1"/>
  <c r="P50" i="1"/>
  <c r="M51" i="1"/>
  <c r="N51" i="1"/>
  <c r="O51" i="1"/>
  <c r="P51" i="1"/>
  <c r="M52" i="1"/>
  <c r="N52" i="1"/>
  <c r="O52" i="1"/>
  <c r="P52" i="1"/>
  <c r="L53" i="1"/>
  <c r="M53" i="1"/>
  <c r="N53" i="1"/>
  <c r="O53" i="1"/>
  <c r="P53" i="1"/>
  <c r="L54" i="1"/>
  <c r="M54" i="1"/>
  <c r="N54" i="1"/>
  <c r="O54" i="1"/>
  <c r="P54" i="1"/>
  <c r="M55" i="1"/>
  <c r="N55" i="1"/>
  <c r="O55" i="1"/>
  <c r="P55" i="1"/>
  <c r="M56" i="1"/>
  <c r="N56" i="1"/>
  <c r="O56" i="1"/>
  <c r="P56" i="1"/>
  <c r="M57" i="1"/>
  <c r="N57" i="1"/>
  <c r="O57" i="1"/>
  <c r="P57" i="1"/>
  <c r="M58" i="1"/>
  <c r="N58" i="1"/>
  <c r="O58" i="1"/>
  <c r="P58" i="1"/>
  <c r="M59" i="1"/>
  <c r="N59" i="1"/>
  <c r="O59" i="1"/>
  <c r="P59" i="1"/>
  <c r="M60" i="1"/>
  <c r="N60" i="1"/>
  <c r="O60" i="1"/>
  <c r="P60" i="1"/>
  <c r="M61" i="1"/>
  <c r="N61" i="1"/>
  <c r="O61" i="1"/>
  <c r="P61" i="1"/>
  <c r="M62" i="1"/>
  <c r="N62" i="1"/>
  <c r="O62" i="1"/>
  <c r="P62" i="1"/>
  <c r="M63" i="1"/>
  <c r="N63" i="1"/>
  <c r="O63" i="1"/>
  <c r="P63" i="1"/>
  <c r="M64" i="1"/>
  <c r="N64" i="1"/>
  <c r="O64" i="1"/>
  <c r="P64" i="1"/>
  <c r="M65" i="1"/>
  <c r="N65" i="1"/>
  <c r="O65" i="1"/>
  <c r="P65" i="1"/>
  <c r="M66" i="1"/>
  <c r="N66" i="1"/>
  <c r="O66" i="1"/>
  <c r="P66" i="1"/>
  <c r="M67" i="1"/>
  <c r="N67" i="1"/>
  <c r="O67" i="1"/>
  <c r="P67" i="1"/>
  <c r="M68" i="1"/>
  <c r="N68" i="1"/>
  <c r="O68" i="1"/>
  <c r="P68" i="1"/>
  <c r="M69" i="1"/>
  <c r="N69" i="1"/>
  <c r="O69" i="1"/>
  <c r="P69" i="1"/>
  <c r="M70" i="1"/>
  <c r="N70" i="1"/>
  <c r="O70" i="1"/>
  <c r="P70" i="1"/>
  <c r="M71" i="1"/>
  <c r="N71" i="1"/>
  <c r="O71" i="1"/>
  <c r="P71" i="1"/>
  <c r="M72" i="1"/>
  <c r="N72" i="1"/>
  <c r="O72" i="1"/>
  <c r="P72" i="1"/>
  <c r="M73" i="1"/>
  <c r="N73" i="1"/>
  <c r="O73" i="1"/>
  <c r="P73" i="1"/>
  <c r="L74" i="1"/>
  <c r="M74" i="1"/>
  <c r="N74" i="1"/>
  <c r="O74" i="1"/>
  <c r="P74" i="1"/>
  <c r="M75" i="1"/>
  <c r="N75" i="1"/>
  <c r="O75" i="1"/>
  <c r="P75" i="1"/>
  <c r="M76" i="1"/>
  <c r="N76" i="1"/>
  <c r="O76" i="1"/>
  <c r="P76" i="1"/>
  <c r="M77" i="1"/>
  <c r="N77" i="1"/>
  <c r="O77" i="1"/>
  <c r="P77" i="1"/>
  <c r="M78" i="1"/>
  <c r="N78" i="1"/>
  <c r="O78" i="1"/>
  <c r="P78" i="1"/>
  <c r="M79" i="1"/>
  <c r="N79" i="1"/>
  <c r="O79" i="1"/>
  <c r="P79" i="1"/>
  <c r="M80" i="1"/>
  <c r="N80" i="1"/>
  <c r="O80" i="1"/>
  <c r="P80" i="1"/>
  <c r="M81" i="1"/>
  <c r="N81" i="1"/>
  <c r="O81" i="1"/>
  <c r="P81" i="1"/>
  <c r="M82" i="1"/>
  <c r="N82" i="1"/>
  <c r="O82" i="1"/>
  <c r="P82" i="1"/>
  <c r="M83" i="1"/>
  <c r="N83" i="1"/>
  <c r="O83" i="1"/>
  <c r="P83" i="1"/>
  <c r="M84" i="1"/>
  <c r="N84" i="1"/>
  <c r="O84" i="1"/>
  <c r="P84" i="1"/>
  <c r="M85" i="1"/>
  <c r="N85" i="1"/>
  <c r="O85" i="1"/>
  <c r="P85" i="1"/>
  <c r="M86" i="1"/>
  <c r="N86" i="1"/>
  <c r="O86" i="1"/>
  <c r="P86" i="1"/>
  <c r="L87" i="1"/>
  <c r="M87" i="1"/>
  <c r="N87" i="1"/>
  <c r="O87" i="1"/>
  <c r="P87" i="1"/>
  <c r="P3" i="1"/>
  <c r="O3" i="1"/>
  <c r="N3" i="1"/>
  <c r="M3" i="1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D29" i="9" s="1"/>
  <c r="B30" i="9"/>
  <c r="D30" i="9" s="1"/>
  <c r="B31" i="9"/>
  <c r="B32" i="9"/>
  <c r="B33" i="9"/>
  <c r="B34" i="9"/>
  <c r="B35" i="9"/>
  <c r="B36" i="9"/>
  <c r="B37" i="9"/>
  <c r="D37" i="9" s="1"/>
  <c r="B38" i="9"/>
  <c r="D38" i="9" s="1"/>
  <c r="E38" i="9" s="1"/>
  <c r="B39" i="9"/>
  <c r="B40" i="9"/>
  <c r="B41" i="9"/>
  <c r="B42" i="9"/>
  <c r="B43" i="9"/>
  <c r="B44" i="9"/>
  <c r="B45" i="9"/>
  <c r="D45" i="9" s="1"/>
  <c r="B46" i="9"/>
  <c r="D46" i="9" s="1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C3" i="9"/>
  <c r="B3" i="9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3" i="3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3" i="4"/>
  <c r="D60" i="9" l="1"/>
  <c r="D44" i="9"/>
  <c r="D28" i="9"/>
  <c r="D76" i="9"/>
  <c r="D68" i="9"/>
  <c r="D52" i="9"/>
  <c r="D36" i="9"/>
  <c r="D49" i="9"/>
  <c r="D41" i="9"/>
  <c r="D33" i="9"/>
  <c r="E33" i="9" s="1"/>
  <c r="D25" i="9"/>
  <c r="D100" i="9"/>
  <c r="D92" i="9"/>
  <c r="D99" i="9"/>
  <c r="D91" i="9"/>
  <c r="D75" i="9"/>
  <c r="D67" i="9"/>
  <c r="D59" i="9"/>
  <c r="D51" i="9"/>
  <c r="D43" i="9"/>
  <c r="D35" i="9"/>
  <c r="D27" i="9"/>
  <c r="D57" i="9"/>
  <c r="D56" i="9"/>
  <c r="E56" i="9" s="1"/>
  <c r="D48" i="9"/>
  <c r="D40" i="9"/>
  <c r="E40" i="9" s="1"/>
  <c r="D32" i="9"/>
  <c r="D24" i="9"/>
  <c r="E24" i="9" s="1"/>
  <c r="D84" i="9"/>
  <c r="E84" i="9" s="1"/>
  <c r="D97" i="9"/>
  <c r="E97" i="9" s="1"/>
  <c r="D89" i="9"/>
  <c r="D81" i="9"/>
  <c r="E81" i="9" s="1"/>
  <c r="D73" i="9"/>
  <c r="D65" i="9"/>
  <c r="D64" i="9"/>
  <c r="D101" i="9"/>
  <c r="E101" i="9" s="1"/>
  <c r="D93" i="9"/>
  <c r="D85" i="9"/>
  <c r="D77" i="9"/>
  <c r="D69" i="9"/>
  <c r="D61" i="9"/>
  <c r="D53" i="9"/>
  <c r="D83" i="9"/>
  <c r="E83" i="9" s="1"/>
  <c r="D104" i="9"/>
  <c r="E104" i="9" s="1"/>
  <c r="D80" i="9"/>
  <c r="D102" i="9"/>
  <c r="D86" i="9"/>
  <c r="D62" i="9"/>
  <c r="E62" i="9" s="1"/>
  <c r="D96" i="9"/>
  <c r="D72" i="9"/>
  <c r="D94" i="9"/>
  <c r="D78" i="9"/>
  <c r="D70" i="9"/>
  <c r="D54" i="9"/>
  <c r="D88" i="9"/>
  <c r="E88" i="9" s="1"/>
  <c r="D26" i="9"/>
  <c r="D14" i="7"/>
  <c r="D15" i="7"/>
  <c r="D13" i="7"/>
  <c r="D3" i="9"/>
  <c r="D98" i="9"/>
  <c r="E98" i="9" s="1"/>
  <c r="D82" i="9"/>
  <c r="D66" i="9"/>
  <c r="D50" i="9"/>
  <c r="D34" i="9"/>
  <c r="E34" i="9" s="1"/>
  <c r="D90" i="9"/>
  <c r="E90" i="9" s="1"/>
  <c r="D74" i="9"/>
  <c r="E74" i="9" s="1"/>
  <c r="D58" i="9"/>
  <c r="E58" i="9" s="1"/>
  <c r="D42" i="9"/>
  <c r="E42" i="9" s="1"/>
  <c r="D23" i="9"/>
  <c r="D103" i="9"/>
  <c r="E103" i="9" s="1"/>
  <c r="D95" i="9"/>
  <c r="D87" i="9"/>
  <c r="D79" i="9"/>
  <c r="D71" i="9"/>
  <c r="D63" i="9"/>
  <c r="E63" i="9" s="1"/>
  <c r="D55" i="9"/>
  <c r="D47" i="9"/>
  <c r="D39" i="9"/>
  <c r="E39" i="9" s="1"/>
  <c r="D31" i="9"/>
  <c r="D22" i="9"/>
  <c r="D14" i="9"/>
  <c r="D6" i="9"/>
  <c r="D21" i="9"/>
  <c r="D13" i="9"/>
  <c r="D5" i="9"/>
  <c r="E5" i="9" s="1"/>
  <c r="D20" i="9"/>
  <c r="D12" i="9"/>
  <c r="D4" i="9"/>
  <c r="D8" i="9"/>
  <c r="G27" i="7"/>
  <c r="I27" i="7" s="1"/>
  <c r="D17" i="9"/>
  <c r="D9" i="9"/>
  <c r="E9" i="9" s="1"/>
  <c r="D15" i="9"/>
  <c r="D7" i="9"/>
  <c r="G25" i="7"/>
  <c r="I25" i="7" s="1"/>
  <c r="G28" i="7"/>
  <c r="I28" i="7" s="1"/>
  <c r="G29" i="7"/>
  <c r="I29" i="7" s="1"/>
  <c r="D16" i="9"/>
  <c r="G24" i="7"/>
  <c r="J24" i="7" s="1"/>
  <c r="G20" i="7"/>
  <c r="I20" i="7" s="1"/>
  <c r="D18" i="9"/>
  <c r="D10" i="9"/>
  <c r="D19" i="9"/>
  <c r="D11" i="9"/>
  <c r="G21" i="7"/>
  <c r="I21" i="7" s="1"/>
  <c r="G22" i="7"/>
  <c r="J22" i="7" s="1"/>
  <c r="G30" i="7"/>
  <c r="J30" i="7" s="1"/>
  <c r="G23" i="7"/>
  <c r="I23" i="7" s="1"/>
  <c r="G31" i="7"/>
  <c r="I31" i="7" s="1"/>
  <c r="G32" i="7"/>
  <c r="J32" i="7" s="1"/>
  <c r="G18" i="7"/>
  <c r="I18" i="7" s="1"/>
  <c r="G26" i="7"/>
  <c r="I26" i="7" s="1"/>
  <c r="G19" i="7"/>
  <c r="I19" i="7" s="1"/>
  <c r="I24" i="7" l="1"/>
  <c r="E4" i="9"/>
  <c r="L77" i="1" s="1"/>
  <c r="E10" i="9"/>
  <c r="L27" i="1" s="1"/>
  <c r="E7" i="9"/>
  <c r="L12" i="1" s="1"/>
  <c r="J20" i="7"/>
  <c r="E17" i="9"/>
  <c r="L36" i="1" s="1"/>
  <c r="E3" i="9"/>
  <c r="E35" i="7"/>
  <c r="J36" i="7"/>
  <c r="I36" i="7"/>
  <c r="H36" i="7"/>
  <c r="J35" i="7"/>
  <c r="G36" i="7"/>
  <c r="I35" i="7"/>
  <c r="E36" i="7"/>
  <c r="H35" i="7"/>
  <c r="G35" i="7"/>
  <c r="E28" i="9"/>
  <c r="L58" i="1" s="1"/>
  <c r="E8" i="9"/>
  <c r="L18" i="1" s="1"/>
  <c r="L49" i="1"/>
  <c r="E85" i="9"/>
  <c r="L46" i="1" s="1"/>
  <c r="E30" i="9"/>
  <c r="L62" i="1" s="1"/>
  <c r="E95" i="9"/>
  <c r="L86" i="1" s="1"/>
  <c r="E99" i="9"/>
  <c r="L80" i="1" s="1"/>
  <c r="E82" i="9"/>
  <c r="L68" i="1" s="1"/>
  <c r="E11" i="9"/>
  <c r="L75" i="1" s="1"/>
  <c r="E29" i="9"/>
  <c r="L84" i="1" s="1"/>
  <c r="E93" i="9"/>
  <c r="L29" i="1" s="1"/>
  <c r="E46" i="9"/>
  <c r="L59" i="1" s="1"/>
  <c r="E49" i="9"/>
  <c r="L4" i="1" s="1"/>
  <c r="E52" i="9"/>
  <c r="L43" i="1" s="1"/>
  <c r="E43" i="9"/>
  <c r="L63" i="1" s="1"/>
  <c r="E31" i="9"/>
  <c r="L32" i="1" s="1"/>
  <c r="E41" i="9"/>
  <c r="L66" i="1" s="1"/>
  <c r="E19" i="9"/>
  <c r="L13" i="1" s="1"/>
  <c r="E12" i="9"/>
  <c r="L37" i="1" s="1"/>
  <c r="E37" i="9"/>
  <c r="L19" i="1" s="1"/>
  <c r="E26" i="9"/>
  <c r="L47" i="1" s="1"/>
  <c r="E67" i="9"/>
  <c r="L70" i="1" s="1"/>
  <c r="E54" i="9"/>
  <c r="L83" i="1" s="1"/>
  <c r="E47" i="9"/>
  <c r="L34" i="1" s="1"/>
  <c r="E32" i="9"/>
  <c r="L35" i="1" s="1"/>
  <c r="E57" i="9"/>
  <c r="L44" i="1" s="1"/>
  <c r="E68" i="9"/>
  <c r="L78" i="1" s="1"/>
  <c r="E59" i="9"/>
  <c r="L69" i="1" s="1"/>
  <c r="E20" i="9"/>
  <c r="L50" i="1" s="1"/>
  <c r="E45" i="9"/>
  <c r="L42" i="1" s="1"/>
  <c r="E36" i="9"/>
  <c r="L82" i="1" s="1"/>
  <c r="E70" i="9"/>
  <c r="L7" i="1" s="1"/>
  <c r="E55" i="9"/>
  <c r="L21" i="1" s="1"/>
  <c r="E48" i="9"/>
  <c r="L71" i="1" s="1"/>
  <c r="E73" i="9"/>
  <c r="L6" i="1" s="1"/>
  <c r="E100" i="9"/>
  <c r="L22" i="1" s="1"/>
  <c r="E91" i="9"/>
  <c r="L76" i="1" s="1"/>
  <c r="E18" i="9"/>
  <c r="L38" i="1" s="1"/>
  <c r="E15" i="9"/>
  <c r="L51" i="1" s="1"/>
  <c r="E53" i="9"/>
  <c r="L3" i="1" s="1"/>
  <c r="E76" i="9"/>
  <c r="L16" i="1" s="1"/>
  <c r="E78" i="9"/>
  <c r="L23" i="1" s="1"/>
  <c r="E64" i="9"/>
  <c r="L5" i="1" s="1"/>
  <c r="E66" i="9"/>
  <c r="L60" i="1" s="1"/>
  <c r="E23" i="9"/>
  <c r="L79" i="1" s="1"/>
  <c r="E44" i="9"/>
  <c r="L55" i="1" s="1"/>
  <c r="E13" i="9"/>
  <c r="L45" i="1" s="1"/>
  <c r="E61" i="9"/>
  <c r="L17" i="1" s="1"/>
  <c r="E6" i="9"/>
  <c r="E86" i="9"/>
  <c r="L20" i="1" s="1"/>
  <c r="E71" i="9"/>
  <c r="L64" i="1" s="1"/>
  <c r="E72" i="9"/>
  <c r="L73" i="1" s="1"/>
  <c r="E35" i="9"/>
  <c r="L11" i="1" s="1"/>
  <c r="E65" i="9"/>
  <c r="L14" i="1" s="1"/>
  <c r="E60" i="9"/>
  <c r="L85" i="1" s="1"/>
  <c r="E21" i="9"/>
  <c r="L33" i="1" s="1"/>
  <c r="E69" i="9"/>
  <c r="L15" i="1" s="1"/>
  <c r="E14" i="9"/>
  <c r="L72" i="1" s="1"/>
  <c r="E94" i="9"/>
  <c r="E79" i="9"/>
  <c r="L24" i="1" s="1"/>
  <c r="E80" i="9"/>
  <c r="L57" i="1" s="1"/>
  <c r="E51" i="9"/>
  <c r="L30" i="1" s="1"/>
  <c r="E89" i="9"/>
  <c r="L56" i="1" s="1"/>
  <c r="E92" i="9"/>
  <c r="L67" i="1" s="1"/>
  <c r="E16" i="9"/>
  <c r="L61" i="1" s="1"/>
  <c r="E27" i="9"/>
  <c r="L39" i="1" s="1"/>
  <c r="E77" i="9"/>
  <c r="L28" i="1" s="1"/>
  <c r="E22" i="9"/>
  <c r="L26" i="1" s="1"/>
  <c r="E102" i="9"/>
  <c r="L65" i="1" s="1"/>
  <c r="E87" i="9"/>
  <c r="L31" i="1" s="1"/>
  <c r="E96" i="9"/>
  <c r="L10" i="1" s="1"/>
  <c r="E75" i="9"/>
  <c r="L48" i="1" s="1"/>
  <c r="E50" i="9"/>
  <c r="L81" i="1" s="1"/>
  <c r="E25" i="9"/>
  <c r="L41" i="1" s="1"/>
  <c r="J25" i="7"/>
  <c r="J27" i="7"/>
  <c r="J28" i="7"/>
  <c r="J29" i="7"/>
  <c r="I30" i="7"/>
  <c r="J31" i="7"/>
  <c r="I22" i="7"/>
  <c r="J21" i="7"/>
  <c r="J23" i="7"/>
  <c r="I32" i="7"/>
  <c r="J19" i="7"/>
  <c r="J18" i="7"/>
  <c r="J26" i="7"/>
  <c r="J37" i="7" l="1"/>
  <c r="H37" i="7"/>
  <c r="I37" i="7"/>
  <c r="G37" i="7"/>
  <c r="E37" i="7"/>
  <c r="L52" i="1"/>
  <c r="I2" i="7"/>
  <c r="F2" i="7"/>
  <c r="C34" i="6" l="1"/>
  <c r="E40" i="7"/>
  <c r="E39" i="7"/>
  <c r="E38" i="7"/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3" i="2"/>
  <c r="S4" i="3" l="1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D28" i="6" s="1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3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D4" i="2" l="1"/>
  <c r="D7" i="2"/>
  <c r="D10" i="2"/>
  <c r="D11" i="2"/>
  <c r="D14" i="2"/>
  <c r="D15" i="2"/>
  <c r="D16" i="2"/>
  <c r="D22" i="2"/>
  <c r="D26" i="2"/>
  <c r="D27" i="2"/>
  <c r="D28" i="2"/>
  <c r="D33" i="2"/>
  <c r="D35" i="2"/>
  <c r="D38" i="2"/>
  <c r="D40" i="2"/>
  <c r="D41" i="2"/>
  <c r="D42" i="2"/>
  <c r="D43" i="2"/>
  <c r="D44" i="2"/>
  <c r="D46" i="2"/>
  <c r="D47" i="2"/>
  <c r="D49" i="2"/>
  <c r="D50" i="2"/>
  <c r="D51" i="2"/>
  <c r="D52" i="2"/>
  <c r="D59" i="2"/>
  <c r="D62" i="2"/>
  <c r="D68" i="2"/>
  <c r="D71" i="2"/>
  <c r="D74" i="2"/>
  <c r="D75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3" i="2"/>
  <c r="B4" i="6"/>
  <c r="B4" i="2"/>
  <c r="B7" i="2"/>
  <c r="B10" i="2"/>
  <c r="B11" i="2"/>
  <c r="B14" i="2"/>
  <c r="B15" i="2"/>
  <c r="B16" i="2"/>
  <c r="B22" i="2"/>
  <c r="B26" i="2"/>
  <c r="B27" i="2"/>
  <c r="B28" i="2"/>
  <c r="B33" i="2"/>
  <c r="B35" i="2"/>
  <c r="B38" i="2"/>
  <c r="B40" i="2"/>
  <c r="B41" i="2"/>
  <c r="B42" i="2"/>
  <c r="B43" i="2"/>
  <c r="B44" i="2"/>
  <c r="B46" i="2"/>
  <c r="B47" i="2"/>
  <c r="B49" i="2"/>
  <c r="B50" i="2"/>
  <c r="B51" i="2"/>
  <c r="B52" i="2"/>
  <c r="B59" i="2"/>
  <c r="B62" i="2"/>
  <c r="B68" i="2"/>
  <c r="B71" i="2"/>
  <c r="B74" i="2"/>
  <c r="B75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3" i="2"/>
  <c r="T4" i="2"/>
  <c r="D4" i="6"/>
  <c r="U94" i="2"/>
  <c r="V105" i="2"/>
  <c r="V121" i="2"/>
  <c r="V137" i="2"/>
  <c r="V153" i="2"/>
  <c r="V169" i="2"/>
  <c r="U185" i="2"/>
  <c r="U201" i="2"/>
  <c r="U217" i="2"/>
  <c r="T230" i="2"/>
  <c r="T231" i="2"/>
  <c r="T232" i="2"/>
  <c r="T233" i="2"/>
  <c r="T238" i="2"/>
  <c r="T239" i="2"/>
  <c r="T240" i="2"/>
  <c r="T241" i="2"/>
  <c r="T246" i="2"/>
  <c r="T247" i="2"/>
  <c r="T248" i="2"/>
  <c r="T249" i="2"/>
  <c r="T254" i="2"/>
  <c r="T255" i="2"/>
  <c r="T256" i="2"/>
  <c r="T257" i="2"/>
  <c r="T262" i="2"/>
  <c r="T263" i="2"/>
  <c r="T264" i="2"/>
  <c r="T265" i="2"/>
  <c r="T270" i="2"/>
  <c r="T271" i="2"/>
  <c r="T272" i="2"/>
  <c r="T273" i="2"/>
  <c r="T278" i="2"/>
  <c r="T279" i="2"/>
  <c r="T280" i="2"/>
  <c r="T281" i="2"/>
  <c r="T286" i="2"/>
  <c r="T287" i="2"/>
  <c r="T288" i="2"/>
  <c r="T289" i="2"/>
  <c r="T294" i="2"/>
  <c r="T295" i="2"/>
  <c r="T296" i="2"/>
  <c r="T297" i="2"/>
  <c r="T302" i="2"/>
  <c r="T303" i="2"/>
  <c r="T304" i="2"/>
  <c r="T305" i="2"/>
  <c r="T310" i="2"/>
  <c r="T311" i="2"/>
  <c r="T312" i="2"/>
  <c r="T313" i="2"/>
  <c r="T318" i="2"/>
  <c r="T319" i="2"/>
  <c r="T320" i="2"/>
  <c r="T321" i="2"/>
  <c r="T326" i="2"/>
  <c r="T327" i="2"/>
  <c r="T328" i="2"/>
  <c r="T329" i="2"/>
  <c r="T334" i="2"/>
  <c r="T335" i="2"/>
  <c r="T336" i="2"/>
  <c r="T337" i="2"/>
  <c r="T342" i="2"/>
  <c r="T343" i="2"/>
  <c r="T344" i="2"/>
  <c r="T345" i="2"/>
  <c r="T350" i="2"/>
  <c r="T351" i="2"/>
  <c r="T352" i="2"/>
  <c r="T353" i="2"/>
  <c r="T358" i="2"/>
  <c r="T359" i="2"/>
  <c r="T360" i="2"/>
  <c r="T361" i="2"/>
  <c r="T366" i="2"/>
  <c r="T367" i="2"/>
  <c r="T368" i="2"/>
  <c r="T369" i="2"/>
  <c r="T374" i="2"/>
  <c r="T375" i="2"/>
  <c r="T376" i="2"/>
  <c r="T377" i="2"/>
  <c r="T382" i="2"/>
  <c r="T383" i="2"/>
  <c r="T384" i="2"/>
  <c r="T385" i="2"/>
  <c r="T390" i="2"/>
  <c r="T391" i="2"/>
  <c r="T392" i="2"/>
  <c r="T393" i="2"/>
  <c r="T398" i="2"/>
  <c r="T399" i="2"/>
  <c r="T400" i="2"/>
  <c r="T401" i="2"/>
  <c r="T406" i="2"/>
  <c r="T407" i="2"/>
  <c r="T408" i="2"/>
  <c r="T409" i="2"/>
  <c r="T414" i="2"/>
  <c r="T415" i="2"/>
  <c r="T416" i="2"/>
  <c r="T417" i="2"/>
  <c r="F4" i="2"/>
  <c r="F5" i="2"/>
  <c r="F6" i="2"/>
  <c r="F7" i="2"/>
  <c r="F9" i="2"/>
  <c r="F10" i="2"/>
  <c r="F11" i="2"/>
  <c r="F13" i="2"/>
  <c r="F14" i="2"/>
  <c r="F15" i="2"/>
  <c r="F17" i="2"/>
  <c r="F18" i="2"/>
  <c r="F21" i="2"/>
  <c r="F22" i="2"/>
  <c r="F24" i="2"/>
  <c r="F25" i="2"/>
  <c r="F26" i="2"/>
  <c r="F29" i="2"/>
  <c r="F30" i="2"/>
  <c r="F33" i="2"/>
  <c r="F34" i="2"/>
  <c r="F37" i="2"/>
  <c r="F38" i="2"/>
  <c r="F41" i="2"/>
  <c r="F42" i="2"/>
  <c r="F45" i="2"/>
  <c r="F46" i="2"/>
  <c r="F49" i="2"/>
  <c r="F50" i="2"/>
  <c r="F53" i="2"/>
  <c r="F54" i="2"/>
  <c r="F57" i="2"/>
  <c r="F58" i="2"/>
  <c r="F61" i="2"/>
  <c r="F62" i="2"/>
  <c r="F65" i="2"/>
  <c r="F66" i="2"/>
  <c r="F69" i="2"/>
  <c r="F70" i="2"/>
  <c r="F73" i="2"/>
  <c r="F74" i="2"/>
  <c r="F77" i="2"/>
  <c r="F78" i="2"/>
  <c r="F81" i="2"/>
  <c r="F82" i="2"/>
  <c r="F85" i="2"/>
  <c r="F86" i="2"/>
  <c r="M6" i="2"/>
  <c r="M26" i="2"/>
  <c r="M30" i="2"/>
  <c r="M34" i="2"/>
  <c r="M38" i="2"/>
  <c r="M84" i="2"/>
  <c r="V42" i="2" l="1"/>
  <c r="V49" i="2"/>
  <c r="H3" i="2"/>
  <c r="M81" i="2"/>
  <c r="N81" i="2" s="1"/>
  <c r="O81" i="2"/>
  <c r="M73" i="2"/>
  <c r="O73" i="2"/>
  <c r="M65" i="2"/>
  <c r="O65" i="2"/>
  <c r="M57" i="2"/>
  <c r="O57" i="2"/>
  <c r="M49" i="2"/>
  <c r="O49" i="2"/>
  <c r="M41" i="2"/>
  <c r="O41" i="2"/>
  <c r="M33" i="2"/>
  <c r="O33" i="2"/>
  <c r="M25" i="2"/>
  <c r="O25" i="2"/>
  <c r="M17" i="2"/>
  <c r="O17" i="2"/>
  <c r="M9" i="2"/>
  <c r="O9" i="2"/>
  <c r="F418" i="2"/>
  <c r="H418" i="2"/>
  <c r="G418" i="2"/>
  <c r="F410" i="2"/>
  <c r="G410" i="2"/>
  <c r="H410" i="2"/>
  <c r="F402" i="2"/>
  <c r="G402" i="2"/>
  <c r="H402" i="2"/>
  <c r="F394" i="2"/>
  <c r="G394" i="2"/>
  <c r="H394" i="2"/>
  <c r="F386" i="2"/>
  <c r="G386" i="2"/>
  <c r="H386" i="2"/>
  <c r="F378" i="2"/>
  <c r="G378" i="2"/>
  <c r="H378" i="2"/>
  <c r="F370" i="2"/>
  <c r="G370" i="2"/>
  <c r="H370" i="2"/>
  <c r="F362" i="2"/>
  <c r="G362" i="2"/>
  <c r="H362" i="2"/>
  <c r="F354" i="2"/>
  <c r="H354" i="2"/>
  <c r="G354" i="2"/>
  <c r="F346" i="2"/>
  <c r="G346" i="2"/>
  <c r="H346" i="2"/>
  <c r="F338" i="2"/>
  <c r="G338" i="2"/>
  <c r="H338" i="2"/>
  <c r="F330" i="2"/>
  <c r="G330" i="2"/>
  <c r="H330" i="2"/>
  <c r="F322" i="2"/>
  <c r="H322" i="2"/>
  <c r="G322" i="2"/>
  <c r="F314" i="2"/>
  <c r="H314" i="2"/>
  <c r="G314" i="2"/>
  <c r="F306" i="2"/>
  <c r="H306" i="2"/>
  <c r="G306" i="2"/>
  <c r="F298" i="2"/>
  <c r="G298" i="2"/>
  <c r="H298" i="2"/>
  <c r="F290" i="2"/>
  <c r="H290" i="2"/>
  <c r="G290" i="2"/>
  <c r="F282" i="2"/>
  <c r="H282" i="2"/>
  <c r="G282" i="2"/>
  <c r="F274" i="2"/>
  <c r="G274" i="2"/>
  <c r="H274" i="2"/>
  <c r="F266" i="2"/>
  <c r="G266" i="2"/>
  <c r="H266" i="2"/>
  <c r="F258" i="2"/>
  <c r="G258" i="2"/>
  <c r="H258" i="2"/>
  <c r="F250" i="2"/>
  <c r="H250" i="2"/>
  <c r="G250" i="2"/>
  <c r="F242" i="2"/>
  <c r="H242" i="2"/>
  <c r="G242" i="2"/>
  <c r="F234" i="2"/>
  <c r="G234" i="2"/>
  <c r="H234" i="2"/>
  <c r="F226" i="2"/>
  <c r="G226" i="2"/>
  <c r="H226" i="2"/>
  <c r="F218" i="2"/>
  <c r="H218" i="2"/>
  <c r="G218" i="2"/>
  <c r="F210" i="2"/>
  <c r="G210" i="2"/>
  <c r="H210" i="2"/>
  <c r="F202" i="2"/>
  <c r="G202" i="2"/>
  <c r="H202" i="2"/>
  <c r="F194" i="2"/>
  <c r="G194" i="2"/>
  <c r="H194" i="2"/>
  <c r="F186" i="2"/>
  <c r="H186" i="2"/>
  <c r="G186" i="2"/>
  <c r="F178" i="2"/>
  <c r="H178" i="2"/>
  <c r="G178" i="2"/>
  <c r="F170" i="2"/>
  <c r="G170" i="2"/>
  <c r="H170" i="2"/>
  <c r="F162" i="2"/>
  <c r="G162" i="2"/>
  <c r="H162" i="2"/>
  <c r="F154" i="2"/>
  <c r="H154" i="2"/>
  <c r="G154" i="2"/>
  <c r="F146" i="2"/>
  <c r="G146" i="2"/>
  <c r="H146" i="2"/>
  <c r="F138" i="2"/>
  <c r="G138" i="2"/>
  <c r="H138" i="2"/>
  <c r="F130" i="2"/>
  <c r="G130" i="2"/>
  <c r="H130" i="2"/>
  <c r="F122" i="2"/>
  <c r="G122" i="2"/>
  <c r="H122" i="2"/>
  <c r="F114" i="2"/>
  <c r="G114" i="2"/>
  <c r="H114" i="2"/>
  <c r="F106" i="2"/>
  <c r="G106" i="2"/>
  <c r="H106" i="2"/>
  <c r="F98" i="2"/>
  <c r="H98" i="2"/>
  <c r="G98" i="2"/>
  <c r="F90" i="2"/>
  <c r="H90" i="2"/>
  <c r="G90" i="2"/>
  <c r="F80" i="2"/>
  <c r="H80" i="2"/>
  <c r="F72" i="2"/>
  <c r="H72" i="2"/>
  <c r="F64" i="2"/>
  <c r="H64" i="2"/>
  <c r="F56" i="2"/>
  <c r="H56" i="2"/>
  <c r="F48" i="2"/>
  <c r="H48" i="2"/>
  <c r="F40" i="2"/>
  <c r="H40" i="2"/>
  <c r="F32" i="2"/>
  <c r="H32" i="2"/>
  <c r="F16" i="2"/>
  <c r="H16" i="2"/>
  <c r="F8" i="2"/>
  <c r="T418" i="2"/>
  <c r="U418" i="2"/>
  <c r="V418" i="2"/>
  <c r="T410" i="2"/>
  <c r="U410" i="2"/>
  <c r="V410" i="2"/>
  <c r="T402" i="2"/>
  <c r="U402" i="2"/>
  <c r="V402" i="2"/>
  <c r="T394" i="2"/>
  <c r="U394" i="2"/>
  <c r="V394" i="2"/>
  <c r="T386" i="2"/>
  <c r="U386" i="2"/>
  <c r="V386" i="2"/>
  <c r="T378" i="2"/>
  <c r="U378" i="2"/>
  <c r="V378" i="2"/>
  <c r="T370" i="2"/>
  <c r="U370" i="2"/>
  <c r="V370" i="2"/>
  <c r="T362" i="2"/>
  <c r="U362" i="2"/>
  <c r="V362" i="2"/>
  <c r="T354" i="2"/>
  <c r="U354" i="2"/>
  <c r="V354" i="2"/>
  <c r="T346" i="2"/>
  <c r="U346" i="2"/>
  <c r="V346" i="2"/>
  <c r="T338" i="2"/>
  <c r="U338" i="2"/>
  <c r="V338" i="2"/>
  <c r="T330" i="2"/>
  <c r="U330" i="2"/>
  <c r="V330" i="2"/>
  <c r="T322" i="2"/>
  <c r="U322" i="2"/>
  <c r="V322" i="2"/>
  <c r="T314" i="2"/>
  <c r="U314" i="2"/>
  <c r="V314" i="2"/>
  <c r="T306" i="2"/>
  <c r="U306" i="2"/>
  <c r="V306" i="2"/>
  <c r="T298" i="2"/>
  <c r="U298" i="2"/>
  <c r="V298" i="2"/>
  <c r="T290" i="2"/>
  <c r="U290" i="2"/>
  <c r="V290" i="2"/>
  <c r="T282" i="2"/>
  <c r="U282" i="2"/>
  <c r="V282" i="2"/>
  <c r="T274" i="2"/>
  <c r="U274" i="2"/>
  <c r="V274" i="2"/>
  <c r="T266" i="2"/>
  <c r="U266" i="2"/>
  <c r="V266" i="2"/>
  <c r="T258" i="2"/>
  <c r="U258" i="2"/>
  <c r="V258" i="2"/>
  <c r="T250" i="2"/>
  <c r="U250" i="2"/>
  <c r="V250" i="2"/>
  <c r="T242" i="2"/>
  <c r="U242" i="2"/>
  <c r="V242" i="2"/>
  <c r="T234" i="2"/>
  <c r="U234" i="2"/>
  <c r="V234" i="2"/>
  <c r="T226" i="2"/>
  <c r="V226" i="2"/>
  <c r="U226" i="2"/>
  <c r="T218" i="2"/>
  <c r="V218" i="2"/>
  <c r="U218" i="2"/>
  <c r="T210" i="2"/>
  <c r="V210" i="2"/>
  <c r="U210" i="2"/>
  <c r="T202" i="2"/>
  <c r="V202" i="2"/>
  <c r="U202" i="2"/>
  <c r="T194" i="2"/>
  <c r="V194" i="2"/>
  <c r="U194" i="2"/>
  <c r="T186" i="2"/>
  <c r="V186" i="2"/>
  <c r="U186" i="2"/>
  <c r="T178" i="2"/>
  <c r="V178" i="2"/>
  <c r="U178" i="2"/>
  <c r="T170" i="2"/>
  <c r="V170" i="2"/>
  <c r="U170" i="2"/>
  <c r="T162" i="2"/>
  <c r="U162" i="2"/>
  <c r="V162" i="2"/>
  <c r="T154" i="2"/>
  <c r="U154" i="2"/>
  <c r="V154" i="2"/>
  <c r="T146" i="2"/>
  <c r="U146" i="2"/>
  <c r="V146" i="2"/>
  <c r="T138" i="2"/>
  <c r="U138" i="2"/>
  <c r="V138" i="2"/>
  <c r="T130" i="2"/>
  <c r="U130" i="2"/>
  <c r="V130" i="2"/>
  <c r="T122" i="2"/>
  <c r="U122" i="2"/>
  <c r="V122" i="2"/>
  <c r="T114" i="2"/>
  <c r="U114" i="2"/>
  <c r="V114" i="2"/>
  <c r="T106" i="2"/>
  <c r="U106" i="2"/>
  <c r="V106" i="2"/>
  <c r="T98" i="2"/>
  <c r="V98" i="2"/>
  <c r="U98" i="2"/>
  <c r="T90" i="2"/>
  <c r="V90" i="2"/>
  <c r="U90" i="2"/>
  <c r="M413" i="2"/>
  <c r="N413" i="2"/>
  <c r="O413" i="2"/>
  <c r="M389" i="2"/>
  <c r="N389" i="2"/>
  <c r="O389" i="2"/>
  <c r="M373" i="2"/>
  <c r="O373" i="2"/>
  <c r="N373" i="2"/>
  <c r="M349" i="2"/>
  <c r="N349" i="2"/>
  <c r="O349" i="2"/>
  <c r="M325" i="2"/>
  <c r="N325" i="2"/>
  <c r="O325" i="2"/>
  <c r="M293" i="2"/>
  <c r="O293" i="2"/>
  <c r="N293" i="2"/>
  <c r="M277" i="2"/>
  <c r="O277" i="2"/>
  <c r="N277" i="2"/>
  <c r="M253" i="2"/>
  <c r="O253" i="2"/>
  <c r="N253" i="2"/>
  <c r="M229" i="2"/>
  <c r="O229" i="2"/>
  <c r="N229" i="2"/>
  <c r="M205" i="2"/>
  <c r="O205" i="2"/>
  <c r="N205" i="2"/>
  <c r="M173" i="2"/>
  <c r="O173" i="2"/>
  <c r="N173" i="2"/>
  <c r="M149" i="2"/>
  <c r="O149" i="2"/>
  <c r="N149" i="2"/>
  <c r="M125" i="2"/>
  <c r="N125" i="2"/>
  <c r="O125" i="2"/>
  <c r="M101" i="2"/>
  <c r="O101" i="2"/>
  <c r="N101" i="2"/>
  <c r="M396" i="2"/>
  <c r="N396" i="2"/>
  <c r="O396" i="2"/>
  <c r="M380" i="2"/>
  <c r="N380" i="2"/>
  <c r="O380" i="2"/>
  <c r="M356" i="2"/>
  <c r="N356" i="2"/>
  <c r="O356" i="2"/>
  <c r="M332" i="2"/>
  <c r="N332" i="2"/>
  <c r="O332" i="2"/>
  <c r="M308" i="2"/>
  <c r="O308" i="2"/>
  <c r="N308" i="2"/>
  <c r="M284" i="2"/>
  <c r="N284" i="2"/>
  <c r="O284" i="2"/>
  <c r="M260" i="2"/>
  <c r="N260" i="2"/>
  <c r="O260" i="2"/>
  <c r="M236" i="2"/>
  <c r="N236" i="2"/>
  <c r="O236" i="2"/>
  <c r="M220" i="2"/>
  <c r="O220" i="2"/>
  <c r="N220" i="2"/>
  <c r="M188" i="2"/>
  <c r="N188" i="2"/>
  <c r="O188" i="2"/>
  <c r="M172" i="2"/>
  <c r="N172" i="2"/>
  <c r="O172" i="2"/>
  <c r="M156" i="2"/>
  <c r="N156" i="2"/>
  <c r="O156" i="2"/>
  <c r="M132" i="2"/>
  <c r="O132" i="2"/>
  <c r="N132" i="2"/>
  <c r="M116" i="2"/>
  <c r="O116" i="2"/>
  <c r="N116" i="2"/>
  <c r="M100" i="2"/>
  <c r="N100" i="2"/>
  <c r="O100" i="2"/>
  <c r="M82" i="2"/>
  <c r="O82" i="2"/>
  <c r="M66" i="2"/>
  <c r="O66" i="2"/>
  <c r="M50" i="2"/>
  <c r="O50" i="2"/>
  <c r="M18" i="2"/>
  <c r="F3" i="2"/>
  <c r="F403" i="2"/>
  <c r="H403" i="2"/>
  <c r="G403" i="2"/>
  <c r="F387" i="2"/>
  <c r="H387" i="2"/>
  <c r="G387" i="2"/>
  <c r="F371" i="2"/>
  <c r="H371" i="2"/>
  <c r="G371" i="2"/>
  <c r="F355" i="2"/>
  <c r="H355" i="2"/>
  <c r="G355" i="2"/>
  <c r="F339" i="2"/>
  <c r="H339" i="2"/>
  <c r="G339" i="2"/>
  <c r="F323" i="2"/>
  <c r="H323" i="2"/>
  <c r="G323" i="2"/>
  <c r="F307" i="2"/>
  <c r="G307" i="2"/>
  <c r="H307" i="2"/>
  <c r="F291" i="2"/>
  <c r="G291" i="2"/>
  <c r="H291" i="2"/>
  <c r="I291" i="2" s="1"/>
  <c r="F275" i="2"/>
  <c r="G275" i="2"/>
  <c r="H275" i="2"/>
  <c r="F251" i="2"/>
  <c r="H251" i="2"/>
  <c r="G251" i="2"/>
  <c r="F235" i="2"/>
  <c r="G235" i="2"/>
  <c r="H235" i="2"/>
  <c r="F227" i="2"/>
  <c r="H227" i="2"/>
  <c r="G227" i="2"/>
  <c r="F203" i="2"/>
  <c r="G203" i="2"/>
  <c r="H203" i="2"/>
  <c r="F195" i="2"/>
  <c r="H195" i="2"/>
  <c r="G195" i="2"/>
  <c r="F179" i="2"/>
  <c r="G179" i="2"/>
  <c r="H179" i="2"/>
  <c r="F163" i="2"/>
  <c r="H163" i="2"/>
  <c r="G163" i="2"/>
  <c r="F147" i="2"/>
  <c r="G147" i="2"/>
  <c r="H147" i="2"/>
  <c r="F131" i="2"/>
  <c r="G131" i="2"/>
  <c r="H131" i="2"/>
  <c r="F115" i="2"/>
  <c r="H115" i="2"/>
  <c r="G115" i="2"/>
  <c r="F99" i="2"/>
  <c r="H99" i="2"/>
  <c r="G99" i="2"/>
  <c r="T3" i="2"/>
  <c r="V3" i="2"/>
  <c r="T403" i="2"/>
  <c r="V403" i="2"/>
  <c r="U403" i="2"/>
  <c r="T387" i="2"/>
  <c r="V387" i="2"/>
  <c r="U387" i="2"/>
  <c r="T371" i="2"/>
  <c r="U371" i="2"/>
  <c r="V371" i="2"/>
  <c r="T355" i="2"/>
  <c r="U355" i="2"/>
  <c r="V355" i="2"/>
  <c r="T339" i="2"/>
  <c r="U339" i="2"/>
  <c r="V339" i="2"/>
  <c r="T323" i="2"/>
  <c r="U323" i="2"/>
  <c r="V323" i="2"/>
  <c r="T307" i="2"/>
  <c r="U307" i="2"/>
  <c r="V307" i="2"/>
  <c r="T291" i="2"/>
  <c r="U291" i="2"/>
  <c r="V291" i="2"/>
  <c r="T275" i="2"/>
  <c r="U275" i="2"/>
  <c r="V275" i="2"/>
  <c r="T259" i="2"/>
  <c r="U259" i="2"/>
  <c r="V259" i="2"/>
  <c r="T243" i="2"/>
  <c r="V243" i="2"/>
  <c r="U243" i="2"/>
  <c r="T227" i="2"/>
  <c r="U227" i="2"/>
  <c r="V227" i="2"/>
  <c r="T211" i="2"/>
  <c r="U211" i="2"/>
  <c r="V211" i="2"/>
  <c r="T195" i="2"/>
  <c r="U195" i="2"/>
  <c r="V195" i="2"/>
  <c r="T179" i="2"/>
  <c r="U179" i="2"/>
  <c r="V179" i="2"/>
  <c r="T163" i="2"/>
  <c r="U163" i="2"/>
  <c r="V163" i="2"/>
  <c r="T147" i="2"/>
  <c r="U147" i="2"/>
  <c r="V147" i="2"/>
  <c r="T131" i="2"/>
  <c r="U131" i="2"/>
  <c r="V131" i="2"/>
  <c r="T115" i="2"/>
  <c r="U115" i="2"/>
  <c r="V115" i="2"/>
  <c r="T99" i="2"/>
  <c r="V99" i="2"/>
  <c r="U99" i="2"/>
  <c r="M411" i="2"/>
  <c r="N411" i="2"/>
  <c r="O411" i="2"/>
  <c r="M395" i="2"/>
  <c r="N395" i="2"/>
  <c r="O395" i="2"/>
  <c r="M379" i="2"/>
  <c r="O379" i="2"/>
  <c r="N379" i="2"/>
  <c r="M363" i="2"/>
  <c r="O363" i="2"/>
  <c r="N363" i="2"/>
  <c r="M355" i="2"/>
  <c r="N355" i="2"/>
  <c r="O355" i="2"/>
  <c r="M331" i="2"/>
  <c r="O331" i="2"/>
  <c r="N331" i="2"/>
  <c r="M315" i="2"/>
  <c r="N315" i="2"/>
  <c r="O315" i="2"/>
  <c r="M299" i="2"/>
  <c r="N299" i="2"/>
  <c r="O299" i="2"/>
  <c r="M291" i="2"/>
  <c r="O291" i="2"/>
  <c r="N291" i="2"/>
  <c r="M267" i="2"/>
  <c r="N267" i="2"/>
  <c r="O267" i="2"/>
  <c r="M251" i="2"/>
  <c r="N251" i="2"/>
  <c r="O251" i="2"/>
  <c r="M243" i="2"/>
  <c r="O243" i="2"/>
  <c r="N243" i="2"/>
  <c r="M227" i="2"/>
  <c r="N227" i="2"/>
  <c r="O227" i="2"/>
  <c r="M203" i="2"/>
  <c r="N203" i="2"/>
  <c r="O203" i="2"/>
  <c r="M187" i="2"/>
  <c r="N187" i="2"/>
  <c r="O187" i="2"/>
  <c r="M171" i="2"/>
  <c r="O171" i="2"/>
  <c r="N171" i="2"/>
  <c r="M163" i="2"/>
  <c r="N163" i="2"/>
  <c r="O163" i="2"/>
  <c r="M147" i="2"/>
  <c r="O147" i="2"/>
  <c r="N147" i="2"/>
  <c r="M131" i="2"/>
  <c r="O131" i="2"/>
  <c r="N131" i="2"/>
  <c r="M107" i="2"/>
  <c r="N107" i="2"/>
  <c r="O107" i="2"/>
  <c r="M91" i="2"/>
  <c r="N91" i="2"/>
  <c r="O91" i="2"/>
  <c r="M410" i="2"/>
  <c r="N410" i="2"/>
  <c r="O410" i="2"/>
  <c r="M394" i="2"/>
  <c r="N394" i="2"/>
  <c r="O394" i="2"/>
  <c r="M378" i="2"/>
  <c r="N378" i="2"/>
  <c r="O378" i="2"/>
  <c r="M362" i="2"/>
  <c r="O362" i="2"/>
  <c r="N362" i="2"/>
  <c r="M346" i="2"/>
  <c r="N346" i="2"/>
  <c r="O346" i="2"/>
  <c r="M330" i="2"/>
  <c r="N330" i="2"/>
  <c r="O330" i="2"/>
  <c r="M322" i="2"/>
  <c r="O322" i="2"/>
  <c r="N322" i="2"/>
  <c r="M306" i="2"/>
  <c r="N306" i="2"/>
  <c r="O306" i="2"/>
  <c r="M290" i="2"/>
  <c r="N290" i="2"/>
  <c r="O290" i="2"/>
  <c r="M274" i="2"/>
  <c r="O274" i="2"/>
  <c r="N274" i="2"/>
  <c r="M258" i="2"/>
  <c r="O258" i="2"/>
  <c r="N258" i="2"/>
  <c r="M242" i="2"/>
  <c r="O242" i="2"/>
  <c r="N242" i="2"/>
  <c r="M226" i="2"/>
  <c r="N226" i="2"/>
  <c r="O226" i="2"/>
  <c r="M210" i="2"/>
  <c r="O210" i="2"/>
  <c r="N210" i="2"/>
  <c r="M194" i="2"/>
  <c r="N194" i="2"/>
  <c r="O194" i="2"/>
  <c r="M186" i="2"/>
  <c r="N186" i="2"/>
  <c r="O186" i="2"/>
  <c r="M178" i="2"/>
  <c r="O178" i="2"/>
  <c r="N178" i="2"/>
  <c r="M170" i="2"/>
  <c r="O170" i="2"/>
  <c r="N170" i="2"/>
  <c r="M162" i="2"/>
  <c r="N162" i="2"/>
  <c r="O162" i="2"/>
  <c r="M154" i="2"/>
  <c r="N154" i="2"/>
  <c r="O154" i="2"/>
  <c r="M146" i="2"/>
  <c r="N146" i="2"/>
  <c r="O146" i="2"/>
  <c r="M138" i="2"/>
  <c r="O138" i="2"/>
  <c r="N138" i="2"/>
  <c r="M130" i="2"/>
  <c r="O130" i="2"/>
  <c r="N130" i="2"/>
  <c r="M122" i="2"/>
  <c r="O122" i="2"/>
  <c r="N122" i="2"/>
  <c r="M114" i="2"/>
  <c r="N114" i="2"/>
  <c r="O114" i="2"/>
  <c r="M106" i="2"/>
  <c r="N106" i="2"/>
  <c r="O106" i="2"/>
  <c r="M98" i="2"/>
  <c r="O98" i="2"/>
  <c r="N98" i="2"/>
  <c r="M90" i="2"/>
  <c r="N90" i="2"/>
  <c r="O90" i="2"/>
  <c r="M80" i="2"/>
  <c r="O80" i="2"/>
  <c r="M72" i="2"/>
  <c r="O72" i="2"/>
  <c r="M64" i="2"/>
  <c r="O64" i="2"/>
  <c r="M56" i="2"/>
  <c r="O56" i="2"/>
  <c r="M48" i="2"/>
  <c r="O48" i="2"/>
  <c r="M40" i="2"/>
  <c r="O40" i="2"/>
  <c r="M32" i="2"/>
  <c r="O32" i="2"/>
  <c r="M24" i="2"/>
  <c r="O24" i="2"/>
  <c r="M16" i="2"/>
  <c r="O16" i="2"/>
  <c r="M8" i="2"/>
  <c r="O8" i="2"/>
  <c r="F417" i="2"/>
  <c r="H417" i="2"/>
  <c r="G417" i="2"/>
  <c r="F409" i="2"/>
  <c r="H409" i="2"/>
  <c r="G409" i="2"/>
  <c r="F401" i="2"/>
  <c r="H401" i="2"/>
  <c r="G401" i="2"/>
  <c r="F393" i="2"/>
  <c r="G393" i="2"/>
  <c r="H393" i="2"/>
  <c r="F385" i="2"/>
  <c r="G385" i="2"/>
  <c r="H385" i="2"/>
  <c r="F377" i="2"/>
  <c r="G377" i="2"/>
  <c r="H377" i="2"/>
  <c r="F369" i="2"/>
  <c r="G369" i="2"/>
  <c r="H369" i="2"/>
  <c r="F361" i="2"/>
  <c r="G361" i="2"/>
  <c r="H361" i="2"/>
  <c r="F353" i="2"/>
  <c r="G353" i="2"/>
  <c r="H353" i="2"/>
  <c r="F345" i="2"/>
  <c r="H345" i="2"/>
  <c r="G345" i="2"/>
  <c r="F337" i="2"/>
  <c r="G337" i="2"/>
  <c r="H337" i="2"/>
  <c r="F329" i="2"/>
  <c r="G329" i="2"/>
  <c r="H329" i="2"/>
  <c r="F321" i="2"/>
  <c r="G321" i="2"/>
  <c r="H321" i="2"/>
  <c r="F313" i="2"/>
  <c r="H313" i="2"/>
  <c r="G313" i="2"/>
  <c r="F305" i="2"/>
  <c r="G305" i="2"/>
  <c r="H305" i="2"/>
  <c r="F297" i="2"/>
  <c r="H297" i="2"/>
  <c r="G297" i="2"/>
  <c r="F289" i="2"/>
  <c r="G289" i="2"/>
  <c r="H289" i="2"/>
  <c r="F281" i="2"/>
  <c r="G281" i="2"/>
  <c r="H281" i="2"/>
  <c r="F273" i="2"/>
  <c r="H273" i="2"/>
  <c r="G273" i="2"/>
  <c r="F265" i="2"/>
  <c r="G265" i="2"/>
  <c r="H265" i="2"/>
  <c r="F257" i="2"/>
  <c r="G257" i="2"/>
  <c r="H257" i="2"/>
  <c r="F249" i="2"/>
  <c r="G249" i="2"/>
  <c r="H249" i="2"/>
  <c r="F241" i="2"/>
  <c r="H241" i="2"/>
  <c r="G241" i="2"/>
  <c r="F233" i="2"/>
  <c r="H233" i="2"/>
  <c r="G233" i="2"/>
  <c r="F225" i="2"/>
  <c r="G225" i="2"/>
  <c r="H225" i="2"/>
  <c r="F217" i="2"/>
  <c r="G217" i="2"/>
  <c r="H217" i="2"/>
  <c r="F209" i="2"/>
  <c r="H209" i="2"/>
  <c r="G209" i="2"/>
  <c r="F201" i="2"/>
  <c r="G201" i="2"/>
  <c r="H201" i="2"/>
  <c r="F193" i="2"/>
  <c r="G193" i="2"/>
  <c r="H193" i="2"/>
  <c r="F185" i="2"/>
  <c r="G185" i="2"/>
  <c r="H185" i="2"/>
  <c r="F177" i="2"/>
  <c r="H177" i="2"/>
  <c r="G177" i="2"/>
  <c r="F169" i="2"/>
  <c r="G169" i="2"/>
  <c r="H169" i="2"/>
  <c r="F161" i="2"/>
  <c r="G161" i="2"/>
  <c r="H161" i="2"/>
  <c r="F153" i="2"/>
  <c r="G153" i="2"/>
  <c r="H153" i="2"/>
  <c r="F145" i="2"/>
  <c r="H145" i="2"/>
  <c r="G145" i="2"/>
  <c r="I145" i="2" s="1"/>
  <c r="F137" i="2"/>
  <c r="G137" i="2"/>
  <c r="H137" i="2"/>
  <c r="F129" i="2"/>
  <c r="G129" i="2"/>
  <c r="H129" i="2"/>
  <c r="F121" i="2"/>
  <c r="G121" i="2"/>
  <c r="H121" i="2"/>
  <c r="F113" i="2"/>
  <c r="G113" i="2"/>
  <c r="H113" i="2"/>
  <c r="F105" i="2"/>
  <c r="G105" i="2"/>
  <c r="H105" i="2"/>
  <c r="F97" i="2"/>
  <c r="G97" i="2"/>
  <c r="H97" i="2"/>
  <c r="I97" i="2" s="1"/>
  <c r="F89" i="2"/>
  <c r="G89" i="2"/>
  <c r="H89" i="2"/>
  <c r="F87" i="2"/>
  <c r="H87" i="2"/>
  <c r="F79" i="2"/>
  <c r="G80" i="2" s="1"/>
  <c r="H79" i="2"/>
  <c r="F71" i="2"/>
  <c r="G73" i="2" s="1"/>
  <c r="H71" i="2"/>
  <c r="F63" i="2"/>
  <c r="H63" i="2"/>
  <c r="F55" i="2"/>
  <c r="G57" i="2" s="1"/>
  <c r="H55" i="2"/>
  <c r="F47" i="2"/>
  <c r="H47" i="2"/>
  <c r="F39" i="2"/>
  <c r="H39" i="2"/>
  <c r="F31" i="2"/>
  <c r="H31" i="2"/>
  <c r="F23" i="2"/>
  <c r="H23" i="2"/>
  <c r="M87" i="2"/>
  <c r="O87" i="2"/>
  <c r="M79" i="2"/>
  <c r="O79" i="2"/>
  <c r="M71" i="2"/>
  <c r="O71" i="2"/>
  <c r="M63" i="2"/>
  <c r="O63" i="2"/>
  <c r="M55" i="2"/>
  <c r="O55" i="2"/>
  <c r="M47" i="2"/>
  <c r="O47" i="2"/>
  <c r="M39" i="2"/>
  <c r="O39" i="2"/>
  <c r="M31" i="2"/>
  <c r="O31" i="2"/>
  <c r="M23" i="2"/>
  <c r="O23" i="2"/>
  <c r="M15" i="2"/>
  <c r="O15" i="2"/>
  <c r="M397" i="2"/>
  <c r="N397" i="2"/>
  <c r="O397" i="2"/>
  <c r="M365" i="2"/>
  <c r="N365" i="2"/>
  <c r="O365" i="2"/>
  <c r="M341" i="2"/>
  <c r="N341" i="2"/>
  <c r="O341" i="2"/>
  <c r="M309" i="2"/>
  <c r="O309" i="2"/>
  <c r="N309" i="2"/>
  <c r="M285" i="2"/>
  <c r="O285" i="2"/>
  <c r="N285" i="2"/>
  <c r="M261" i="2"/>
  <c r="O261" i="2"/>
  <c r="N261" i="2"/>
  <c r="M237" i="2"/>
  <c r="N237" i="2"/>
  <c r="O237" i="2"/>
  <c r="M213" i="2"/>
  <c r="N213" i="2"/>
  <c r="O213" i="2"/>
  <c r="M189" i="2"/>
  <c r="O189" i="2"/>
  <c r="N189" i="2"/>
  <c r="M165" i="2"/>
  <c r="N165" i="2"/>
  <c r="O165" i="2"/>
  <c r="M141" i="2"/>
  <c r="N141" i="2"/>
  <c r="O141" i="2"/>
  <c r="M117" i="2"/>
  <c r="O117" i="2"/>
  <c r="N117" i="2"/>
  <c r="M412" i="2"/>
  <c r="O412" i="2"/>
  <c r="N412" i="2"/>
  <c r="M388" i="2"/>
  <c r="N388" i="2"/>
  <c r="O388" i="2"/>
  <c r="M364" i="2"/>
  <c r="O364" i="2"/>
  <c r="P364" i="2" s="1"/>
  <c r="N364" i="2"/>
  <c r="M340" i="2"/>
  <c r="O340" i="2"/>
  <c r="N340" i="2"/>
  <c r="M316" i="2"/>
  <c r="O316" i="2"/>
  <c r="N316" i="2"/>
  <c r="M292" i="2"/>
  <c r="O292" i="2"/>
  <c r="N292" i="2"/>
  <c r="M268" i="2"/>
  <c r="N268" i="2"/>
  <c r="O268" i="2"/>
  <c r="M244" i="2"/>
  <c r="O244" i="2"/>
  <c r="N244" i="2"/>
  <c r="M204" i="2"/>
  <c r="O204" i="2"/>
  <c r="N204" i="2"/>
  <c r="M148" i="2"/>
  <c r="O148" i="2"/>
  <c r="N148" i="2"/>
  <c r="M86" i="2"/>
  <c r="O86" i="2"/>
  <c r="M78" i="2"/>
  <c r="O78" i="2"/>
  <c r="M70" i="2"/>
  <c r="O70" i="2"/>
  <c r="M62" i="2"/>
  <c r="O62" i="2"/>
  <c r="M54" i="2"/>
  <c r="O54" i="2"/>
  <c r="M46" i="2"/>
  <c r="O46" i="2"/>
  <c r="M22" i="2"/>
  <c r="M14" i="2"/>
  <c r="F415" i="2"/>
  <c r="G415" i="2"/>
  <c r="H415" i="2"/>
  <c r="F407" i="2"/>
  <c r="G407" i="2"/>
  <c r="H407" i="2"/>
  <c r="F399" i="2"/>
  <c r="H399" i="2"/>
  <c r="G399" i="2"/>
  <c r="F391" i="2"/>
  <c r="H391" i="2"/>
  <c r="G391" i="2"/>
  <c r="F383" i="2"/>
  <c r="H383" i="2"/>
  <c r="G383" i="2"/>
  <c r="F375" i="2"/>
  <c r="H375" i="2"/>
  <c r="G375" i="2"/>
  <c r="F367" i="2"/>
  <c r="H367" i="2"/>
  <c r="G367" i="2"/>
  <c r="F359" i="2"/>
  <c r="H359" i="2"/>
  <c r="G359" i="2"/>
  <c r="F351" i="2"/>
  <c r="H351" i="2"/>
  <c r="G351" i="2"/>
  <c r="F343" i="2"/>
  <c r="H343" i="2"/>
  <c r="G343" i="2"/>
  <c r="F335" i="2"/>
  <c r="H335" i="2"/>
  <c r="G335" i="2"/>
  <c r="F327" i="2"/>
  <c r="H327" i="2"/>
  <c r="G327" i="2"/>
  <c r="F319" i="2"/>
  <c r="H319" i="2"/>
  <c r="G319" i="2"/>
  <c r="F311" i="2"/>
  <c r="G311" i="2"/>
  <c r="H311" i="2"/>
  <c r="M405" i="2"/>
  <c r="N405" i="2"/>
  <c r="O405" i="2"/>
  <c r="M381" i="2"/>
  <c r="O381" i="2"/>
  <c r="N381" i="2"/>
  <c r="M357" i="2"/>
  <c r="O357" i="2"/>
  <c r="N357" i="2"/>
  <c r="M333" i="2"/>
  <c r="N333" i="2"/>
  <c r="O333" i="2"/>
  <c r="P333" i="2" s="1"/>
  <c r="M317" i="2"/>
  <c r="N317" i="2"/>
  <c r="O317" i="2"/>
  <c r="M301" i="2"/>
  <c r="O301" i="2"/>
  <c r="N301" i="2"/>
  <c r="P301" i="2" s="1"/>
  <c r="M269" i="2"/>
  <c r="O269" i="2"/>
  <c r="N269" i="2"/>
  <c r="M245" i="2"/>
  <c r="N245" i="2"/>
  <c r="O245" i="2"/>
  <c r="M221" i="2"/>
  <c r="O221" i="2"/>
  <c r="N221" i="2"/>
  <c r="M197" i="2"/>
  <c r="O197" i="2"/>
  <c r="N197" i="2"/>
  <c r="M181" i="2"/>
  <c r="O181" i="2"/>
  <c r="N181" i="2"/>
  <c r="M157" i="2"/>
  <c r="N157" i="2"/>
  <c r="O157" i="2"/>
  <c r="P157" i="2" s="1"/>
  <c r="M133" i="2"/>
  <c r="N133" i="2"/>
  <c r="O133" i="2"/>
  <c r="M109" i="2"/>
  <c r="O109" i="2"/>
  <c r="N109" i="2"/>
  <c r="P109" i="2" s="1"/>
  <c r="M93" i="2"/>
  <c r="O93" i="2"/>
  <c r="N93" i="2"/>
  <c r="M404" i="2"/>
  <c r="N404" i="2"/>
  <c r="O404" i="2"/>
  <c r="M372" i="2"/>
  <c r="O372" i="2"/>
  <c r="N372" i="2"/>
  <c r="M348" i="2"/>
  <c r="N348" i="2"/>
  <c r="O348" i="2"/>
  <c r="M324" i="2"/>
  <c r="N324" i="2"/>
  <c r="O324" i="2"/>
  <c r="M300" i="2"/>
  <c r="O300" i="2"/>
  <c r="N300" i="2"/>
  <c r="M276" i="2"/>
  <c r="N276" i="2"/>
  <c r="O276" i="2"/>
  <c r="M252" i="2"/>
  <c r="N252" i="2"/>
  <c r="O252" i="2"/>
  <c r="P252" i="2" s="1"/>
  <c r="M228" i="2"/>
  <c r="N228" i="2"/>
  <c r="O228" i="2"/>
  <c r="M212" i="2"/>
  <c r="N212" i="2"/>
  <c r="O212" i="2"/>
  <c r="M196" i="2"/>
  <c r="N196" i="2"/>
  <c r="O196" i="2"/>
  <c r="M180" i="2"/>
  <c r="O180" i="2"/>
  <c r="N180" i="2"/>
  <c r="M164" i="2"/>
  <c r="O164" i="2"/>
  <c r="N164" i="2"/>
  <c r="M140" i="2"/>
  <c r="O140" i="2"/>
  <c r="N140" i="2"/>
  <c r="M124" i="2"/>
  <c r="O124" i="2"/>
  <c r="N124" i="2"/>
  <c r="M108" i="2"/>
  <c r="N108" i="2"/>
  <c r="O108" i="2"/>
  <c r="P108" i="2" s="1"/>
  <c r="M92" i="2"/>
  <c r="O92" i="2"/>
  <c r="N92" i="2"/>
  <c r="M74" i="2"/>
  <c r="O74" i="2"/>
  <c r="M58" i="2"/>
  <c r="O58" i="2"/>
  <c r="M42" i="2"/>
  <c r="O42" i="2"/>
  <c r="M10" i="2"/>
  <c r="F411" i="2"/>
  <c r="H411" i="2"/>
  <c r="G411" i="2"/>
  <c r="F395" i="2"/>
  <c r="H395" i="2"/>
  <c r="G395" i="2"/>
  <c r="F379" i="2"/>
  <c r="H379" i="2"/>
  <c r="G379" i="2"/>
  <c r="F363" i="2"/>
  <c r="H363" i="2"/>
  <c r="G363" i="2"/>
  <c r="F347" i="2"/>
  <c r="H347" i="2"/>
  <c r="G347" i="2"/>
  <c r="F331" i="2"/>
  <c r="H331" i="2"/>
  <c r="G331" i="2"/>
  <c r="F315" i="2"/>
  <c r="H315" i="2"/>
  <c r="G315" i="2"/>
  <c r="F299" i="2"/>
  <c r="G299" i="2"/>
  <c r="H299" i="2"/>
  <c r="F283" i="2"/>
  <c r="H283" i="2"/>
  <c r="G283" i="2"/>
  <c r="F267" i="2"/>
  <c r="G267" i="2"/>
  <c r="H267" i="2"/>
  <c r="F259" i="2"/>
  <c r="H259" i="2"/>
  <c r="G259" i="2"/>
  <c r="F243" i="2"/>
  <c r="G243" i="2"/>
  <c r="H243" i="2"/>
  <c r="F219" i="2"/>
  <c r="G219" i="2"/>
  <c r="H219" i="2"/>
  <c r="F211" i="2"/>
  <c r="G211" i="2"/>
  <c r="H211" i="2"/>
  <c r="F187" i="2"/>
  <c r="H187" i="2"/>
  <c r="G187" i="2"/>
  <c r="F171" i="2"/>
  <c r="G171" i="2"/>
  <c r="H171" i="2"/>
  <c r="F155" i="2"/>
  <c r="H155" i="2"/>
  <c r="G155" i="2"/>
  <c r="F139" i="2"/>
  <c r="G139" i="2"/>
  <c r="H139" i="2"/>
  <c r="F123" i="2"/>
  <c r="G123" i="2"/>
  <c r="H123" i="2"/>
  <c r="F107" i="2"/>
  <c r="G107" i="2"/>
  <c r="H107" i="2"/>
  <c r="F91" i="2"/>
  <c r="G91" i="2"/>
  <c r="H91" i="2"/>
  <c r="T411" i="2"/>
  <c r="V411" i="2"/>
  <c r="U411" i="2"/>
  <c r="T395" i="2"/>
  <c r="V395" i="2"/>
  <c r="U395" i="2"/>
  <c r="T379" i="2"/>
  <c r="U379" i="2"/>
  <c r="V379" i="2"/>
  <c r="T363" i="2"/>
  <c r="U363" i="2"/>
  <c r="V363" i="2"/>
  <c r="T347" i="2"/>
  <c r="U347" i="2"/>
  <c r="V347" i="2"/>
  <c r="T331" i="2"/>
  <c r="U331" i="2"/>
  <c r="V331" i="2"/>
  <c r="T315" i="2"/>
  <c r="U315" i="2"/>
  <c r="V315" i="2"/>
  <c r="T299" i="2"/>
  <c r="U299" i="2"/>
  <c r="V299" i="2"/>
  <c r="T283" i="2"/>
  <c r="U283" i="2"/>
  <c r="V283" i="2"/>
  <c r="T267" i="2"/>
  <c r="U267" i="2"/>
  <c r="V267" i="2"/>
  <c r="T251" i="2"/>
  <c r="U251" i="2"/>
  <c r="V251" i="2"/>
  <c r="T235" i="2"/>
  <c r="U235" i="2"/>
  <c r="V235" i="2"/>
  <c r="T219" i="2"/>
  <c r="U219" i="2"/>
  <c r="V219" i="2"/>
  <c r="T203" i="2"/>
  <c r="U203" i="2"/>
  <c r="V203" i="2"/>
  <c r="T187" i="2"/>
  <c r="U187" i="2"/>
  <c r="V187" i="2"/>
  <c r="T171" i="2"/>
  <c r="U171" i="2"/>
  <c r="V171" i="2"/>
  <c r="T155" i="2"/>
  <c r="U155" i="2"/>
  <c r="V155" i="2"/>
  <c r="T139" i="2"/>
  <c r="U139" i="2"/>
  <c r="V139" i="2"/>
  <c r="T123" i="2"/>
  <c r="U123" i="2"/>
  <c r="V123" i="2"/>
  <c r="T107" i="2"/>
  <c r="U107" i="2"/>
  <c r="V107" i="2"/>
  <c r="T91" i="2"/>
  <c r="V91" i="2"/>
  <c r="U91" i="2"/>
  <c r="M403" i="2"/>
  <c r="N403" i="2"/>
  <c r="O403" i="2"/>
  <c r="M387" i="2"/>
  <c r="N387" i="2"/>
  <c r="O387" i="2"/>
  <c r="M371" i="2"/>
  <c r="N371" i="2"/>
  <c r="P371" i="2" s="1"/>
  <c r="O371" i="2"/>
  <c r="M347" i="2"/>
  <c r="N347" i="2"/>
  <c r="O347" i="2"/>
  <c r="M339" i="2"/>
  <c r="O339" i="2"/>
  <c r="N339" i="2"/>
  <c r="M323" i="2"/>
  <c r="N323" i="2"/>
  <c r="O323" i="2"/>
  <c r="M307" i="2"/>
  <c r="O307" i="2"/>
  <c r="N307" i="2"/>
  <c r="M283" i="2"/>
  <c r="N283" i="2"/>
  <c r="O283" i="2"/>
  <c r="P283" i="2" s="1"/>
  <c r="M275" i="2"/>
  <c r="N275" i="2"/>
  <c r="O275" i="2"/>
  <c r="M259" i="2"/>
  <c r="N259" i="2"/>
  <c r="O259" i="2"/>
  <c r="M235" i="2"/>
  <c r="O235" i="2"/>
  <c r="P235" i="2" s="1"/>
  <c r="N235" i="2"/>
  <c r="M219" i="2"/>
  <c r="O219" i="2"/>
  <c r="N219" i="2"/>
  <c r="M211" i="2"/>
  <c r="N211" i="2"/>
  <c r="O211" i="2"/>
  <c r="M195" i="2"/>
  <c r="N195" i="2"/>
  <c r="O195" i="2"/>
  <c r="M179" i="2"/>
  <c r="O179" i="2"/>
  <c r="N179" i="2"/>
  <c r="M155" i="2"/>
  <c r="O155" i="2"/>
  <c r="N155" i="2"/>
  <c r="P155" i="2" s="1"/>
  <c r="M139" i="2"/>
  <c r="N139" i="2"/>
  <c r="O139" i="2"/>
  <c r="M123" i="2"/>
  <c r="N123" i="2"/>
  <c r="O123" i="2"/>
  <c r="M115" i="2"/>
  <c r="N115" i="2"/>
  <c r="P115" i="2" s="1"/>
  <c r="O115" i="2"/>
  <c r="M99" i="2"/>
  <c r="N99" i="2"/>
  <c r="O99" i="2"/>
  <c r="M418" i="2"/>
  <c r="N418" i="2"/>
  <c r="O418" i="2"/>
  <c r="M402" i="2"/>
  <c r="O402" i="2"/>
  <c r="N402" i="2"/>
  <c r="M386" i="2"/>
  <c r="N386" i="2"/>
  <c r="O386" i="2"/>
  <c r="M370" i="2"/>
  <c r="O370" i="2"/>
  <c r="N370" i="2"/>
  <c r="M354" i="2"/>
  <c r="N354" i="2"/>
  <c r="O354" i="2"/>
  <c r="M338" i="2"/>
  <c r="O338" i="2"/>
  <c r="N338" i="2"/>
  <c r="M314" i="2"/>
  <c r="N314" i="2"/>
  <c r="O314" i="2"/>
  <c r="M298" i="2"/>
  <c r="N298" i="2"/>
  <c r="O298" i="2"/>
  <c r="M282" i="2"/>
  <c r="O282" i="2"/>
  <c r="P282" i="2" s="1"/>
  <c r="N282" i="2"/>
  <c r="M266" i="2"/>
  <c r="O266" i="2"/>
  <c r="N266" i="2"/>
  <c r="M250" i="2"/>
  <c r="O250" i="2"/>
  <c r="N250" i="2"/>
  <c r="M234" i="2"/>
  <c r="O234" i="2"/>
  <c r="N234" i="2"/>
  <c r="M218" i="2"/>
  <c r="N218" i="2"/>
  <c r="O218" i="2"/>
  <c r="M202" i="2"/>
  <c r="N202" i="2"/>
  <c r="O202" i="2"/>
  <c r="M417" i="2"/>
  <c r="O417" i="2"/>
  <c r="P417" i="2" s="1"/>
  <c r="N417" i="2"/>
  <c r="M409" i="2"/>
  <c r="N409" i="2"/>
  <c r="O409" i="2"/>
  <c r="M401" i="2"/>
  <c r="O401" i="2"/>
  <c r="N401" i="2"/>
  <c r="M393" i="2"/>
  <c r="N393" i="2"/>
  <c r="O393" i="2"/>
  <c r="M385" i="2"/>
  <c r="O385" i="2"/>
  <c r="N385" i="2"/>
  <c r="M377" i="2"/>
  <c r="O377" i="2"/>
  <c r="N377" i="2"/>
  <c r="M369" i="2"/>
  <c r="O369" i="2"/>
  <c r="N369" i="2"/>
  <c r="M361" i="2"/>
  <c r="N361" i="2"/>
  <c r="O361" i="2"/>
  <c r="M353" i="2"/>
  <c r="N353" i="2"/>
  <c r="O353" i="2"/>
  <c r="M345" i="2"/>
  <c r="N345" i="2"/>
  <c r="O345" i="2"/>
  <c r="M337" i="2"/>
  <c r="N337" i="2"/>
  <c r="O337" i="2"/>
  <c r="M329" i="2"/>
  <c r="N329" i="2"/>
  <c r="O329" i="2"/>
  <c r="M321" i="2"/>
  <c r="N321" i="2"/>
  <c r="O321" i="2"/>
  <c r="M313" i="2"/>
  <c r="O313" i="2"/>
  <c r="N313" i="2"/>
  <c r="M305" i="2"/>
  <c r="O305" i="2"/>
  <c r="N305" i="2"/>
  <c r="M297" i="2"/>
  <c r="O297" i="2"/>
  <c r="N297" i="2"/>
  <c r="M289" i="2"/>
  <c r="N289" i="2"/>
  <c r="O289" i="2"/>
  <c r="M281" i="2"/>
  <c r="O281" i="2"/>
  <c r="N281" i="2"/>
  <c r="M273" i="2"/>
  <c r="O273" i="2"/>
  <c r="N273" i="2"/>
  <c r="M265" i="2"/>
  <c r="O265" i="2"/>
  <c r="N265" i="2"/>
  <c r="M257" i="2"/>
  <c r="O257" i="2"/>
  <c r="N257" i="2"/>
  <c r="M249" i="2"/>
  <c r="O249" i="2"/>
  <c r="N249" i="2"/>
  <c r="M241" i="2"/>
  <c r="N241" i="2"/>
  <c r="O241" i="2"/>
  <c r="M233" i="2"/>
  <c r="N233" i="2"/>
  <c r="O233" i="2"/>
  <c r="M225" i="2"/>
  <c r="O225" i="2"/>
  <c r="P225" i="2" s="1"/>
  <c r="N225" i="2"/>
  <c r="M217" i="2"/>
  <c r="N217" i="2"/>
  <c r="O217" i="2"/>
  <c r="M209" i="2"/>
  <c r="N209" i="2"/>
  <c r="O209" i="2"/>
  <c r="M201" i="2"/>
  <c r="O201" i="2"/>
  <c r="N201" i="2"/>
  <c r="M193" i="2"/>
  <c r="N193" i="2"/>
  <c r="O193" i="2"/>
  <c r="M185" i="2"/>
  <c r="N185" i="2"/>
  <c r="O185" i="2"/>
  <c r="P185" i="2" s="1"/>
  <c r="M177" i="2"/>
  <c r="N177" i="2"/>
  <c r="O177" i="2"/>
  <c r="M169" i="2"/>
  <c r="O169" i="2"/>
  <c r="N169" i="2"/>
  <c r="M161" i="2"/>
  <c r="O161" i="2"/>
  <c r="P161" i="2" s="1"/>
  <c r="N161" i="2"/>
  <c r="M153" i="2"/>
  <c r="O153" i="2"/>
  <c r="N153" i="2"/>
  <c r="M145" i="2"/>
  <c r="N145" i="2"/>
  <c r="P145" i="2" s="1"/>
  <c r="O145" i="2"/>
  <c r="M137" i="2"/>
  <c r="N137" i="2"/>
  <c r="O137" i="2"/>
  <c r="M129" i="2"/>
  <c r="N129" i="2"/>
  <c r="O129" i="2"/>
  <c r="M121" i="2"/>
  <c r="N121" i="2"/>
  <c r="O121" i="2"/>
  <c r="P121" i="2" s="1"/>
  <c r="M113" i="2"/>
  <c r="O113" i="2"/>
  <c r="N113" i="2"/>
  <c r="M105" i="2"/>
  <c r="O105" i="2"/>
  <c r="N105" i="2"/>
  <c r="M97" i="2"/>
  <c r="O97" i="2"/>
  <c r="P97" i="2" s="1"/>
  <c r="N97" i="2"/>
  <c r="M89" i="2"/>
  <c r="O89" i="2"/>
  <c r="N89" i="2"/>
  <c r="M416" i="2"/>
  <c r="O416" i="2"/>
  <c r="N416" i="2"/>
  <c r="M408" i="2"/>
  <c r="N408" i="2"/>
  <c r="O408" i="2"/>
  <c r="M400" i="2"/>
  <c r="O400" i="2"/>
  <c r="N400" i="2"/>
  <c r="M392" i="2"/>
  <c r="N392" i="2"/>
  <c r="O392" i="2"/>
  <c r="M384" i="2"/>
  <c r="O384" i="2"/>
  <c r="N384" i="2"/>
  <c r="M376" i="2"/>
  <c r="N376" i="2"/>
  <c r="O376" i="2"/>
  <c r="M368" i="2"/>
  <c r="N368" i="2"/>
  <c r="O368" i="2"/>
  <c r="M360" i="2"/>
  <c r="N360" i="2"/>
  <c r="O360" i="2"/>
  <c r="M352" i="2"/>
  <c r="N352" i="2"/>
  <c r="O352" i="2"/>
  <c r="M344" i="2"/>
  <c r="O344" i="2"/>
  <c r="N344" i="2"/>
  <c r="M336" i="2"/>
  <c r="O336" i="2"/>
  <c r="N336" i="2"/>
  <c r="M328" i="2"/>
  <c r="N328" i="2"/>
  <c r="O328" i="2"/>
  <c r="P328" i="2" s="1"/>
  <c r="M320" i="2"/>
  <c r="N320" i="2"/>
  <c r="O320" i="2"/>
  <c r="M312" i="2"/>
  <c r="O312" i="2"/>
  <c r="N312" i="2"/>
  <c r="M304" i="2"/>
  <c r="O304" i="2"/>
  <c r="P304" i="2" s="1"/>
  <c r="N304" i="2"/>
  <c r="M296" i="2"/>
  <c r="O296" i="2"/>
  <c r="N296" i="2"/>
  <c r="M288" i="2"/>
  <c r="N288" i="2"/>
  <c r="O288" i="2"/>
  <c r="M280" i="2"/>
  <c r="N280" i="2"/>
  <c r="O280" i="2"/>
  <c r="M272" i="2"/>
  <c r="O272" i="2"/>
  <c r="N272" i="2"/>
  <c r="M264" i="2"/>
  <c r="N264" i="2"/>
  <c r="O264" i="2"/>
  <c r="M256" i="2"/>
  <c r="N256" i="2"/>
  <c r="O256" i="2"/>
  <c r="M248" i="2"/>
  <c r="N248" i="2"/>
  <c r="O248" i="2"/>
  <c r="M240" i="2"/>
  <c r="N240" i="2"/>
  <c r="O240" i="2"/>
  <c r="M232" i="2"/>
  <c r="N232" i="2"/>
  <c r="O232" i="2"/>
  <c r="M224" i="2"/>
  <c r="N224" i="2"/>
  <c r="P224" i="2" s="1"/>
  <c r="O224" i="2"/>
  <c r="M216" i="2"/>
  <c r="O216" i="2"/>
  <c r="N216" i="2"/>
  <c r="M208" i="2"/>
  <c r="O208" i="2"/>
  <c r="N208" i="2"/>
  <c r="M200" i="2"/>
  <c r="O200" i="2"/>
  <c r="N200" i="2"/>
  <c r="P200" i="2" s="1"/>
  <c r="M192" i="2"/>
  <c r="N192" i="2"/>
  <c r="O192" i="2"/>
  <c r="M184" i="2"/>
  <c r="O184" i="2"/>
  <c r="N184" i="2"/>
  <c r="M176" i="2"/>
  <c r="N176" i="2"/>
  <c r="O176" i="2"/>
  <c r="M168" i="2"/>
  <c r="O168" i="2"/>
  <c r="N168" i="2"/>
  <c r="M160" i="2"/>
  <c r="N160" i="2"/>
  <c r="O160" i="2"/>
  <c r="M152" i="2"/>
  <c r="O152" i="2"/>
  <c r="N152" i="2"/>
  <c r="M144" i="2"/>
  <c r="N144" i="2"/>
  <c r="O144" i="2"/>
  <c r="M136" i="2"/>
  <c r="N136" i="2"/>
  <c r="O136" i="2"/>
  <c r="P136" i="2" s="1"/>
  <c r="M128" i="2"/>
  <c r="O128" i="2"/>
  <c r="N128" i="2"/>
  <c r="M120" i="2"/>
  <c r="N120" i="2"/>
  <c r="O120" i="2"/>
  <c r="M112" i="2"/>
  <c r="O112" i="2"/>
  <c r="P112" i="2" s="1"/>
  <c r="N112" i="2"/>
  <c r="M104" i="2"/>
  <c r="O104" i="2"/>
  <c r="N104" i="2"/>
  <c r="M96" i="2"/>
  <c r="O96" i="2"/>
  <c r="P96" i="2" s="1"/>
  <c r="N96" i="2"/>
  <c r="M88" i="2"/>
  <c r="O88" i="2"/>
  <c r="N88" i="2"/>
  <c r="M415" i="2"/>
  <c r="N415" i="2"/>
  <c r="O415" i="2"/>
  <c r="M407" i="2"/>
  <c r="N407" i="2"/>
  <c r="O407" i="2"/>
  <c r="M399" i="2"/>
  <c r="O399" i="2"/>
  <c r="N399" i="2"/>
  <c r="M391" i="2"/>
  <c r="O391" i="2"/>
  <c r="N391" i="2"/>
  <c r="M383" i="2"/>
  <c r="O383" i="2"/>
  <c r="P383" i="2" s="1"/>
  <c r="N383" i="2"/>
  <c r="M375" i="2"/>
  <c r="N375" i="2"/>
  <c r="O375" i="2"/>
  <c r="M367" i="2"/>
  <c r="O367" i="2"/>
  <c r="N367" i="2"/>
  <c r="M359" i="2"/>
  <c r="O359" i="2"/>
  <c r="N359" i="2"/>
  <c r="M351" i="2"/>
  <c r="N351" i="2"/>
  <c r="O351" i="2"/>
  <c r="M343" i="2"/>
  <c r="O343" i="2"/>
  <c r="N343" i="2"/>
  <c r="M335" i="2"/>
  <c r="N335" i="2"/>
  <c r="O335" i="2"/>
  <c r="M327" i="2"/>
  <c r="N327" i="2"/>
  <c r="O327" i="2"/>
  <c r="M319" i="2"/>
  <c r="N319" i="2"/>
  <c r="O319" i="2"/>
  <c r="M311" i="2"/>
  <c r="N311" i="2"/>
  <c r="O311" i="2"/>
  <c r="M303" i="2"/>
  <c r="N303" i="2"/>
  <c r="O303" i="2"/>
  <c r="M295" i="2"/>
  <c r="N295" i="2"/>
  <c r="O295" i="2"/>
  <c r="M287" i="2"/>
  <c r="N287" i="2"/>
  <c r="O287" i="2"/>
  <c r="M279" i="2"/>
  <c r="N279" i="2"/>
  <c r="O279" i="2"/>
  <c r="P279" i="2" s="1"/>
  <c r="M271" i="2"/>
  <c r="N271" i="2"/>
  <c r="O271" i="2"/>
  <c r="M263" i="2"/>
  <c r="N263" i="2"/>
  <c r="O263" i="2"/>
  <c r="M255" i="2"/>
  <c r="N255" i="2"/>
  <c r="P255" i="2" s="1"/>
  <c r="O255" i="2"/>
  <c r="M247" i="2"/>
  <c r="N247" i="2"/>
  <c r="O247" i="2"/>
  <c r="M239" i="2"/>
  <c r="O239" i="2"/>
  <c r="N239" i="2"/>
  <c r="M231" i="2"/>
  <c r="O231" i="2"/>
  <c r="N231" i="2"/>
  <c r="M223" i="2"/>
  <c r="N223" i="2"/>
  <c r="O223" i="2"/>
  <c r="M215" i="2"/>
  <c r="O215" i="2"/>
  <c r="N215" i="2"/>
  <c r="P215" i="2" s="1"/>
  <c r="M207" i="2"/>
  <c r="N207" i="2"/>
  <c r="O207" i="2"/>
  <c r="M199" i="2"/>
  <c r="N199" i="2"/>
  <c r="O199" i="2"/>
  <c r="M191" i="2"/>
  <c r="O191" i="2"/>
  <c r="P191" i="2" s="1"/>
  <c r="N191" i="2"/>
  <c r="M183" i="2"/>
  <c r="N183" i="2"/>
  <c r="O183" i="2"/>
  <c r="M175" i="2"/>
  <c r="N175" i="2"/>
  <c r="O175" i="2"/>
  <c r="M167" i="2"/>
  <c r="N167" i="2"/>
  <c r="O167" i="2"/>
  <c r="M159" i="2"/>
  <c r="N159" i="2"/>
  <c r="O159" i="2"/>
  <c r="M151" i="2"/>
  <c r="N151" i="2"/>
  <c r="O151" i="2"/>
  <c r="M143" i="2"/>
  <c r="O143" i="2"/>
  <c r="N143" i="2"/>
  <c r="M135" i="2"/>
  <c r="N135" i="2"/>
  <c r="O135" i="2"/>
  <c r="M127" i="2"/>
  <c r="N127" i="2"/>
  <c r="P127" i="2" s="1"/>
  <c r="O127" i="2"/>
  <c r="M119" i="2"/>
  <c r="O119" i="2"/>
  <c r="N119" i="2"/>
  <c r="M111" i="2"/>
  <c r="N111" i="2"/>
  <c r="O111" i="2"/>
  <c r="M103" i="2"/>
  <c r="O103" i="2"/>
  <c r="N103" i="2"/>
  <c r="M95" i="2"/>
  <c r="O95" i="2"/>
  <c r="N95" i="2"/>
  <c r="M85" i="2"/>
  <c r="O85" i="2"/>
  <c r="N85" i="2"/>
  <c r="P85" i="2" s="1"/>
  <c r="M77" i="2"/>
  <c r="O77" i="2"/>
  <c r="M69" i="2"/>
  <c r="O69" i="2"/>
  <c r="M61" i="2"/>
  <c r="O61" i="2"/>
  <c r="M53" i="2"/>
  <c r="O53" i="2"/>
  <c r="M45" i="2"/>
  <c r="O45" i="2"/>
  <c r="M37" i="2"/>
  <c r="O37" i="2"/>
  <c r="M29" i="2"/>
  <c r="O29" i="2"/>
  <c r="M21" i="2"/>
  <c r="O21" i="2"/>
  <c r="M13" i="2"/>
  <c r="O13" i="2"/>
  <c r="M5" i="2"/>
  <c r="O5" i="2"/>
  <c r="F414" i="2"/>
  <c r="G414" i="2"/>
  <c r="H414" i="2"/>
  <c r="F406" i="2"/>
  <c r="G406" i="2"/>
  <c r="H406" i="2"/>
  <c r="F398" i="2"/>
  <c r="G398" i="2"/>
  <c r="H398" i="2"/>
  <c r="F390" i="2"/>
  <c r="G390" i="2"/>
  <c r="H390" i="2"/>
  <c r="F382" i="2"/>
  <c r="G382" i="2"/>
  <c r="H382" i="2"/>
  <c r="F374" i="2"/>
  <c r="G374" i="2"/>
  <c r="H374" i="2"/>
  <c r="F366" i="2"/>
  <c r="G366" i="2"/>
  <c r="H366" i="2"/>
  <c r="F358" i="2"/>
  <c r="G358" i="2"/>
  <c r="H358" i="2"/>
  <c r="I358" i="2" s="1"/>
  <c r="F350" i="2"/>
  <c r="G350" i="2"/>
  <c r="H350" i="2"/>
  <c r="F342" i="2"/>
  <c r="H342" i="2"/>
  <c r="G342" i="2"/>
  <c r="F334" i="2"/>
  <c r="G334" i="2"/>
  <c r="H334" i="2"/>
  <c r="F326" i="2"/>
  <c r="H326" i="2"/>
  <c r="G326" i="2"/>
  <c r="F318" i="2"/>
  <c r="G318" i="2"/>
  <c r="H318" i="2"/>
  <c r="F310" i="2"/>
  <c r="G310" i="2"/>
  <c r="H310" i="2"/>
  <c r="F302" i="2"/>
  <c r="G302" i="2"/>
  <c r="H302" i="2"/>
  <c r="F294" i="2"/>
  <c r="G294" i="2"/>
  <c r="H294" i="2"/>
  <c r="F286" i="2"/>
  <c r="H286" i="2"/>
  <c r="G286" i="2"/>
  <c r="F278" i="2"/>
  <c r="G278" i="2"/>
  <c r="H278" i="2"/>
  <c r="F270" i="2"/>
  <c r="H270" i="2"/>
  <c r="G270" i="2"/>
  <c r="F262" i="2"/>
  <c r="G262" i="2"/>
  <c r="H262" i="2"/>
  <c r="F254" i="2"/>
  <c r="H254" i="2"/>
  <c r="G254" i="2"/>
  <c r="F246" i="2"/>
  <c r="G246" i="2"/>
  <c r="H246" i="2"/>
  <c r="F238" i="2"/>
  <c r="H238" i="2"/>
  <c r="G238" i="2"/>
  <c r="F230" i="2"/>
  <c r="G230" i="2"/>
  <c r="H230" i="2"/>
  <c r="F222" i="2"/>
  <c r="G222" i="2"/>
  <c r="H222" i="2"/>
  <c r="F214" i="2"/>
  <c r="G214" i="2"/>
  <c r="H214" i="2"/>
  <c r="F206" i="2"/>
  <c r="H206" i="2"/>
  <c r="G206" i="2"/>
  <c r="F198" i="2"/>
  <c r="G198" i="2"/>
  <c r="H198" i="2"/>
  <c r="F190" i="2"/>
  <c r="G190" i="2"/>
  <c r="H190" i="2"/>
  <c r="F182" i="2"/>
  <c r="G182" i="2"/>
  <c r="H182" i="2"/>
  <c r="F174" i="2"/>
  <c r="H174" i="2"/>
  <c r="G174" i="2"/>
  <c r="F166" i="2"/>
  <c r="G166" i="2"/>
  <c r="H166" i="2"/>
  <c r="F158" i="2"/>
  <c r="G158" i="2"/>
  <c r="H158" i="2"/>
  <c r="F150" i="2"/>
  <c r="G150" i="2"/>
  <c r="H150" i="2"/>
  <c r="F142" i="2"/>
  <c r="H142" i="2"/>
  <c r="G142" i="2"/>
  <c r="F134" i="2"/>
  <c r="G134" i="2"/>
  <c r="H134" i="2"/>
  <c r="F126" i="2"/>
  <c r="G126" i="2"/>
  <c r="H126" i="2"/>
  <c r="F118" i="2"/>
  <c r="H118" i="2"/>
  <c r="G118" i="2"/>
  <c r="F110" i="2"/>
  <c r="H110" i="2"/>
  <c r="G110" i="2"/>
  <c r="M414" i="2"/>
  <c r="N414" i="2"/>
  <c r="O414" i="2"/>
  <c r="M406" i="2"/>
  <c r="N406" i="2"/>
  <c r="P406" i="2" s="1"/>
  <c r="O406" i="2"/>
  <c r="M398" i="2"/>
  <c r="N398" i="2"/>
  <c r="O398" i="2"/>
  <c r="M390" i="2"/>
  <c r="N390" i="2"/>
  <c r="O390" i="2"/>
  <c r="M382" i="2"/>
  <c r="N382" i="2"/>
  <c r="O382" i="2"/>
  <c r="M374" i="2"/>
  <c r="N374" i="2"/>
  <c r="O374" i="2"/>
  <c r="M366" i="2"/>
  <c r="O366" i="2"/>
  <c r="N366" i="2"/>
  <c r="M358" i="2"/>
  <c r="N358" i="2"/>
  <c r="O358" i="2"/>
  <c r="M350" i="2"/>
  <c r="N350" i="2"/>
  <c r="O350" i="2"/>
  <c r="P350" i="2" s="1"/>
  <c r="M342" i="2"/>
  <c r="N342" i="2"/>
  <c r="O342" i="2"/>
  <c r="M334" i="2"/>
  <c r="N334" i="2"/>
  <c r="O334" i="2"/>
  <c r="P334" i="2" s="1"/>
  <c r="M326" i="2"/>
  <c r="O326" i="2"/>
  <c r="P326" i="2" s="1"/>
  <c r="N326" i="2"/>
  <c r="M318" i="2"/>
  <c r="N318" i="2"/>
  <c r="O318" i="2"/>
  <c r="M310" i="2"/>
  <c r="N310" i="2"/>
  <c r="P310" i="2" s="1"/>
  <c r="O310" i="2"/>
  <c r="M302" i="2"/>
  <c r="O302" i="2"/>
  <c r="N302" i="2"/>
  <c r="P302" i="2" s="1"/>
  <c r="M294" i="2"/>
  <c r="N294" i="2"/>
  <c r="O294" i="2"/>
  <c r="M286" i="2"/>
  <c r="O286" i="2"/>
  <c r="N286" i="2"/>
  <c r="M278" i="2"/>
  <c r="O278" i="2"/>
  <c r="N278" i="2"/>
  <c r="M270" i="2"/>
  <c r="O270" i="2"/>
  <c r="N270" i="2"/>
  <c r="P270" i="2" s="1"/>
  <c r="M262" i="2"/>
  <c r="O262" i="2"/>
  <c r="N262" i="2"/>
  <c r="M254" i="2"/>
  <c r="O254" i="2"/>
  <c r="N254" i="2"/>
  <c r="P254" i="2" s="1"/>
  <c r="M246" i="2"/>
  <c r="N246" i="2"/>
  <c r="O246" i="2"/>
  <c r="M238" i="2"/>
  <c r="O238" i="2"/>
  <c r="N238" i="2"/>
  <c r="M230" i="2"/>
  <c r="N230" i="2"/>
  <c r="O230" i="2"/>
  <c r="M222" i="2"/>
  <c r="N222" i="2"/>
  <c r="O222" i="2"/>
  <c r="P222" i="2" s="1"/>
  <c r="M214" i="2"/>
  <c r="N214" i="2"/>
  <c r="O214" i="2"/>
  <c r="M206" i="2"/>
  <c r="N206" i="2"/>
  <c r="O206" i="2"/>
  <c r="P206" i="2" s="1"/>
  <c r="M198" i="2"/>
  <c r="O198" i="2"/>
  <c r="P198" i="2" s="1"/>
  <c r="N198" i="2"/>
  <c r="M190" i="2"/>
  <c r="N190" i="2"/>
  <c r="O190" i="2"/>
  <c r="M182" i="2"/>
  <c r="N182" i="2"/>
  <c r="P182" i="2" s="1"/>
  <c r="O182" i="2"/>
  <c r="M174" i="2"/>
  <c r="N174" i="2"/>
  <c r="O174" i="2"/>
  <c r="P174" i="2" s="1"/>
  <c r="M166" i="2"/>
  <c r="N166" i="2"/>
  <c r="P166" i="2" s="1"/>
  <c r="O166" i="2"/>
  <c r="M158" i="2"/>
  <c r="N158" i="2"/>
  <c r="O158" i="2"/>
  <c r="P158" i="2" s="1"/>
  <c r="M150" i="2"/>
  <c r="O150" i="2"/>
  <c r="N150" i="2"/>
  <c r="M142" i="2"/>
  <c r="O142" i="2"/>
  <c r="N142" i="2"/>
  <c r="P142" i="2" s="1"/>
  <c r="M134" i="2"/>
  <c r="O134" i="2"/>
  <c r="P134" i="2" s="1"/>
  <c r="N134" i="2"/>
  <c r="M126" i="2"/>
  <c r="N126" i="2"/>
  <c r="O126" i="2"/>
  <c r="M118" i="2"/>
  <c r="O118" i="2"/>
  <c r="P118" i="2" s="1"/>
  <c r="N118" i="2"/>
  <c r="M110" i="2"/>
  <c r="N110" i="2"/>
  <c r="O110" i="2"/>
  <c r="M102" i="2"/>
  <c r="O102" i="2"/>
  <c r="N102" i="2"/>
  <c r="M94" i="2"/>
  <c r="O94" i="2"/>
  <c r="N94" i="2"/>
  <c r="O84" i="2"/>
  <c r="N84" i="2"/>
  <c r="M76" i="2"/>
  <c r="O76" i="2"/>
  <c r="T413" i="2"/>
  <c r="U413" i="2"/>
  <c r="V413" i="2"/>
  <c r="T405" i="2"/>
  <c r="U405" i="2"/>
  <c r="V405" i="2"/>
  <c r="T397" i="2"/>
  <c r="U397" i="2"/>
  <c r="V397" i="2"/>
  <c r="T389" i="2"/>
  <c r="U389" i="2"/>
  <c r="V389" i="2"/>
  <c r="T381" i="2"/>
  <c r="U381" i="2"/>
  <c r="V381" i="2"/>
  <c r="T373" i="2"/>
  <c r="U373" i="2"/>
  <c r="V373" i="2"/>
  <c r="T365" i="2"/>
  <c r="U365" i="2"/>
  <c r="V365" i="2"/>
  <c r="T357" i="2"/>
  <c r="U357" i="2"/>
  <c r="V357" i="2"/>
  <c r="T349" i="2"/>
  <c r="U349" i="2"/>
  <c r="V349" i="2"/>
  <c r="T341" i="2"/>
  <c r="U341" i="2"/>
  <c r="V341" i="2"/>
  <c r="T333" i="2"/>
  <c r="U333" i="2"/>
  <c r="V333" i="2"/>
  <c r="T325" i="2"/>
  <c r="U325" i="2"/>
  <c r="V325" i="2"/>
  <c r="T317" i="2"/>
  <c r="U317" i="2"/>
  <c r="V317" i="2"/>
  <c r="T309" i="2"/>
  <c r="U309" i="2"/>
  <c r="V309" i="2"/>
  <c r="T301" i="2"/>
  <c r="U301" i="2"/>
  <c r="V301" i="2"/>
  <c r="T293" i="2"/>
  <c r="V293" i="2"/>
  <c r="U293" i="2"/>
  <c r="T285" i="2"/>
  <c r="V285" i="2"/>
  <c r="U285" i="2"/>
  <c r="T277" i="2"/>
  <c r="U277" i="2"/>
  <c r="V277" i="2"/>
  <c r="T269" i="2"/>
  <c r="U269" i="2"/>
  <c r="V269" i="2"/>
  <c r="T261" i="2"/>
  <c r="U261" i="2"/>
  <c r="V261" i="2"/>
  <c r="T253" i="2"/>
  <c r="U253" i="2"/>
  <c r="V253" i="2"/>
  <c r="T245" i="2"/>
  <c r="U245" i="2"/>
  <c r="V245" i="2"/>
  <c r="T237" i="2"/>
  <c r="U237" i="2"/>
  <c r="V237" i="2"/>
  <c r="T229" i="2"/>
  <c r="V229" i="2"/>
  <c r="U229" i="2"/>
  <c r="T221" i="2"/>
  <c r="V221" i="2"/>
  <c r="U221" i="2"/>
  <c r="T213" i="2"/>
  <c r="V213" i="2"/>
  <c r="U213" i="2"/>
  <c r="T205" i="2"/>
  <c r="V205" i="2"/>
  <c r="U205" i="2"/>
  <c r="T197" i="2"/>
  <c r="V197" i="2"/>
  <c r="U197" i="2"/>
  <c r="T189" i="2"/>
  <c r="V189" i="2"/>
  <c r="U189" i="2"/>
  <c r="T181" i="2"/>
  <c r="V181" i="2"/>
  <c r="U181" i="2"/>
  <c r="T173" i="2"/>
  <c r="V173" i="2"/>
  <c r="U173" i="2"/>
  <c r="T165" i="2"/>
  <c r="U165" i="2"/>
  <c r="V165" i="2"/>
  <c r="T157" i="2"/>
  <c r="U157" i="2"/>
  <c r="V157" i="2"/>
  <c r="T149" i="2"/>
  <c r="U149" i="2"/>
  <c r="V149" i="2"/>
  <c r="T141" i="2"/>
  <c r="U141" i="2"/>
  <c r="V141" i="2"/>
  <c r="T133" i="2"/>
  <c r="U133" i="2"/>
  <c r="V133" i="2"/>
  <c r="T125" i="2"/>
  <c r="U125" i="2"/>
  <c r="V125" i="2"/>
  <c r="T117" i="2"/>
  <c r="U117" i="2"/>
  <c r="V117" i="2"/>
  <c r="T109" i="2"/>
  <c r="U109" i="2"/>
  <c r="V109" i="2"/>
  <c r="T101" i="2"/>
  <c r="U101" i="2"/>
  <c r="V101" i="2"/>
  <c r="T93" i="2"/>
  <c r="U93" i="2"/>
  <c r="V93" i="2"/>
  <c r="M83" i="2"/>
  <c r="O83" i="2"/>
  <c r="M75" i="2"/>
  <c r="N75" i="2" s="1"/>
  <c r="P75" i="2" s="1"/>
  <c r="O75" i="2"/>
  <c r="M67" i="2"/>
  <c r="O67" i="2"/>
  <c r="M59" i="2"/>
  <c r="O59" i="2"/>
  <c r="M51" i="2"/>
  <c r="O51" i="2"/>
  <c r="M43" i="2"/>
  <c r="O43" i="2"/>
  <c r="M35" i="2"/>
  <c r="O35" i="2"/>
  <c r="M27" i="2"/>
  <c r="O27" i="2"/>
  <c r="M19" i="2"/>
  <c r="O19" i="2"/>
  <c r="M11" i="2"/>
  <c r="O11" i="2"/>
  <c r="F412" i="2"/>
  <c r="H412" i="2"/>
  <c r="G412" i="2"/>
  <c r="F404" i="2"/>
  <c r="G404" i="2"/>
  <c r="H404" i="2"/>
  <c r="F396" i="2"/>
  <c r="G396" i="2"/>
  <c r="H396" i="2"/>
  <c r="F388" i="2"/>
  <c r="G388" i="2"/>
  <c r="H388" i="2"/>
  <c r="F380" i="2"/>
  <c r="G380" i="2"/>
  <c r="H380" i="2"/>
  <c r="F372" i="2"/>
  <c r="G372" i="2"/>
  <c r="H372" i="2"/>
  <c r="F364" i="2"/>
  <c r="G364" i="2"/>
  <c r="H364" i="2"/>
  <c r="F356" i="2"/>
  <c r="H356" i="2"/>
  <c r="G356" i="2"/>
  <c r="F348" i="2"/>
  <c r="G348" i="2"/>
  <c r="H348" i="2"/>
  <c r="F340" i="2"/>
  <c r="G340" i="2"/>
  <c r="H340" i="2"/>
  <c r="F332" i="2"/>
  <c r="G332" i="2"/>
  <c r="H332" i="2"/>
  <c r="F324" i="2"/>
  <c r="H324" i="2"/>
  <c r="G324" i="2"/>
  <c r="F316" i="2"/>
  <c r="G316" i="2"/>
  <c r="H316" i="2"/>
  <c r="F308" i="2"/>
  <c r="G308" i="2"/>
  <c r="H308" i="2"/>
  <c r="F300" i="2"/>
  <c r="G300" i="2"/>
  <c r="H300" i="2"/>
  <c r="F292" i="2"/>
  <c r="G292" i="2"/>
  <c r="H292" i="2"/>
  <c r="F284" i="2"/>
  <c r="G284" i="2"/>
  <c r="H284" i="2"/>
  <c r="F276" i="2"/>
  <c r="H276" i="2"/>
  <c r="G276" i="2"/>
  <c r="F268" i="2"/>
  <c r="H268" i="2"/>
  <c r="G268" i="2"/>
  <c r="F260" i="2"/>
  <c r="H260" i="2"/>
  <c r="G260" i="2"/>
  <c r="F252" i="2"/>
  <c r="H252" i="2"/>
  <c r="G252" i="2"/>
  <c r="F244" i="2"/>
  <c r="H244" i="2"/>
  <c r="G244" i="2"/>
  <c r="F236" i="2"/>
  <c r="H236" i="2"/>
  <c r="G236" i="2"/>
  <c r="F228" i="2"/>
  <c r="H228" i="2"/>
  <c r="G228" i="2"/>
  <c r="F220" i="2"/>
  <c r="H220" i="2"/>
  <c r="G220" i="2"/>
  <c r="F212" i="2"/>
  <c r="H212" i="2"/>
  <c r="G212" i="2"/>
  <c r="F204" i="2"/>
  <c r="H204" i="2"/>
  <c r="G204" i="2"/>
  <c r="F196" i="2"/>
  <c r="H196" i="2"/>
  <c r="G196" i="2"/>
  <c r="F188" i="2"/>
  <c r="H188" i="2"/>
  <c r="G188" i="2"/>
  <c r="F180" i="2"/>
  <c r="H180" i="2"/>
  <c r="G180" i="2"/>
  <c r="F172" i="2"/>
  <c r="H172" i="2"/>
  <c r="G172" i="2"/>
  <c r="F164" i="2"/>
  <c r="H164" i="2"/>
  <c r="G164" i="2"/>
  <c r="F156" i="2"/>
  <c r="H156" i="2"/>
  <c r="G156" i="2"/>
  <c r="F148" i="2"/>
  <c r="H148" i="2"/>
  <c r="G148" i="2"/>
  <c r="F140" i="2"/>
  <c r="H140" i="2"/>
  <c r="G140" i="2"/>
  <c r="F132" i="2"/>
  <c r="G132" i="2"/>
  <c r="H132" i="2"/>
  <c r="F124" i="2"/>
  <c r="H124" i="2"/>
  <c r="G124" i="2"/>
  <c r="F116" i="2"/>
  <c r="G116" i="2"/>
  <c r="H116" i="2"/>
  <c r="F108" i="2"/>
  <c r="H108" i="2"/>
  <c r="G108" i="2"/>
  <c r="F100" i="2"/>
  <c r="H100" i="2"/>
  <c r="G100" i="2"/>
  <c r="F92" i="2"/>
  <c r="H92" i="2"/>
  <c r="G92" i="2"/>
  <c r="T412" i="2"/>
  <c r="U412" i="2"/>
  <c r="V412" i="2"/>
  <c r="T404" i="2"/>
  <c r="U404" i="2"/>
  <c r="V404" i="2"/>
  <c r="T396" i="2"/>
  <c r="U396" i="2"/>
  <c r="V396" i="2"/>
  <c r="T388" i="2"/>
  <c r="U388" i="2"/>
  <c r="V388" i="2"/>
  <c r="T380" i="2"/>
  <c r="U380" i="2"/>
  <c r="V380" i="2"/>
  <c r="T372" i="2"/>
  <c r="U372" i="2"/>
  <c r="V372" i="2"/>
  <c r="T364" i="2"/>
  <c r="V364" i="2"/>
  <c r="U364" i="2"/>
  <c r="T356" i="2"/>
  <c r="V356" i="2"/>
  <c r="U356" i="2"/>
  <c r="T348" i="2"/>
  <c r="V348" i="2"/>
  <c r="U348" i="2"/>
  <c r="T340" i="2"/>
  <c r="V340" i="2"/>
  <c r="U340" i="2"/>
  <c r="T332" i="2"/>
  <c r="V332" i="2"/>
  <c r="U332" i="2"/>
  <c r="T324" i="2"/>
  <c r="V324" i="2"/>
  <c r="U324" i="2"/>
  <c r="T316" i="2"/>
  <c r="V316" i="2"/>
  <c r="U316" i="2"/>
  <c r="T308" i="2"/>
  <c r="U308" i="2"/>
  <c r="V308" i="2"/>
  <c r="T300" i="2"/>
  <c r="U300" i="2"/>
  <c r="V300" i="2"/>
  <c r="T292" i="2"/>
  <c r="U292" i="2"/>
  <c r="V292" i="2"/>
  <c r="T284" i="2"/>
  <c r="U284" i="2"/>
  <c r="V284" i="2"/>
  <c r="T276" i="2"/>
  <c r="U276" i="2"/>
  <c r="V276" i="2"/>
  <c r="T268" i="2"/>
  <c r="U268" i="2"/>
  <c r="V268" i="2"/>
  <c r="T260" i="2"/>
  <c r="U260" i="2"/>
  <c r="V260" i="2"/>
  <c r="T252" i="2"/>
  <c r="U252" i="2"/>
  <c r="V252" i="2"/>
  <c r="T244" i="2"/>
  <c r="U244" i="2"/>
  <c r="V244" i="2"/>
  <c r="T236" i="2"/>
  <c r="U236" i="2"/>
  <c r="V236" i="2"/>
  <c r="T228" i="2"/>
  <c r="U228" i="2"/>
  <c r="V228" i="2"/>
  <c r="T220" i="2"/>
  <c r="U220" i="2"/>
  <c r="V220" i="2"/>
  <c r="T212" i="2"/>
  <c r="U212" i="2"/>
  <c r="V212" i="2"/>
  <c r="T204" i="2"/>
  <c r="U204" i="2"/>
  <c r="V204" i="2"/>
  <c r="T196" i="2"/>
  <c r="U196" i="2"/>
  <c r="V196" i="2"/>
  <c r="T188" i="2"/>
  <c r="U188" i="2"/>
  <c r="V188" i="2"/>
  <c r="T180" i="2"/>
  <c r="U180" i="2"/>
  <c r="V180" i="2"/>
  <c r="T172" i="2"/>
  <c r="U172" i="2"/>
  <c r="V172" i="2"/>
  <c r="T164" i="2"/>
  <c r="U164" i="2"/>
  <c r="V164" i="2"/>
  <c r="T156" i="2"/>
  <c r="U156" i="2"/>
  <c r="V156" i="2"/>
  <c r="T148" i="2"/>
  <c r="U148" i="2"/>
  <c r="V148" i="2"/>
  <c r="T140" i="2"/>
  <c r="U140" i="2"/>
  <c r="V140" i="2"/>
  <c r="T132" i="2"/>
  <c r="U132" i="2"/>
  <c r="V132" i="2"/>
  <c r="T124" i="2"/>
  <c r="U124" i="2"/>
  <c r="V124" i="2"/>
  <c r="T116" i="2"/>
  <c r="U116" i="2"/>
  <c r="V116" i="2"/>
  <c r="T108" i="2"/>
  <c r="U108" i="2"/>
  <c r="V108" i="2"/>
  <c r="T100" i="2"/>
  <c r="U100" i="2"/>
  <c r="V100" i="2"/>
  <c r="T92" i="2"/>
  <c r="U92" i="2"/>
  <c r="V92" i="2"/>
  <c r="F102" i="2"/>
  <c r="G102" i="2"/>
  <c r="H102" i="2"/>
  <c r="F94" i="2"/>
  <c r="G94" i="2"/>
  <c r="H94" i="2"/>
  <c r="F84" i="2"/>
  <c r="G85" i="2" s="1"/>
  <c r="H84" i="2"/>
  <c r="F76" i="2"/>
  <c r="H76" i="2"/>
  <c r="F68" i="2"/>
  <c r="H68" i="2"/>
  <c r="F60" i="2"/>
  <c r="H60" i="2"/>
  <c r="F52" i="2"/>
  <c r="H52" i="2"/>
  <c r="F44" i="2"/>
  <c r="H44" i="2"/>
  <c r="F36" i="2"/>
  <c r="H36" i="2"/>
  <c r="F28" i="2"/>
  <c r="H28" i="2"/>
  <c r="F20" i="2"/>
  <c r="F12" i="2"/>
  <c r="T223" i="2"/>
  <c r="U223" i="2"/>
  <c r="V223" i="2"/>
  <c r="T215" i="2"/>
  <c r="U215" i="2"/>
  <c r="V215" i="2"/>
  <c r="T207" i="2"/>
  <c r="U207" i="2"/>
  <c r="V207" i="2"/>
  <c r="T199" i="2"/>
  <c r="U199" i="2"/>
  <c r="V199" i="2"/>
  <c r="T191" i="2"/>
  <c r="U191" i="2"/>
  <c r="V191" i="2"/>
  <c r="T183" i="2"/>
  <c r="U183" i="2"/>
  <c r="V183" i="2"/>
  <c r="T175" i="2"/>
  <c r="U175" i="2"/>
  <c r="V175" i="2"/>
  <c r="T167" i="2"/>
  <c r="U167" i="2"/>
  <c r="V167" i="2"/>
  <c r="T159" i="2"/>
  <c r="U159" i="2"/>
  <c r="V159" i="2"/>
  <c r="T151" i="2"/>
  <c r="U151" i="2"/>
  <c r="V151" i="2"/>
  <c r="T143" i="2"/>
  <c r="U143" i="2"/>
  <c r="V143" i="2"/>
  <c r="T135" i="2"/>
  <c r="U135" i="2"/>
  <c r="V135" i="2"/>
  <c r="T127" i="2"/>
  <c r="U127" i="2"/>
  <c r="V127" i="2"/>
  <c r="T119" i="2"/>
  <c r="U119" i="2"/>
  <c r="V119" i="2"/>
  <c r="T111" i="2"/>
  <c r="U111" i="2"/>
  <c r="V111" i="2"/>
  <c r="T103" i="2"/>
  <c r="U103" i="2"/>
  <c r="V103" i="2"/>
  <c r="T95" i="2"/>
  <c r="V95" i="2"/>
  <c r="T85" i="2"/>
  <c r="V85" i="2"/>
  <c r="T77" i="2"/>
  <c r="V77" i="2"/>
  <c r="T69" i="2"/>
  <c r="V69" i="2"/>
  <c r="T61" i="2"/>
  <c r="V61" i="2"/>
  <c r="T53" i="2"/>
  <c r="V53" i="2"/>
  <c r="T45" i="2"/>
  <c r="V45" i="2"/>
  <c r="T37" i="2"/>
  <c r="V37" i="2"/>
  <c r="T29" i="2"/>
  <c r="V29" i="2"/>
  <c r="T21" i="2"/>
  <c r="V21" i="2"/>
  <c r="T13" i="2"/>
  <c r="V13" i="2"/>
  <c r="T5" i="2"/>
  <c r="V5" i="2"/>
  <c r="U415" i="2"/>
  <c r="U407" i="2"/>
  <c r="U399" i="2"/>
  <c r="U391" i="2"/>
  <c r="V383" i="2"/>
  <c r="V375" i="2"/>
  <c r="U368" i="2"/>
  <c r="U360" i="2"/>
  <c r="U352" i="2"/>
  <c r="U344" i="2"/>
  <c r="U336" i="2"/>
  <c r="U328" i="2"/>
  <c r="U320" i="2"/>
  <c r="U312" i="2"/>
  <c r="V304" i="2"/>
  <c r="V296" i="2"/>
  <c r="U289" i="2"/>
  <c r="U281" i="2"/>
  <c r="V273" i="2"/>
  <c r="V265" i="2"/>
  <c r="U254" i="2"/>
  <c r="U247" i="2"/>
  <c r="V239" i="2"/>
  <c r="V231" i="2"/>
  <c r="M68" i="2"/>
  <c r="O68" i="2"/>
  <c r="M60" i="2"/>
  <c r="O60" i="2"/>
  <c r="M52" i="2"/>
  <c r="O52" i="2"/>
  <c r="M44" i="2"/>
  <c r="O44" i="2"/>
  <c r="M36" i="2"/>
  <c r="O36" i="2"/>
  <c r="M28" i="2"/>
  <c r="O28" i="2"/>
  <c r="M20" i="2"/>
  <c r="O20" i="2"/>
  <c r="M12" i="2"/>
  <c r="O12" i="2"/>
  <c r="M4" i="2"/>
  <c r="O4" i="2"/>
  <c r="F413" i="2"/>
  <c r="G413" i="2"/>
  <c r="H413" i="2"/>
  <c r="F405" i="2"/>
  <c r="G405" i="2"/>
  <c r="H405" i="2"/>
  <c r="F397" i="2"/>
  <c r="G397" i="2"/>
  <c r="H397" i="2"/>
  <c r="F389" i="2"/>
  <c r="H389" i="2"/>
  <c r="G389" i="2"/>
  <c r="F381" i="2"/>
  <c r="G381" i="2"/>
  <c r="H381" i="2"/>
  <c r="F373" i="2"/>
  <c r="G373" i="2"/>
  <c r="H373" i="2"/>
  <c r="F365" i="2"/>
  <c r="G365" i="2"/>
  <c r="H365" i="2"/>
  <c r="F357" i="2"/>
  <c r="G357" i="2"/>
  <c r="H357" i="2"/>
  <c r="F349" i="2"/>
  <c r="G349" i="2"/>
  <c r="H349" i="2"/>
  <c r="F341" i="2"/>
  <c r="G341" i="2"/>
  <c r="H341" i="2"/>
  <c r="I341" i="2" s="1"/>
  <c r="F333" i="2"/>
  <c r="H333" i="2"/>
  <c r="G333" i="2"/>
  <c r="F325" i="2"/>
  <c r="G325" i="2"/>
  <c r="H325" i="2"/>
  <c r="F317" i="2"/>
  <c r="G317" i="2"/>
  <c r="H317" i="2"/>
  <c r="F309" i="2"/>
  <c r="H309" i="2"/>
  <c r="G309" i="2"/>
  <c r="F301" i="2"/>
  <c r="G301" i="2"/>
  <c r="H301" i="2"/>
  <c r="F293" i="2"/>
  <c r="G293" i="2"/>
  <c r="H293" i="2"/>
  <c r="F285" i="2"/>
  <c r="G285" i="2"/>
  <c r="H285" i="2"/>
  <c r="F277" i="2"/>
  <c r="G277" i="2"/>
  <c r="H277" i="2"/>
  <c r="F269" i="2"/>
  <c r="G269" i="2"/>
  <c r="H269" i="2"/>
  <c r="F261" i="2"/>
  <c r="H261" i="2"/>
  <c r="G261" i="2"/>
  <c r="F253" i="2"/>
  <c r="G253" i="2"/>
  <c r="H253" i="2"/>
  <c r="F245" i="2"/>
  <c r="G245" i="2"/>
  <c r="H245" i="2"/>
  <c r="F237" i="2"/>
  <c r="G237" i="2"/>
  <c r="H237" i="2"/>
  <c r="F229" i="2"/>
  <c r="H229" i="2"/>
  <c r="G229" i="2"/>
  <c r="F221" i="2"/>
  <c r="G221" i="2"/>
  <c r="H221" i="2"/>
  <c r="F213" i="2"/>
  <c r="G213" i="2"/>
  <c r="H213" i="2"/>
  <c r="F205" i="2"/>
  <c r="G205" i="2"/>
  <c r="F197" i="2"/>
  <c r="H197" i="2"/>
  <c r="I197" i="2" s="1"/>
  <c r="G197" i="2"/>
  <c r="F189" i="2"/>
  <c r="G189" i="2"/>
  <c r="H189" i="2"/>
  <c r="I189" i="2" s="1"/>
  <c r="F181" i="2"/>
  <c r="H181" i="2"/>
  <c r="G181" i="2"/>
  <c r="F173" i="2"/>
  <c r="G173" i="2"/>
  <c r="H173" i="2"/>
  <c r="F165" i="2"/>
  <c r="H165" i="2"/>
  <c r="I165" i="2" s="1"/>
  <c r="G165" i="2"/>
  <c r="F157" i="2"/>
  <c r="G157" i="2"/>
  <c r="H157" i="2"/>
  <c r="F149" i="2"/>
  <c r="G149" i="2"/>
  <c r="H149" i="2"/>
  <c r="F141" i="2"/>
  <c r="G141" i="2"/>
  <c r="H141" i="2"/>
  <c r="F133" i="2"/>
  <c r="G133" i="2"/>
  <c r="H133" i="2"/>
  <c r="F125" i="2"/>
  <c r="G125" i="2"/>
  <c r="H125" i="2"/>
  <c r="F117" i="2"/>
  <c r="G117" i="2"/>
  <c r="H117" i="2"/>
  <c r="F109" i="2"/>
  <c r="G109" i="2"/>
  <c r="H109" i="2"/>
  <c r="F101" i="2"/>
  <c r="G101" i="2"/>
  <c r="H101" i="2"/>
  <c r="F93" i="2"/>
  <c r="H93" i="2"/>
  <c r="G93" i="2"/>
  <c r="F83" i="2"/>
  <c r="H83" i="2"/>
  <c r="F75" i="2"/>
  <c r="H75" i="2"/>
  <c r="F67" i="2"/>
  <c r="H67" i="2"/>
  <c r="F59" i="2"/>
  <c r="G59" i="2" s="1"/>
  <c r="H59" i="2"/>
  <c r="F51" i="2"/>
  <c r="H51" i="2"/>
  <c r="F43" i="2"/>
  <c r="G45" i="2" s="1"/>
  <c r="H43" i="2"/>
  <c r="F35" i="2"/>
  <c r="H35" i="2"/>
  <c r="F27" i="2"/>
  <c r="G22" i="2" s="1"/>
  <c r="H27" i="2"/>
  <c r="F19" i="2"/>
  <c r="H19" i="2"/>
  <c r="T222" i="2"/>
  <c r="V222" i="2"/>
  <c r="T214" i="2"/>
  <c r="V214" i="2"/>
  <c r="T206" i="2"/>
  <c r="V206" i="2"/>
  <c r="T198" i="2"/>
  <c r="V198" i="2"/>
  <c r="T190" i="2"/>
  <c r="V190" i="2"/>
  <c r="T182" i="2"/>
  <c r="V182" i="2"/>
  <c r="T174" i="2"/>
  <c r="V174" i="2"/>
  <c r="T166" i="2"/>
  <c r="U166" i="2"/>
  <c r="T158" i="2"/>
  <c r="U158" i="2"/>
  <c r="T150" i="2"/>
  <c r="U150" i="2"/>
  <c r="T142" i="2"/>
  <c r="U142" i="2"/>
  <c r="T134" i="2"/>
  <c r="U134" i="2"/>
  <c r="T126" i="2"/>
  <c r="U126" i="2"/>
  <c r="T118" i="2"/>
  <c r="U118" i="2"/>
  <c r="T110" i="2"/>
  <c r="U110" i="2"/>
  <c r="T102" i="2"/>
  <c r="U102" i="2"/>
  <c r="T94" i="2"/>
  <c r="V94" i="2"/>
  <c r="T84" i="2"/>
  <c r="V84" i="2"/>
  <c r="T76" i="2"/>
  <c r="V76" i="2"/>
  <c r="T68" i="2"/>
  <c r="V68" i="2"/>
  <c r="T60" i="2"/>
  <c r="V60" i="2"/>
  <c r="T52" i="2"/>
  <c r="U52" i="2"/>
  <c r="V52" i="2"/>
  <c r="T44" i="2"/>
  <c r="V44" i="2"/>
  <c r="T36" i="2"/>
  <c r="V36" i="2"/>
  <c r="T28" i="2"/>
  <c r="V28" i="2"/>
  <c r="T20" i="2"/>
  <c r="V20" i="2"/>
  <c r="T12" i="2"/>
  <c r="V12" i="2"/>
  <c r="V414" i="2"/>
  <c r="V406" i="2"/>
  <c r="V398" i="2"/>
  <c r="V390" i="2"/>
  <c r="U383" i="2"/>
  <c r="U375" i="2"/>
  <c r="V367" i="2"/>
  <c r="V359" i="2"/>
  <c r="V351" i="2"/>
  <c r="V343" i="2"/>
  <c r="V335" i="2"/>
  <c r="V327" i="2"/>
  <c r="V319" i="2"/>
  <c r="V311" i="2"/>
  <c r="U304" i="2"/>
  <c r="U296" i="2"/>
  <c r="V288" i="2"/>
  <c r="V280" i="2"/>
  <c r="U273" i="2"/>
  <c r="U265" i="2"/>
  <c r="V257" i="2"/>
  <c r="V246" i="2"/>
  <c r="U239" i="2"/>
  <c r="U231" i="2"/>
  <c r="H205" i="2"/>
  <c r="T83" i="2"/>
  <c r="V83" i="2"/>
  <c r="T75" i="2"/>
  <c r="V75" i="2"/>
  <c r="T67" i="2"/>
  <c r="V67" i="2"/>
  <c r="T59" i="2"/>
  <c r="V59" i="2"/>
  <c r="T51" i="2"/>
  <c r="V51" i="2"/>
  <c r="T43" i="2"/>
  <c r="V43" i="2"/>
  <c r="T35" i="2"/>
  <c r="T27" i="2"/>
  <c r="T19" i="2"/>
  <c r="V19" i="2"/>
  <c r="T11" i="2"/>
  <c r="V11" i="2"/>
  <c r="U414" i="2"/>
  <c r="U406" i="2"/>
  <c r="U398" i="2"/>
  <c r="U390" i="2"/>
  <c r="V382" i="2"/>
  <c r="V374" i="2"/>
  <c r="U367" i="2"/>
  <c r="U359" i="2"/>
  <c r="W359" i="2" s="1"/>
  <c r="U351" i="2"/>
  <c r="U343" i="2"/>
  <c r="U335" i="2"/>
  <c r="U327" i="2"/>
  <c r="W327" i="2" s="1"/>
  <c r="U319" i="2"/>
  <c r="U311" i="2"/>
  <c r="V303" i="2"/>
  <c r="V295" i="2"/>
  <c r="W295" i="2" s="1"/>
  <c r="U288" i="2"/>
  <c r="U280" i="2"/>
  <c r="V272" i="2"/>
  <c r="V264" i="2"/>
  <c r="U257" i="2"/>
  <c r="V249" i="2"/>
  <c r="U246" i="2"/>
  <c r="V238" i="2"/>
  <c r="V230" i="2"/>
  <c r="V35" i="2"/>
  <c r="H4" i="2"/>
  <c r="T82" i="2"/>
  <c r="V82" i="2"/>
  <c r="T74" i="2"/>
  <c r="V74" i="2"/>
  <c r="T66" i="2"/>
  <c r="V66" i="2"/>
  <c r="T58" i="2"/>
  <c r="V58" i="2"/>
  <c r="T50" i="2"/>
  <c r="V50" i="2"/>
  <c r="T42" i="2"/>
  <c r="T34" i="2"/>
  <c r="V34" i="2"/>
  <c r="T26" i="2"/>
  <c r="V26" i="2"/>
  <c r="T18" i="2"/>
  <c r="V18" i="2"/>
  <c r="T10" i="2"/>
  <c r="V10" i="2"/>
  <c r="V417" i="2"/>
  <c r="V409" i="2"/>
  <c r="V401" i="2"/>
  <c r="V393" i="2"/>
  <c r="U382" i="2"/>
  <c r="U374" i="2"/>
  <c r="V366" i="2"/>
  <c r="V358" i="2"/>
  <c r="V350" i="2"/>
  <c r="V342" i="2"/>
  <c r="V334" i="2"/>
  <c r="V326" i="2"/>
  <c r="V318" i="2"/>
  <c r="U303" i="2"/>
  <c r="W303" i="2" s="1"/>
  <c r="U295" i="2"/>
  <c r="V287" i="2"/>
  <c r="V279" i="2"/>
  <c r="U272" i="2"/>
  <c r="U264" i="2"/>
  <c r="V256" i="2"/>
  <c r="U249" i="2"/>
  <c r="U238" i="2"/>
  <c r="U230" i="2"/>
  <c r="U214" i="2"/>
  <c r="W214" i="2" s="1"/>
  <c r="U198" i="2"/>
  <c r="U182" i="2"/>
  <c r="W182" i="2" s="1"/>
  <c r="V166" i="2"/>
  <c r="V150" i="2"/>
  <c r="V134" i="2"/>
  <c r="V118" i="2"/>
  <c r="V102" i="2"/>
  <c r="V27" i="2"/>
  <c r="T81" i="2"/>
  <c r="V81" i="2"/>
  <c r="T73" i="2"/>
  <c r="V73" i="2"/>
  <c r="T65" i="2"/>
  <c r="V65" i="2"/>
  <c r="T57" i="2"/>
  <c r="V57" i="2"/>
  <c r="T49" i="2"/>
  <c r="T41" i="2"/>
  <c r="V41" i="2"/>
  <c r="T33" i="2"/>
  <c r="V33" i="2"/>
  <c r="T25" i="2"/>
  <c r="V25" i="2"/>
  <c r="T17" i="2"/>
  <c r="T9" i="2"/>
  <c r="V9" i="2"/>
  <c r="U417" i="2"/>
  <c r="U409" i="2"/>
  <c r="U401" i="2"/>
  <c r="U393" i="2"/>
  <c r="V385" i="2"/>
  <c r="V377" i="2"/>
  <c r="V369" i="2"/>
  <c r="U366" i="2"/>
  <c r="U358" i="2"/>
  <c r="U350" i="2"/>
  <c r="U342" i="2"/>
  <c r="U334" i="2"/>
  <c r="U326" i="2"/>
  <c r="U318" i="2"/>
  <c r="W318" i="2" s="1"/>
  <c r="V310" i="2"/>
  <c r="V302" i="2"/>
  <c r="V294" i="2"/>
  <c r="U287" i="2"/>
  <c r="U279" i="2"/>
  <c r="V271" i="2"/>
  <c r="V263" i="2"/>
  <c r="U256" i="2"/>
  <c r="V241" i="2"/>
  <c r="V233" i="2"/>
  <c r="V17" i="2"/>
  <c r="T80" i="2"/>
  <c r="V80" i="2"/>
  <c r="T72" i="2"/>
  <c r="V72" i="2"/>
  <c r="T64" i="2"/>
  <c r="V64" i="2"/>
  <c r="T56" i="2"/>
  <c r="V56" i="2"/>
  <c r="T48" i="2"/>
  <c r="V48" i="2"/>
  <c r="T40" i="2"/>
  <c r="V40" i="2"/>
  <c r="T32" i="2"/>
  <c r="V32" i="2"/>
  <c r="T24" i="2"/>
  <c r="V24" i="2"/>
  <c r="T16" i="2"/>
  <c r="V16" i="2"/>
  <c r="T8" i="2"/>
  <c r="V8" i="2"/>
  <c r="V416" i="2"/>
  <c r="V408" i="2"/>
  <c r="V400" i="2"/>
  <c r="V392" i="2"/>
  <c r="U385" i="2"/>
  <c r="U377" i="2"/>
  <c r="U369" i="2"/>
  <c r="V361" i="2"/>
  <c r="V353" i="2"/>
  <c r="V345" i="2"/>
  <c r="V337" i="2"/>
  <c r="V329" i="2"/>
  <c r="V321" i="2"/>
  <c r="V313" i="2"/>
  <c r="U310" i="2"/>
  <c r="U302" i="2"/>
  <c r="U294" i="2"/>
  <c r="W294" i="2" s="1"/>
  <c r="V286" i="2"/>
  <c r="V278" i="2"/>
  <c r="U271" i="2"/>
  <c r="U263" i="2"/>
  <c r="V255" i="2"/>
  <c r="V248" i="2"/>
  <c r="U241" i="2"/>
  <c r="U233" i="2"/>
  <c r="M7" i="2"/>
  <c r="O7" i="2"/>
  <c r="F416" i="2"/>
  <c r="G416" i="2"/>
  <c r="H416" i="2"/>
  <c r="F408" i="2"/>
  <c r="G408" i="2"/>
  <c r="H408" i="2"/>
  <c r="F400" i="2"/>
  <c r="H400" i="2"/>
  <c r="G400" i="2"/>
  <c r="F392" i="2"/>
  <c r="G392" i="2"/>
  <c r="H392" i="2"/>
  <c r="F384" i="2"/>
  <c r="G384" i="2"/>
  <c r="H384" i="2"/>
  <c r="F376" i="2"/>
  <c r="H376" i="2"/>
  <c r="G376" i="2"/>
  <c r="F368" i="2"/>
  <c r="H368" i="2"/>
  <c r="G368" i="2"/>
  <c r="F360" i="2"/>
  <c r="H360" i="2"/>
  <c r="G360" i="2"/>
  <c r="F352" i="2"/>
  <c r="G352" i="2"/>
  <c r="H352" i="2"/>
  <c r="F344" i="2"/>
  <c r="G344" i="2"/>
  <c r="H344" i="2"/>
  <c r="F336" i="2"/>
  <c r="H336" i="2"/>
  <c r="I336" i="2" s="1"/>
  <c r="G336" i="2"/>
  <c r="F328" i="2"/>
  <c r="G328" i="2"/>
  <c r="H328" i="2"/>
  <c r="F320" i="2"/>
  <c r="G320" i="2"/>
  <c r="H320" i="2"/>
  <c r="F312" i="2"/>
  <c r="G312" i="2"/>
  <c r="H312" i="2"/>
  <c r="F304" i="2"/>
  <c r="G304" i="2"/>
  <c r="H304" i="2"/>
  <c r="F296" i="2"/>
  <c r="G296" i="2"/>
  <c r="H296" i="2"/>
  <c r="F288" i="2"/>
  <c r="G288" i="2"/>
  <c r="H288" i="2"/>
  <c r="F280" i="2"/>
  <c r="H280" i="2"/>
  <c r="G280" i="2"/>
  <c r="F272" i="2"/>
  <c r="H272" i="2"/>
  <c r="I272" i="2" s="1"/>
  <c r="G272" i="2"/>
  <c r="F264" i="2"/>
  <c r="H264" i="2"/>
  <c r="G264" i="2"/>
  <c r="F256" i="2"/>
  <c r="H256" i="2"/>
  <c r="G256" i="2"/>
  <c r="F248" i="2"/>
  <c r="H248" i="2"/>
  <c r="G248" i="2"/>
  <c r="F240" i="2"/>
  <c r="H240" i="2"/>
  <c r="I240" i="2" s="1"/>
  <c r="G240" i="2"/>
  <c r="F232" i="2"/>
  <c r="H232" i="2"/>
  <c r="G232" i="2"/>
  <c r="I232" i="2" s="1"/>
  <c r="F224" i="2"/>
  <c r="H224" i="2"/>
  <c r="G224" i="2"/>
  <c r="F216" i="2"/>
  <c r="H216" i="2"/>
  <c r="G216" i="2"/>
  <c r="F208" i="2"/>
  <c r="H208" i="2"/>
  <c r="G208" i="2"/>
  <c r="F200" i="2"/>
  <c r="H200" i="2"/>
  <c r="G200" i="2"/>
  <c r="F192" i="2"/>
  <c r="H192" i="2"/>
  <c r="G192" i="2"/>
  <c r="F184" i="2"/>
  <c r="H184" i="2"/>
  <c r="G184" i="2"/>
  <c r="F176" i="2"/>
  <c r="H176" i="2"/>
  <c r="G176" i="2"/>
  <c r="F168" i="2"/>
  <c r="H168" i="2"/>
  <c r="G168" i="2"/>
  <c r="I168" i="2" s="1"/>
  <c r="F160" i="2"/>
  <c r="H160" i="2"/>
  <c r="G160" i="2"/>
  <c r="F152" i="2"/>
  <c r="H152" i="2"/>
  <c r="G152" i="2"/>
  <c r="F144" i="2"/>
  <c r="H144" i="2"/>
  <c r="G144" i="2"/>
  <c r="F136" i="2"/>
  <c r="H136" i="2"/>
  <c r="G136" i="2"/>
  <c r="F128" i="2"/>
  <c r="G128" i="2"/>
  <c r="H128" i="2"/>
  <c r="F120" i="2"/>
  <c r="G120" i="2"/>
  <c r="H120" i="2"/>
  <c r="F112" i="2"/>
  <c r="G112" i="2"/>
  <c r="H112" i="2"/>
  <c r="F104" i="2"/>
  <c r="H104" i="2"/>
  <c r="G104" i="2"/>
  <c r="F96" i="2"/>
  <c r="H96" i="2"/>
  <c r="G96" i="2"/>
  <c r="F88" i="2"/>
  <c r="H88" i="2"/>
  <c r="G88" i="2"/>
  <c r="T225" i="2"/>
  <c r="V225" i="2"/>
  <c r="T217" i="2"/>
  <c r="V217" i="2"/>
  <c r="W217" i="2" s="1"/>
  <c r="T209" i="2"/>
  <c r="V209" i="2"/>
  <c r="T201" i="2"/>
  <c r="V201" i="2"/>
  <c r="W201" i="2" s="1"/>
  <c r="T193" i="2"/>
  <c r="V193" i="2"/>
  <c r="T185" i="2"/>
  <c r="V185" i="2"/>
  <c r="W185" i="2" s="1"/>
  <c r="T177" i="2"/>
  <c r="V177" i="2"/>
  <c r="T169" i="2"/>
  <c r="U169" i="2"/>
  <c r="W169" i="2" s="1"/>
  <c r="T161" i="2"/>
  <c r="U161" i="2"/>
  <c r="T153" i="2"/>
  <c r="U153" i="2"/>
  <c r="T145" i="2"/>
  <c r="U145" i="2"/>
  <c r="T137" i="2"/>
  <c r="U137" i="2"/>
  <c r="W137" i="2" s="1"/>
  <c r="T129" i="2"/>
  <c r="U129" i="2"/>
  <c r="T121" i="2"/>
  <c r="U121" i="2"/>
  <c r="T113" i="2"/>
  <c r="U113" i="2"/>
  <c r="T105" i="2"/>
  <c r="U105" i="2"/>
  <c r="W105" i="2" s="1"/>
  <c r="T97" i="2"/>
  <c r="U97" i="2"/>
  <c r="V97" i="2"/>
  <c r="T89" i="2"/>
  <c r="U89" i="2"/>
  <c r="V89" i="2"/>
  <c r="T87" i="2"/>
  <c r="V87" i="2"/>
  <c r="T79" i="2"/>
  <c r="V79" i="2"/>
  <c r="T71" i="2"/>
  <c r="V71" i="2"/>
  <c r="T63" i="2"/>
  <c r="T55" i="2"/>
  <c r="V55" i="2"/>
  <c r="T47" i="2"/>
  <c r="V47" i="2"/>
  <c r="T39" i="2"/>
  <c r="V39" i="2"/>
  <c r="T31" i="2"/>
  <c r="V31" i="2"/>
  <c r="T23" i="2"/>
  <c r="V23" i="2"/>
  <c r="T15" i="2"/>
  <c r="V15" i="2"/>
  <c r="T7" i="2"/>
  <c r="V7" i="2"/>
  <c r="M3" i="2"/>
  <c r="O3" i="2"/>
  <c r="U416" i="2"/>
  <c r="U408" i="2"/>
  <c r="U400" i="2"/>
  <c r="U392" i="2"/>
  <c r="V384" i="2"/>
  <c r="V376" i="2"/>
  <c r="U361" i="2"/>
  <c r="U353" i="2"/>
  <c r="U345" i="2"/>
  <c r="U337" i="2"/>
  <c r="U329" i="2"/>
  <c r="U321" i="2"/>
  <c r="U313" i="2"/>
  <c r="V305" i="2"/>
  <c r="V297" i="2"/>
  <c r="U286" i="2"/>
  <c r="U278" i="2"/>
  <c r="V270" i="2"/>
  <c r="V262" i="2"/>
  <c r="U255" i="2"/>
  <c r="U248" i="2"/>
  <c r="V240" i="2"/>
  <c r="V232" i="2"/>
  <c r="U225" i="2"/>
  <c r="U209" i="2"/>
  <c r="U193" i="2"/>
  <c r="U177" i="2"/>
  <c r="V161" i="2"/>
  <c r="V145" i="2"/>
  <c r="V129" i="2"/>
  <c r="V113" i="2"/>
  <c r="V63" i="2"/>
  <c r="F303" i="2"/>
  <c r="G303" i="2"/>
  <c r="H303" i="2"/>
  <c r="F295" i="2"/>
  <c r="H295" i="2"/>
  <c r="G295" i="2"/>
  <c r="F287" i="2"/>
  <c r="H287" i="2"/>
  <c r="G287" i="2"/>
  <c r="F279" i="2"/>
  <c r="H279" i="2"/>
  <c r="G279" i="2"/>
  <c r="F271" i="2"/>
  <c r="G271" i="2"/>
  <c r="H271" i="2"/>
  <c r="I271" i="2" s="1"/>
  <c r="F263" i="2"/>
  <c r="G263" i="2"/>
  <c r="H263" i="2"/>
  <c r="F255" i="2"/>
  <c r="G255" i="2"/>
  <c r="H255" i="2"/>
  <c r="I255" i="2" s="1"/>
  <c r="F247" i="2"/>
  <c r="H247" i="2"/>
  <c r="G247" i="2"/>
  <c r="F239" i="2"/>
  <c r="G239" i="2"/>
  <c r="H239" i="2"/>
  <c r="F231" i="2"/>
  <c r="G231" i="2"/>
  <c r="I231" i="2" s="1"/>
  <c r="H231" i="2"/>
  <c r="F223" i="2"/>
  <c r="G223" i="2"/>
  <c r="H223" i="2"/>
  <c r="F215" i="2"/>
  <c r="H215" i="2"/>
  <c r="G215" i="2"/>
  <c r="F207" i="2"/>
  <c r="G207" i="2"/>
  <c r="H207" i="2"/>
  <c r="I207" i="2" s="1"/>
  <c r="F199" i="2"/>
  <c r="H199" i="2"/>
  <c r="G199" i="2"/>
  <c r="F191" i="2"/>
  <c r="G191" i="2"/>
  <c r="H191" i="2"/>
  <c r="F183" i="2"/>
  <c r="H183" i="2"/>
  <c r="G183" i="2"/>
  <c r="F175" i="2"/>
  <c r="G175" i="2"/>
  <c r="H175" i="2"/>
  <c r="F167" i="2"/>
  <c r="G167" i="2"/>
  <c r="I167" i="2" s="1"/>
  <c r="H167" i="2"/>
  <c r="F159" i="2"/>
  <c r="G159" i="2"/>
  <c r="H159" i="2"/>
  <c r="F151" i="2"/>
  <c r="H151" i="2"/>
  <c r="G151" i="2"/>
  <c r="F143" i="2"/>
  <c r="G143" i="2"/>
  <c r="H143" i="2"/>
  <c r="F135" i="2"/>
  <c r="G135" i="2"/>
  <c r="H135" i="2"/>
  <c r="F127" i="2"/>
  <c r="H127" i="2"/>
  <c r="G127" i="2"/>
  <c r="F119" i="2"/>
  <c r="H119" i="2"/>
  <c r="G119" i="2"/>
  <c r="F111" i="2"/>
  <c r="G111" i="2"/>
  <c r="H111" i="2"/>
  <c r="F103" i="2"/>
  <c r="H103" i="2"/>
  <c r="G103" i="2"/>
  <c r="F95" i="2"/>
  <c r="G95" i="2"/>
  <c r="H95" i="2"/>
  <c r="T224" i="2"/>
  <c r="U224" i="2"/>
  <c r="V224" i="2"/>
  <c r="T216" i="2"/>
  <c r="U216" i="2"/>
  <c r="V216" i="2"/>
  <c r="T208" i="2"/>
  <c r="U208" i="2"/>
  <c r="V208" i="2"/>
  <c r="T200" i="2"/>
  <c r="U200" i="2"/>
  <c r="V200" i="2"/>
  <c r="T192" i="2"/>
  <c r="U192" i="2"/>
  <c r="V192" i="2"/>
  <c r="T184" i="2"/>
  <c r="U184" i="2"/>
  <c r="V184" i="2"/>
  <c r="T176" i="2"/>
  <c r="U176" i="2"/>
  <c r="V176" i="2"/>
  <c r="T168" i="2"/>
  <c r="U168" i="2"/>
  <c r="V168" i="2"/>
  <c r="T160" i="2"/>
  <c r="U160" i="2"/>
  <c r="W160" i="2" s="1"/>
  <c r="V160" i="2"/>
  <c r="T152" i="2"/>
  <c r="U152" i="2"/>
  <c r="V152" i="2"/>
  <c r="T144" i="2"/>
  <c r="U144" i="2"/>
  <c r="V144" i="2"/>
  <c r="T136" i="2"/>
  <c r="U136" i="2"/>
  <c r="V136" i="2"/>
  <c r="T128" i="2"/>
  <c r="U128" i="2"/>
  <c r="V128" i="2"/>
  <c r="T120" i="2"/>
  <c r="U120" i="2"/>
  <c r="V120" i="2"/>
  <c r="T112" i="2"/>
  <c r="U112" i="2"/>
  <c r="V112" i="2"/>
  <c r="T104" i="2"/>
  <c r="U104" i="2"/>
  <c r="V104" i="2"/>
  <c r="T96" i="2"/>
  <c r="U96" i="2"/>
  <c r="V96" i="2"/>
  <c r="T88" i="2"/>
  <c r="U88" i="2"/>
  <c r="V88" i="2"/>
  <c r="T86" i="2"/>
  <c r="U86" i="2" s="1"/>
  <c r="V86" i="2"/>
  <c r="T78" i="2"/>
  <c r="V78" i="2"/>
  <c r="T70" i="2"/>
  <c r="V70" i="2"/>
  <c r="T62" i="2"/>
  <c r="U64" i="2" s="1"/>
  <c r="W64" i="2" s="1"/>
  <c r="V62" i="2"/>
  <c r="T54" i="2"/>
  <c r="V54" i="2"/>
  <c r="T46" i="2"/>
  <c r="V46" i="2"/>
  <c r="T38" i="2"/>
  <c r="V38" i="2"/>
  <c r="T30" i="2"/>
  <c r="V30" i="2"/>
  <c r="T22" i="2"/>
  <c r="V22" i="2"/>
  <c r="T14" i="2"/>
  <c r="V14" i="2"/>
  <c r="T6" i="2"/>
  <c r="V6" i="2"/>
  <c r="V4" i="2"/>
  <c r="V415" i="2"/>
  <c r="V407" i="2"/>
  <c r="W407" i="2" s="1"/>
  <c r="V399" i="2"/>
  <c r="W399" i="2" s="1"/>
  <c r="V391" i="2"/>
  <c r="U384" i="2"/>
  <c r="U376" i="2"/>
  <c r="V368" i="2"/>
  <c r="W368" i="2" s="1"/>
  <c r="V360" i="2"/>
  <c r="V352" i="2"/>
  <c r="W352" i="2" s="1"/>
  <c r="V344" i="2"/>
  <c r="W344" i="2" s="1"/>
  <c r="V336" i="2"/>
  <c r="W336" i="2" s="1"/>
  <c r="V328" i="2"/>
  <c r="W328" i="2" s="1"/>
  <c r="V320" i="2"/>
  <c r="W320" i="2" s="1"/>
  <c r="V312" i="2"/>
  <c r="W312" i="2" s="1"/>
  <c r="U305" i="2"/>
  <c r="U297" i="2"/>
  <c r="V289" i="2"/>
  <c r="W289" i="2" s="1"/>
  <c r="V281" i="2"/>
  <c r="W281" i="2" s="1"/>
  <c r="U270" i="2"/>
  <c r="U262" i="2"/>
  <c r="V254" i="2"/>
  <c r="W254" i="2" s="1"/>
  <c r="V247" i="2"/>
  <c r="W247" i="2" s="1"/>
  <c r="U240" i="2"/>
  <c r="U232" i="2"/>
  <c r="U222" i="2"/>
  <c r="U206" i="2"/>
  <c r="W206" i="2" s="1"/>
  <c r="U190" i="2"/>
  <c r="W190" i="2" s="1"/>
  <c r="U174" i="2"/>
  <c r="V158" i="2"/>
  <c r="W158" i="2" s="1"/>
  <c r="V142" i="2"/>
  <c r="V126" i="2"/>
  <c r="W126" i="2" s="1"/>
  <c r="V110" i="2"/>
  <c r="W110" i="2" s="1"/>
  <c r="U95" i="2"/>
  <c r="W95" i="2" s="1"/>
  <c r="H24" i="2"/>
  <c r="H12" i="2"/>
  <c r="W133" i="2"/>
  <c r="W381" i="2"/>
  <c r="W371" i="2"/>
  <c r="W365" i="2"/>
  <c r="W354" i="2"/>
  <c r="W307" i="2"/>
  <c r="W259" i="2"/>
  <c r="W196" i="2"/>
  <c r="W139" i="2"/>
  <c r="W98" i="2"/>
  <c r="W364" i="2"/>
  <c r="W292" i="2"/>
  <c r="W234" i="2"/>
  <c r="W172" i="2"/>
  <c r="W380" i="2"/>
  <c r="W356" i="2"/>
  <c r="W349" i="2"/>
  <c r="W291" i="2"/>
  <c r="W261" i="2"/>
  <c r="W258" i="2"/>
  <c r="W195" i="2"/>
  <c r="W138" i="2"/>
  <c r="W115" i="2"/>
  <c r="W402" i="2"/>
  <c r="W396" i="2"/>
  <c r="W194" i="2"/>
  <c r="P402" i="2"/>
  <c r="P373" i="2"/>
  <c r="P356" i="2"/>
  <c r="P277" i="2"/>
  <c r="P188" i="2"/>
  <c r="P163" i="2"/>
  <c r="P114" i="2"/>
  <c r="I402" i="2"/>
  <c r="I346" i="2"/>
  <c r="I161" i="2"/>
  <c r="H20" i="2"/>
  <c r="H11" i="2"/>
  <c r="P363" i="2"/>
  <c r="P344" i="2"/>
  <c r="P317" i="2"/>
  <c r="P218" i="2"/>
  <c r="P170" i="2"/>
  <c r="P148" i="2"/>
  <c r="P106" i="2"/>
  <c r="I330" i="2"/>
  <c r="I322" i="2"/>
  <c r="H8" i="2"/>
  <c r="W253" i="2"/>
  <c r="W242" i="2"/>
  <c r="W236" i="2"/>
  <c r="W211" i="2"/>
  <c r="W189" i="2"/>
  <c r="W164" i="2"/>
  <c r="W156" i="2"/>
  <c r="W148" i="2"/>
  <c r="W124" i="2"/>
  <c r="W108" i="2"/>
  <c r="P415" i="2"/>
  <c r="P401" i="2"/>
  <c r="P355" i="2"/>
  <c r="P347" i="2"/>
  <c r="P293" i="2"/>
  <c r="P245" i="2"/>
  <c r="P203" i="2"/>
  <c r="P194" i="2"/>
  <c r="P187" i="2"/>
  <c r="P144" i="2"/>
  <c r="P131" i="2"/>
  <c r="H45" i="2"/>
  <c r="H9" i="2"/>
  <c r="P361" i="2"/>
  <c r="P278" i="2"/>
  <c r="P247" i="2"/>
  <c r="P244" i="2"/>
  <c r="P209" i="2"/>
  <c r="I290" i="2"/>
  <c r="H15" i="2"/>
  <c r="P413" i="2"/>
  <c r="P315" i="2"/>
  <c r="P281" i="2"/>
  <c r="P229" i="2"/>
  <c r="P156" i="2"/>
  <c r="P111" i="2"/>
  <c r="I278" i="2"/>
  <c r="I254" i="2"/>
  <c r="I150" i="2"/>
  <c r="I138" i="2"/>
  <c r="G81" i="2"/>
  <c r="G65" i="2"/>
  <c r="G61" i="2"/>
  <c r="G17" i="2"/>
  <c r="G63" i="2"/>
  <c r="I63" i="2" s="1"/>
  <c r="G55" i="2"/>
  <c r="G51" i="2"/>
  <c r="P210" i="2"/>
  <c r="P164" i="2"/>
  <c r="P160" i="2"/>
  <c r="P130" i="2"/>
  <c r="P98" i="2"/>
  <c r="O38" i="2"/>
  <c r="O34" i="2"/>
  <c r="O30" i="2"/>
  <c r="O26" i="2"/>
  <c r="I388" i="2"/>
  <c r="I369" i="2"/>
  <c r="I273" i="2"/>
  <c r="I265" i="2"/>
  <c r="I241" i="2"/>
  <c r="I156" i="2"/>
  <c r="I106" i="2"/>
  <c r="I90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0" i="2"/>
  <c r="O22" i="2"/>
  <c r="O18" i="2"/>
  <c r="O14" i="2"/>
  <c r="O10" i="2"/>
  <c r="O6" i="2"/>
  <c r="I415" i="2"/>
  <c r="I407" i="2"/>
  <c r="I391" i="2"/>
  <c r="I348" i="2"/>
  <c r="I340" i="2"/>
  <c r="I233" i="2"/>
  <c r="I229" i="2"/>
  <c r="I217" i="2"/>
  <c r="I209" i="2"/>
  <c r="I201" i="2"/>
  <c r="I193" i="2"/>
  <c r="I170" i="2"/>
  <c r="G86" i="2"/>
  <c r="G82" i="2"/>
  <c r="G78" i="2"/>
  <c r="G74" i="2"/>
  <c r="G70" i="2"/>
  <c r="G66" i="2"/>
  <c r="G62" i="2"/>
  <c r="G58" i="2"/>
  <c r="G54" i="2"/>
  <c r="G50" i="2"/>
  <c r="G30" i="2"/>
  <c r="G26" i="2"/>
  <c r="G14" i="2"/>
  <c r="I268" i="2"/>
  <c r="I252" i="2"/>
  <c r="I236" i="2"/>
  <c r="I177" i="2"/>
  <c r="I135" i="2"/>
  <c r="I113" i="2"/>
  <c r="H85" i="2"/>
  <c r="H81" i="2"/>
  <c r="H77" i="2"/>
  <c r="H73" i="2"/>
  <c r="H69" i="2"/>
  <c r="H65" i="2"/>
  <c r="H61" i="2"/>
  <c r="H57" i="2"/>
  <c r="H53" i="2"/>
  <c r="H49" i="2"/>
  <c r="H41" i="2"/>
  <c r="H37" i="2"/>
  <c r="H33" i="2"/>
  <c r="H29" i="2"/>
  <c r="H25" i="2"/>
  <c r="H21" i="2"/>
  <c r="H17" i="2"/>
  <c r="H13" i="2"/>
  <c r="W388" i="2"/>
  <c r="W159" i="2"/>
  <c r="W414" i="2"/>
  <c r="W386" i="2"/>
  <c r="W374" i="2"/>
  <c r="W346" i="2"/>
  <c r="W188" i="2"/>
  <c r="W149" i="2"/>
  <c r="W111" i="2"/>
  <c r="W406" i="2"/>
  <c r="W300" i="2"/>
  <c r="W296" i="2"/>
  <c r="W92" i="2"/>
  <c r="W357" i="2"/>
  <c r="W244" i="2"/>
  <c r="W220" i="2"/>
  <c r="W162" i="2"/>
  <c r="W339" i="2"/>
  <c r="W317" i="2"/>
  <c r="W288" i="2"/>
  <c r="W266" i="2"/>
  <c r="W204" i="2"/>
  <c r="W197" i="2"/>
  <c r="W163" i="2"/>
  <c r="W130" i="2"/>
  <c r="W93" i="2"/>
  <c r="W390" i="2"/>
  <c r="W347" i="2"/>
  <c r="W335" i="2"/>
  <c r="W315" i="2"/>
  <c r="W309" i="2"/>
  <c r="W274" i="2"/>
  <c r="W268" i="2"/>
  <c r="W264" i="2"/>
  <c r="W231" i="2"/>
  <c r="W228" i="2"/>
  <c r="W218" i="2"/>
  <c r="W186" i="2"/>
  <c r="W153" i="2"/>
  <c r="W106" i="2"/>
  <c r="W100" i="2"/>
  <c r="W410" i="2"/>
  <c r="W404" i="2"/>
  <c r="W370" i="2"/>
  <c r="W367" i="2"/>
  <c r="W243" i="2"/>
  <c r="W215" i="2"/>
  <c r="W199" i="2"/>
  <c r="W187" i="2"/>
  <c r="W180" i="2"/>
  <c r="W154" i="2"/>
  <c r="W143" i="2"/>
  <c r="W131" i="2"/>
  <c r="W125" i="2"/>
  <c r="W121" i="2"/>
  <c r="W107" i="2"/>
  <c r="P411" i="2"/>
  <c r="P391" i="2"/>
  <c r="P381" i="2"/>
  <c r="P343" i="2"/>
  <c r="P339" i="2"/>
  <c r="P332" i="2"/>
  <c r="P325" i="2"/>
  <c r="P298" i="2"/>
  <c r="P291" i="2"/>
  <c r="P285" i="2"/>
  <c r="P273" i="2"/>
  <c r="P231" i="2"/>
  <c r="P212" i="2"/>
  <c r="P177" i="2"/>
  <c r="P171" i="2"/>
  <c r="P125" i="2"/>
  <c r="P120" i="2"/>
  <c r="P116" i="2"/>
  <c r="P91" i="2"/>
  <c r="P396" i="2"/>
  <c r="P362" i="2"/>
  <c r="P308" i="2"/>
  <c r="P258" i="2"/>
  <c r="P217" i="2"/>
  <c r="P202" i="2"/>
  <c r="P122" i="2"/>
  <c r="P352" i="2"/>
  <c r="P284" i="2"/>
  <c r="P272" i="2"/>
  <c r="P240" i="2"/>
  <c r="P211" i="2"/>
  <c r="P205" i="2"/>
  <c r="P179" i="2"/>
  <c r="P159" i="2"/>
  <c r="P257" i="2"/>
  <c r="P216" i="2"/>
  <c r="P101" i="2"/>
  <c r="P394" i="2"/>
  <c r="P389" i="2"/>
  <c r="P337" i="2"/>
  <c r="P330" i="2"/>
  <c r="P319" i="2"/>
  <c r="P299" i="2"/>
  <c r="P253" i="2"/>
  <c r="P242" i="2"/>
  <c r="P239" i="2"/>
  <c r="P236" i="2"/>
  <c r="P189" i="2"/>
  <c r="P178" i="2"/>
  <c r="P129" i="2"/>
  <c r="P100" i="2"/>
  <c r="P92" i="2"/>
  <c r="P388" i="2"/>
  <c r="P340" i="2"/>
  <c r="P322" i="2"/>
  <c r="P274" i="2"/>
  <c r="P146" i="2"/>
  <c r="I410" i="2"/>
  <c r="I403" i="2"/>
  <c r="I378" i="2"/>
  <c r="I371" i="2"/>
  <c r="I364" i="2"/>
  <c r="I335" i="2"/>
  <c r="I324" i="2"/>
  <c r="I298" i="2"/>
  <c r="I230" i="2"/>
  <c r="G4" i="2"/>
  <c r="I413" i="2"/>
  <c r="I406" i="2"/>
  <c r="I399" i="2"/>
  <c r="I381" i="2"/>
  <c r="I374" i="2"/>
  <c r="I367" i="2"/>
  <c r="I345" i="2"/>
  <c r="I334" i="2"/>
  <c r="I319" i="2"/>
  <c r="I314" i="2"/>
  <c r="I294" i="2"/>
  <c r="I270" i="2"/>
  <c r="I257" i="2"/>
  <c r="I238" i="2"/>
  <c r="I226" i="2"/>
  <c r="I186" i="2"/>
  <c r="I147" i="2"/>
  <c r="I132" i="2"/>
  <c r="I114" i="2"/>
  <c r="I105" i="2"/>
  <c r="I99" i="2"/>
  <c r="H7" i="2"/>
  <c r="I326" i="2"/>
  <c r="I310" i="2"/>
  <c r="I196" i="2"/>
  <c r="I180" i="2"/>
  <c r="H6" i="2"/>
  <c r="I412" i="2"/>
  <c r="I394" i="2"/>
  <c r="I387" i="2"/>
  <c r="I362" i="2"/>
  <c r="I355" i="2"/>
  <c r="I344" i="2"/>
  <c r="I337" i="2"/>
  <c r="I309" i="2"/>
  <c r="I285" i="2"/>
  <c r="I276" i="2"/>
  <c r="I260" i="2"/>
  <c r="I250" i="2"/>
  <c r="I225" i="2"/>
  <c r="I179" i="2"/>
  <c r="I169" i="2"/>
  <c r="I166" i="2"/>
  <c r="I134" i="2"/>
  <c r="I131" i="2"/>
  <c r="I101" i="2"/>
  <c r="I89" i="2"/>
  <c r="G6" i="2"/>
  <c r="H5" i="2"/>
  <c r="I418" i="2"/>
  <c r="I411" i="2"/>
  <c r="I404" i="2"/>
  <c r="I386" i="2"/>
  <c r="I379" i="2"/>
  <c r="I372" i="2"/>
  <c r="I354" i="2"/>
  <c r="I343" i="2"/>
  <c r="I339" i="2"/>
  <c r="I332" i="2"/>
  <c r="I317" i="2"/>
  <c r="I312" i="2"/>
  <c r="I292" i="2"/>
  <c r="I288" i="2"/>
  <c r="I275" i="2"/>
  <c r="I249" i="2"/>
  <c r="I243" i="2"/>
  <c r="I228" i="2"/>
  <c r="I221" i="2"/>
  <c r="I206" i="2"/>
  <c r="I194" i="2"/>
  <c r="I162" i="2"/>
  <c r="I122" i="2"/>
  <c r="I109" i="2"/>
  <c r="I100" i="2"/>
  <c r="I283" i="2"/>
  <c r="I274" i="2"/>
  <c r="I347" i="2"/>
  <c r="I299" i="2"/>
  <c r="I178" i="2"/>
  <c r="I323" i="2"/>
  <c r="I154" i="2"/>
  <c r="I148" i="2"/>
  <c r="I115" i="2"/>
  <c r="I239" i="2"/>
  <c r="I139" i="2"/>
  <c r="I121" i="2"/>
  <c r="I263" i="2"/>
  <c r="I103" i="2"/>
  <c r="I259" i="2"/>
  <c r="I227" i="2"/>
  <c r="I195" i="2"/>
  <c r="I116" i="2"/>
  <c r="I155" i="2"/>
  <c r="I91" i="2"/>
  <c r="I123" i="2"/>
  <c r="P341" i="2"/>
  <c r="P307" i="2"/>
  <c r="P233" i="2"/>
  <c r="P223" i="2"/>
  <c r="P175" i="2"/>
  <c r="P331" i="2"/>
  <c r="P249" i="2"/>
  <c r="P117" i="2"/>
  <c r="P349" i="2"/>
  <c r="P207" i="2"/>
  <c r="P132" i="2"/>
  <c r="P90" i="2"/>
  <c r="P89" i="2"/>
  <c r="P180" i="2"/>
  <c r="P162" i="2"/>
  <c r="P204" i="2"/>
  <c r="P153" i="2"/>
  <c r="P172" i="2"/>
  <c r="P105" i="2"/>
  <c r="W338" i="2"/>
  <c r="W383" i="2"/>
  <c r="W343" i="2"/>
  <c r="W351" i="2"/>
  <c r="W202" i="2"/>
  <c r="W116" i="2"/>
  <c r="W304" i="2"/>
  <c r="W298" i="2"/>
  <c r="W235" i="2"/>
  <c r="W140" i="2"/>
  <c r="W245" i="2"/>
  <c r="W230" i="2"/>
  <c r="W223" i="2"/>
  <c r="W219" i="2"/>
  <c r="W181" i="2"/>
  <c r="W287" i="2"/>
  <c r="W275" i="2"/>
  <c r="W271" i="2"/>
  <c r="W267" i="2"/>
  <c r="W205" i="2"/>
  <c r="W173" i="2"/>
  <c r="W132" i="2"/>
  <c r="W94" i="2"/>
  <c r="W167" i="2"/>
  <c r="W123" i="2"/>
  <c r="W263" i="2"/>
  <c r="W237" i="2"/>
  <c r="W183" i="2"/>
  <c r="W166" i="2"/>
  <c r="W134" i="2"/>
  <c r="W114" i="2"/>
  <c r="W239" i="2"/>
  <c r="W175" i="2"/>
  <c r="W103" i="2"/>
  <c r="W155" i="2"/>
  <c r="W91" i="2"/>
  <c r="W86" i="2" l="1"/>
  <c r="W168" i="2"/>
  <c r="N67" i="2"/>
  <c r="P359" i="2"/>
  <c r="P137" i="2"/>
  <c r="P329" i="2"/>
  <c r="P393" i="2"/>
  <c r="P323" i="2"/>
  <c r="W278" i="2"/>
  <c r="I199" i="2"/>
  <c r="I190" i="2"/>
  <c r="J190" i="2" s="1"/>
  <c r="K190" i="2" s="1"/>
  <c r="I318" i="2"/>
  <c r="I361" i="2"/>
  <c r="W342" i="2"/>
  <c r="I281" i="2"/>
  <c r="I409" i="2"/>
  <c r="I320" i="2"/>
  <c r="J320" i="2" s="1"/>
  <c r="K320" i="2" s="1"/>
  <c r="I51" i="2"/>
  <c r="W174" i="2"/>
  <c r="X174" i="2" s="1"/>
  <c r="Y174" i="2" s="1"/>
  <c r="I57" i="2"/>
  <c r="U85" i="2"/>
  <c r="W193" i="2"/>
  <c r="P213" i="2"/>
  <c r="I246" i="2"/>
  <c r="J246" i="2" s="1"/>
  <c r="K246" i="2" s="1"/>
  <c r="I117" i="2"/>
  <c r="J117" i="2" s="1"/>
  <c r="K117" i="2" s="1"/>
  <c r="I397" i="2"/>
  <c r="J397" i="2" s="1"/>
  <c r="K397" i="2" s="1"/>
  <c r="I102" i="2"/>
  <c r="J102" i="2" s="1"/>
  <c r="K102" i="2" s="1"/>
  <c r="I140" i="2"/>
  <c r="J140" i="2" s="1"/>
  <c r="K140" i="2" s="1"/>
  <c r="I396" i="2"/>
  <c r="J396" i="2" s="1"/>
  <c r="K396" i="2" s="1"/>
  <c r="I198" i="2"/>
  <c r="J198" i="2" s="1"/>
  <c r="K198" i="2" s="1"/>
  <c r="I262" i="2"/>
  <c r="I164" i="2"/>
  <c r="J164" i="2" s="1"/>
  <c r="K164" i="2" s="1"/>
  <c r="I380" i="2"/>
  <c r="J380" i="2" s="1"/>
  <c r="K380" i="2" s="1"/>
  <c r="I158" i="2"/>
  <c r="J158" i="2" s="1"/>
  <c r="K158" i="2" s="1"/>
  <c r="I182" i="2"/>
  <c r="J182" i="2" s="1"/>
  <c r="K182" i="2" s="1"/>
  <c r="I222" i="2"/>
  <c r="J222" i="2" s="1"/>
  <c r="K222" i="2" s="1"/>
  <c r="I286" i="2"/>
  <c r="J286" i="2" s="1"/>
  <c r="K286" i="2" s="1"/>
  <c r="I107" i="2"/>
  <c r="I315" i="2"/>
  <c r="J315" i="2" s="1"/>
  <c r="K315" i="2" s="1"/>
  <c r="I351" i="2"/>
  <c r="P81" i="2"/>
  <c r="Q81" i="2" s="1"/>
  <c r="R81" i="2" s="1"/>
  <c r="P271" i="2"/>
  <c r="Q271" i="2" s="1"/>
  <c r="R271" i="2" s="1"/>
  <c r="P399" i="2"/>
  <c r="Q399" i="2" s="1"/>
  <c r="R399" i="2" s="1"/>
  <c r="P384" i="2"/>
  <c r="P93" i="2"/>
  <c r="Q93" i="2" s="1"/>
  <c r="R93" i="2" s="1"/>
  <c r="P269" i="2"/>
  <c r="G64" i="2"/>
  <c r="I64" i="2" s="1"/>
  <c r="J64" i="2" s="1"/>
  <c r="K64" i="2" s="1"/>
  <c r="G69" i="2"/>
  <c r="I174" i="2"/>
  <c r="J174" i="2" s="1"/>
  <c r="K174" i="2" s="1"/>
  <c r="I366" i="2"/>
  <c r="J366" i="2" s="1"/>
  <c r="K366" i="2" s="1"/>
  <c r="I342" i="2"/>
  <c r="J342" i="2" s="1"/>
  <c r="K342" i="2" s="1"/>
  <c r="W409" i="2"/>
  <c r="X409" i="2" s="1"/>
  <c r="Y409" i="2" s="1"/>
  <c r="I55" i="2"/>
  <c r="J55" i="2" s="1"/>
  <c r="K55" i="2" s="1"/>
  <c r="N35" i="2"/>
  <c r="N82" i="2"/>
  <c r="I325" i="2"/>
  <c r="J325" i="2" s="1"/>
  <c r="K325" i="2" s="1"/>
  <c r="I200" i="2"/>
  <c r="I264" i="2"/>
  <c r="J264" i="2" s="1"/>
  <c r="K264" i="2" s="1"/>
  <c r="I359" i="2"/>
  <c r="J359" i="2" s="1"/>
  <c r="K359" i="2" s="1"/>
  <c r="I245" i="2"/>
  <c r="J245" i="2" s="1"/>
  <c r="K245" i="2" s="1"/>
  <c r="I92" i="2"/>
  <c r="J92" i="2" s="1"/>
  <c r="K92" i="2" s="1"/>
  <c r="I220" i="2"/>
  <c r="J220" i="2" s="1"/>
  <c r="K220" i="2" s="1"/>
  <c r="I302" i="2"/>
  <c r="J302" i="2" s="1"/>
  <c r="K302" i="2" s="1"/>
  <c r="I376" i="2"/>
  <c r="J376" i="2" s="1"/>
  <c r="K376" i="2" s="1"/>
  <c r="I153" i="2"/>
  <c r="J153" i="2" s="1"/>
  <c r="K153" i="2" s="1"/>
  <c r="W270" i="2"/>
  <c r="X270" i="2" s="1"/>
  <c r="Y270" i="2" s="1"/>
  <c r="W89" i="2"/>
  <c r="X89" i="2" s="1"/>
  <c r="Y89" i="2" s="1"/>
  <c r="W377" i="2"/>
  <c r="X377" i="2" s="1"/>
  <c r="Y377" i="2" s="1"/>
  <c r="W85" i="2"/>
  <c r="X85" i="2" s="1"/>
  <c r="Y85" i="2" s="1"/>
  <c r="I247" i="2"/>
  <c r="J247" i="2" s="1"/>
  <c r="K247" i="2" s="1"/>
  <c r="I96" i="2"/>
  <c r="J96" i="2" s="1"/>
  <c r="K96" i="2" s="1"/>
  <c r="I160" i="2"/>
  <c r="J160" i="2" s="1"/>
  <c r="K160" i="2" s="1"/>
  <c r="I95" i="2"/>
  <c r="J95" i="2" s="1"/>
  <c r="K95" i="2" s="1"/>
  <c r="I157" i="2"/>
  <c r="J157" i="2" s="1"/>
  <c r="K157" i="2" s="1"/>
  <c r="I126" i="2"/>
  <c r="J126" i="2" s="1"/>
  <c r="K126" i="2" s="1"/>
  <c r="I382" i="2"/>
  <c r="J382" i="2" s="1"/>
  <c r="K382" i="2" s="1"/>
  <c r="I183" i="2"/>
  <c r="J183" i="2" s="1"/>
  <c r="K183" i="2" s="1"/>
  <c r="P95" i="2"/>
  <c r="Q95" i="2" s="1"/>
  <c r="R95" i="2" s="1"/>
  <c r="P103" i="2"/>
  <c r="Q103" i="2" s="1"/>
  <c r="R103" i="2" s="1"/>
  <c r="P295" i="2"/>
  <c r="Q295" i="2" s="1"/>
  <c r="R295" i="2" s="1"/>
  <c r="P152" i="2"/>
  <c r="Q152" i="2" s="1"/>
  <c r="R152" i="2" s="1"/>
  <c r="W238" i="2"/>
  <c r="X238" i="2" s="1"/>
  <c r="Y238" i="2" s="1"/>
  <c r="W393" i="2"/>
  <c r="X393" i="2" s="1"/>
  <c r="Y393" i="2" s="1"/>
  <c r="W129" i="2"/>
  <c r="X129" i="2" s="1"/>
  <c r="Y129" i="2" s="1"/>
  <c r="I141" i="2"/>
  <c r="J141" i="2" s="1"/>
  <c r="K141" i="2" s="1"/>
  <c r="I17" i="2"/>
  <c r="J17" i="2" s="1"/>
  <c r="K17" i="2" s="1"/>
  <c r="W142" i="2"/>
  <c r="X142" i="2" s="1"/>
  <c r="Y142" i="2" s="1"/>
  <c r="W96" i="2"/>
  <c r="X96" i="2" s="1"/>
  <c r="Y96" i="2" s="1"/>
  <c r="W198" i="2"/>
  <c r="X198" i="2" s="1"/>
  <c r="Y198" i="2" s="1"/>
  <c r="U47" i="2"/>
  <c r="W47" i="2" s="1"/>
  <c r="X47" i="2" s="1"/>
  <c r="Y47" i="2" s="1"/>
  <c r="W102" i="2"/>
  <c r="X102" i="2" s="1"/>
  <c r="Y102" i="2" s="1"/>
  <c r="P165" i="2"/>
  <c r="Q165" i="2" s="1"/>
  <c r="R165" i="2" s="1"/>
  <c r="P365" i="2"/>
  <c r="Q365" i="2" s="1"/>
  <c r="R365" i="2" s="1"/>
  <c r="J254" i="2"/>
  <c r="K254" i="2" s="1"/>
  <c r="Q281" i="2"/>
  <c r="R281" i="2" s="1"/>
  <c r="Q244" i="2"/>
  <c r="R244" i="2" s="1"/>
  <c r="Q144" i="2"/>
  <c r="R144" i="2" s="1"/>
  <c r="Q355" i="2"/>
  <c r="R355" i="2" s="1"/>
  <c r="X189" i="2"/>
  <c r="Y189" i="2" s="1"/>
  <c r="J330" i="2"/>
  <c r="K330" i="2" s="1"/>
  <c r="Q359" i="2"/>
  <c r="R359" i="2" s="1"/>
  <c r="J346" i="2"/>
  <c r="K346" i="2" s="1"/>
  <c r="Q373" i="2"/>
  <c r="R373" i="2" s="1"/>
  <c r="X138" i="2"/>
  <c r="Y138" i="2" s="1"/>
  <c r="X172" i="2"/>
  <c r="Y172" i="2" s="1"/>
  <c r="X259" i="2"/>
  <c r="Y259" i="2" s="1"/>
  <c r="X206" i="2"/>
  <c r="Y206" i="2" s="1"/>
  <c r="X281" i="2"/>
  <c r="Y281" i="2" s="1"/>
  <c r="X344" i="2"/>
  <c r="Y344" i="2" s="1"/>
  <c r="X407" i="2"/>
  <c r="Y407" i="2" s="1"/>
  <c r="X86" i="2"/>
  <c r="Y86" i="2" s="1"/>
  <c r="X168" i="2"/>
  <c r="Y168" i="2" s="1"/>
  <c r="J200" i="2"/>
  <c r="K200" i="2" s="1"/>
  <c r="J201" i="2"/>
  <c r="K201" i="2" s="1"/>
  <c r="J391" i="2"/>
  <c r="K391" i="2" s="1"/>
  <c r="J361" i="2"/>
  <c r="K361" i="2" s="1"/>
  <c r="Q130" i="2"/>
  <c r="R130" i="2" s="1"/>
  <c r="J138" i="2"/>
  <c r="K138" i="2" s="1"/>
  <c r="J262" i="2"/>
  <c r="K262" i="2" s="1"/>
  <c r="Q315" i="2"/>
  <c r="R315" i="2" s="1"/>
  <c r="Q247" i="2"/>
  <c r="R247" i="2" s="1"/>
  <c r="Q187" i="2"/>
  <c r="R187" i="2" s="1"/>
  <c r="Q401" i="2"/>
  <c r="R401" i="2" s="1"/>
  <c r="X211" i="2"/>
  <c r="Y211" i="2" s="1"/>
  <c r="J409" i="2"/>
  <c r="K409" i="2" s="1"/>
  <c r="Q363" i="2"/>
  <c r="R363" i="2" s="1"/>
  <c r="J402" i="2"/>
  <c r="K402" i="2" s="1"/>
  <c r="Q393" i="2"/>
  <c r="R393" i="2" s="1"/>
  <c r="X195" i="2"/>
  <c r="Y195" i="2" s="1"/>
  <c r="X234" i="2"/>
  <c r="Y234" i="2" s="1"/>
  <c r="X307" i="2"/>
  <c r="Y307" i="2" s="1"/>
  <c r="X95" i="2"/>
  <c r="Y95" i="2" s="1"/>
  <c r="X289" i="2"/>
  <c r="Y289" i="2" s="1"/>
  <c r="X352" i="2"/>
  <c r="Y352" i="2" s="1"/>
  <c r="X185" i="2"/>
  <c r="Y185" i="2" s="1"/>
  <c r="X217" i="2"/>
  <c r="Y217" i="2" s="1"/>
  <c r="Q166" i="2"/>
  <c r="R166" i="2" s="1"/>
  <c r="Q254" i="2"/>
  <c r="R254" i="2" s="1"/>
  <c r="Q85" i="2"/>
  <c r="R85" i="2" s="1"/>
  <c r="Q127" i="2"/>
  <c r="R127" i="2" s="1"/>
  <c r="Q191" i="2"/>
  <c r="R191" i="2" s="1"/>
  <c r="Q255" i="2"/>
  <c r="R255" i="2" s="1"/>
  <c r="Q279" i="2"/>
  <c r="R279" i="2" s="1"/>
  <c r="Q383" i="2"/>
  <c r="R383" i="2" s="1"/>
  <c r="Q136" i="2"/>
  <c r="R136" i="2" s="1"/>
  <c r="Q200" i="2"/>
  <c r="R200" i="2" s="1"/>
  <c r="Q304" i="2"/>
  <c r="R304" i="2" s="1"/>
  <c r="Q328" i="2"/>
  <c r="R328" i="2" s="1"/>
  <c r="Q97" i="2"/>
  <c r="R97" i="2" s="1"/>
  <c r="Q121" i="2"/>
  <c r="R121" i="2" s="1"/>
  <c r="Q185" i="2"/>
  <c r="R185" i="2" s="1"/>
  <c r="Q225" i="2"/>
  <c r="R225" i="2" s="1"/>
  <c r="Q417" i="2"/>
  <c r="R417" i="2" s="1"/>
  <c r="Q115" i="2"/>
  <c r="R115" i="2" s="1"/>
  <c r="Q155" i="2"/>
  <c r="R155" i="2" s="1"/>
  <c r="Q235" i="2"/>
  <c r="R235" i="2" s="1"/>
  <c r="Q371" i="2"/>
  <c r="R371" i="2" s="1"/>
  <c r="Q252" i="2"/>
  <c r="R252" i="2" s="1"/>
  <c r="Q301" i="2"/>
  <c r="R301" i="2" s="1"/>
  <c r="Q364" i="2"/>
  <c r="R364" i="2" s="1"/>
  <c r="X114" i="2"/>
  <c r="Y114" i="2" s="1"/>
  <c r="X167" i="2"/>
  <c r="Y167" i="2" s="1"/>
  <c r="X287" i="2"/>
  <c r="Y287" i="2" s="1"/>
  <c r="X235" i="2"/>
  <c r="Y235" i="2" s="1"/>
  <c r="X338" i="2"/>
  <c r="Y338" i="2" s="1"/>
  <c r="Q180" i="2"/>
  <c r="R180" i="2" s="1"/>
  <c r="Q249" i="2"/>
  <c r="R249" i="2" s="1"/>
  <c r="Q341" i="2"/>
  <c r="R341" i="2" s="1"/>
  <c r="J103" i="2"/>
  <c r="K103" i="2" s="1"/>
  <c r="J207" i="2"/>
  <c r="K207" i="2" s="1"/>
  <c r="J323" i="2"/>
  <c r="K323" i="2" s="1"/>
  <c r="J122" i="2"/>
  <c r="K122" i="2" s="1"/>
  <c r="J243" i="2"/>
  <c r="K243" i="2" s="1"/>
  <c r="J317" i="2"/>
  <c r="K317" i="2" s="1"/>
  <c r="J386" i="2"/>
  <c r="K386" i="2" s="1"/>
  <c r="J101" i="2"/>
  <c r="K101" i="2" s="1"/>
  <c r="J260" i="2"/>
  <c r="K260" i="2" s="1"/>
  <c r="J362" i="2"/>
  <c r="K362" i="2" s="1"/>
  <c r="J196" i="2"/>
  <c r="K196" i="2" s="1"/>
  <c r="J132" i="2"/>
  <c r="K132" i="2" s="1"/>
  <c r="J314" i="2"/>
  <c r="K314" i="2" s="1"/>
  <c r="J399" i="2"/>
  <c r="K399" i="2" s="1"/>
  <c r="J335" i="2"/>
  <c r="K335" i="2" s="1"/>
  <c r="Q157" i="2"/>
  <c r="R157" i="2" s="1"/>
  <c r="Q118" i="2"/>
  <c r="R118" i="2" s="1"/>
  <c r="Q299" i="2"/>
  <c r="R299" i="2" s="1"/>
  <c r="Q101" i="2"/>
  <c r="R101" i="2" s="1"/>
  <c r="Q211" i="2"/>
  <c r="R211" i="2" s="1"/>
  <c r="Q217" i="2"/>
  <c r="R217" i="2" s="1"/>
  <c r="Q125" i="2"/>
  <c r="R125" i="2" s="1"/>
  <c r="Q285" i="2"/>
  <c r="R285" i="2" s="1"/>
  <c r="Q391" i="2"/>
  <c r="R391" i="2" s="1"/>
  <c r="X158" i="2"/>
  <c r="Y158" i="2" s="1"/>
  <c r="X367" i="2"/>
  <c r="Y367" i="2" s="1"/>
  <c r="X186" i="2"/>
  <c r="Y186" i="2" s="1"/>
  <c r="X309" i="2"/>
  <c r="Y309" i="2" s="1"/>
  <c r="X278" i="2"/>
  <c r="Y278" i="2" s="1"/>
  <c r="X244" i="2"/>
  <c r="Y244" i="2" s="1"/>
  <c r="X388" i="2"/>
  <c r="Y388" i="2" s="1"/>
  <c r="J252" i="2"/>
  <c r="K252" i="2" s="1"/>
  <c r="J209" i="2"/>
  <c r="K209" i="2" s="1"/>
  <c r="J407" i="2"/>
  <c r="K407" i="2" s="1"/>
  <c r="J369" i="2"/>
  <c r="K369" i="2" s="1"/>
  <c r="Q137" i="2"/>
  <c r="R137" i="2" s="1"/>
  <c r="J63" i="2"/>
  <c r="K63" i="2" s="1"/>
  <c r="J150" i="2"/>
  <c r="K150" i="2" s="1"/>
  <c r="J278" i="2"/>
  <c r="K278" i="2" s="1"/>
  <c r="Q334" i="2"/>
  <c r="R334" i="2" s="1"/>
  <c r="Q278" i="2"/>
  <c r="R278" i="2" s="1"/>
  <c r="Q194" i="2"/>
  <c r="R194" i="2" s="1"/>
  <c r="Q415" i="2"/>
  <c r="R415" i="2" s="1"/>
  <c r="X236" i="2"/>
  <c r="Y236" i="2" s="1"/>
  <c r="Q106" i="2"/>
  <c r="R106" i="2" s="1"/>
  <c r="Q114" i="2"/>
  <c r="R114" i="2" s="1"/>
  <c r="X258" i="2"/>
  <c r="Y258" i="2" s="1"/>
  <c r="X354" i="2"/>
  <c r="Y354" i="2" s="1"/>
  <c r="X110" i="2"/>
  <c r="Y110" i="2" s="1"/>
  <c r="X64" i="2"/>
  <c r="Y64" i="2" s="1"/>
  <c r="W88" i="2"/>
  <c r="J177" i="2"/>
  <c r="K177" i="2" s="1"/>
  <c r="J217" i="2"/>
  <c r="K217" i="2" s="1"/>
  <c r="J415" i="2"/>
  <c r="K415" i="2" s="1"/>
  <c r="J241" i="2"/>
  <c r="K241" i="2" s="1"/>
  <c r="J388" i="2"/>
  <c r="K388" i="2" s="1"/>
  <c r="Q160" i="2"/>
  <c r="R160" i="2" s="1"/>
  <c r="Q413" i="2"/>
  <c r="R413" i="2" s="1"/>
  <c r="Q361" i="2"/>
  <c r="R361" i="2" s="1"/>
  <c r="Q203" i="2"/>
  <c r="R203" i="2" s="1"/>
  <c r="X108" i="2"/>
  <c r="Y108" i="2" s="1"/>
  <c r="X242" i="2"/>
  <c r="Y242" i="2" s="1"/>
  <c r="Q148" i="2"/>
  <c r="R148" i="2" s="1"/>
  <c r="Q163" i="2"/>
  <c r="R163" i="2" s="1"/>
  <c r="Q402" i="2"/>
  <c r="R402" i="2" s="1"/>
  <c r="X261" i="2"/>
  <c r="Y261" i="2" s="1"/>
  <c r="X292" i="2"/>
  <c r="Y292" i="2" s="1"/>
  <c r="X365" i="2"/>
  <c r="Y365" i="2" s="1"/>
  <c r="X126" i="2"/>
  <c r="Y126" i="2" s="1"/>
  <c r="X368" i="2"/>
  <c r="Y368" i="2" s="1"/>
  <c r="I253" i="2"/>
  <c r="Q75" i="2"/>
  <c r="R75" i="2" s="1"/>
  <c r="Q174" i="2"/>
  <c r="R174" i="2" s="1"/>
  <c r="Q302" i="2"/>
  <c r="R302" i="2" s="1"/>
  <c r="Q406" i="2"/>
  <c r="R406" i="2" s="1"/>
  <c r="Q96" i="2"/>
  <c r="R96" i="2" s="1"/>
  <c r="Q224" i="2"/>
  <c r="R224" i="2" s="1"/>
  <c r="Q145" i="2"/>
  <c r="R145" i="2" s="1"/>
  <c r="Q282" i="2"/>
  <c r="R282" i="2" s="1"/>
  <c r="J236" i="2"/>
  <c r="K236" i="2" s="1"/>
  <c r="X134" i="2"/>
  <c r="Y134" i="2" s="1"/>
  <c r="X94" i="2"/>
  <c r="Y94" i="2" s="1"/>
  <c r="X303" i="2"/>
  <c r="Y303" i="2" s="1"/>
  <c r="X298" i="2"/>
  <c r="Y298" i="2" s="1"/>
  <c r="Q105" i="2"/>
  <c r="R105" i="2" s="1"/>
  <c r="Q89" i="2"/>
  <c r="R89" i="2" s="1"/>
  <c r="Q331" i="2"/>
  <c r="R331" i="2" s="1"/>
  <c r="J123" i="2"/>
  <c r="K123" i="2" s="1"/>
  <c r="J107" i="2"/>
  <c r="K107" i="2" s="1"/>
  <c r="J239" i="2"/>
  <c r="K239" i="2" s="1"/>
  <c r="J178" i="2"/>
  <c r="K178" i="2" s="1"/>
  <c r="J162" i="2"/>
  <c r="K162" i="2" s="1"/>
  <c r="J249" i="2"/>
  <c r="K249" i="2" s="1"/>
  <c r="J332" i="2"/>
  <c r="K332" i="2" s="1"/>
  <c r="J404" i="2"/>
  <c r="K404" i="2" s="1"/>
  <c r="J131" i="2"/>
  <c r="K131" i="2" s="1"/>
  <c r="J276" i="2"/>
  <c r="K276" i="2" s="1"/>
  <c r="J232" i="2"/>
  <c r="K232" i="2" s="1"/>
  <c r="J147" i="2"/>
  <c r="K147" i="2" s="1"/>
  <c r="J319" i="2"/>
  <c r="K319" i="2" s="1"/>
  <c r="J406" i="2"/>
  <c r="K406" i="2" s="1"/>
  <c r="J364" i="2"/>
  <c r="K364" i="2" s="1"/>
  <c r="Q274" i="2"/>
  <c r="R274" i="2" s="1"/>
  <c r="Q129" i="2"/>
  <c r="R129" i="2" s="1"/>
  <c r="Q310" i="2"/>
  <c r="R310" i="2" s="1"/>
  <c r="Q109" i="2"/>
  <c r="R109" i="2" s="1"/>
  <c r="Q240" i="2"/>
  <c r="R240" i="2" s="1"/>
  <c r="Q258" i="2"/>
  <c r="R258" i="2" s="1"/>
  <c r="Q142" i="2"/>
  <c r="R142" i="2" s="1"/>
  <c r="Q291" i="2"/>
  <c r="R291" i="2" s="1"/>
  <c r="Q411" i="2"/>
  <c r="R411" i="2" s="1"/>
  <c r="X180" i="2"/>
  <c r="Y180" i="2" s="1"/>
  <c r="X370" i="2"/>
  <c r="Y370" i="2" s="1"/>
  <c r="X214" i="2"/>
  <c r="Y214" i="2" s="1"/>
  <c r="X315" i="2"/>
  <c r="Y315" i="2" s="1"/>
  <c r="X93" i="2"/>
  <c r="Y93" i="2" s="1"/>
  <c r="X288" i="2"/>
  <c r="Y288" i="2" s="1"/>
  <c r="X357" i="2"/>
  <c r="Y357" i="2" s="1"/>
  <c r="X188" i="2"/>
  <c r="Y188" i="2" s="1"/>
  <c r="J170" i="2"/>
  <c r="K170" i="2" s="1"/>
  <c r="Q164" i="2"/>
  <c r="R164" i="2" s="1"/>
  <c r="J291" i="2"/>
  <c r="K291" i="2" s="1"/>
  <c r="Q245" i="2"/>
  <c r="R245" i="2" s="1"/>
  <c r="X124" i="2"/>
  <c r="Y124" i="2" s="1"/>
  <c r="X253" i="2"/>
  <c r="Y253" i="2" s="1"/>
  <c r="Q170" i="2"/>
  <c r="R170" i="2" s="1"/>
  <c r="J145" i="2"/>
  <c r="K145" i="2" s="1"/>
  <c r="Q188" i="2"/>
  <c r="R188" i="2" s="1"/>
  <c r="X194" i="2"/>
  <c r="Y194" i="2" s="1"/>
  <c r="X291" i="2"/>
  <c r="Y291" i="2" s="1"/>
  <c r="X364" i="2"/>
  <c r="Y364" i="2" s="1"/>
  <c r="X371" i="2"/>
  <c r="Y371" i="2" s="1"/>
  <c r="X247" i="2"/>
  <c r="Y247" i="2" s="1"/>
  <c r="X312" i="2"/>
  <c r="Y312" i="2" s="1"/>
  <c r="W279" i="2"/>
  <c r="I375" i="2"/>
  <c r="J197" i="2"/>
  <c r="K197" i="2" s="1"/>
  <c r="X91" i="2"/>
  <c r="Y91" i="2" s="1"/>
  <c r="X183" i="2"/>
  <c r="Y183" i="2" s="1"/>
  <c r="X173" i="2"/>
  <c r="Y173" i="2" s="1"/>
  <c r="X219" i="2"/>
  <c r="Y219" i="2" s="1"/>
  <c r="X116" i="2"/>
  <c r="Y116" i="2" s="1"/>
  <c r="Q172" i="2"/>
  <c r="R172" i="2" s="1"/>
  <c r="Q90" i="2"/>
  <c r="R90" i="2" s="1"/>
  <c r="Q223" i="2"/>
  <c r="R223" i="2" s="1"/>
  <c r="J155" i="2"/>
  <c r="K155" i="2" s="1"/>
  <c r="J199" i="2"/>
  <c r="K199" i="2" s="1"/>
  <c r="J115" i="2"/>
  <c r="K115" i="2" s="1"/>
  <c r="J347" i="2"/>
  <c r="K347" i="2" s="1"/>
  <c r="J194" i="2"/>
  <c r="K194" i="2" s="1"/>
  <c r="J275" i="2"/>
  <c r="K275" i="2" s="1"/>
  <c r="J339" i="2"/>
  <c r="K339" i="2" s="1"/>
  <c r="J418" i="2"/>
  <c r="K418" i="2" s="1"/>
  <c r="J166" i="2"/>
  <c r="K166" i="2" s="1"/>
  <c r="J309" i="2"/>
  <c r="K309" i="2" s="1"/>
  <c r="J394" i="2"/>
  <c r="K394" i="2" s="1"/>
  <c r="J326" i="2"/>
  <c r="K326" i="2" s="1"/>
  <c r="J226" i="2"/>
  <c r="K226" i="2" s="1"/>
  <c r="J341" i="2"/>
  <c r="K341" i="2" s="1"/>
  <c r="J57" i="2"/>
  <c r="K57" i="2" s="1"/>
  <c r="J97" i="2"/>
  <c r="K97" i="2" s="1"/>
  <c r="J233" i="2"/>
  <c r="K233" i="2" s="1"/>
  <c r="J90" i="2"/>
  <c r="K90" i="2" s="1"/>
  <c r="J265" i="2"/>
  <c r="K265" i="2" s="1"/>
  <c r="Q198" i="2"/>
  <c r="R198" i="2" s="1"/>
  <c r="Q111" i="2"/>
  <c r="R111" i="2" s="1"/>
  <c r="Q269" i="2"/>
  <c r="R269" i="2" s="1"/>
  <c r="X148" i="2"/>
  <c r="Y148" i="2" s="1"/>
  <c r="Q218" i="2"/>
  <c r="R218" i="2" s="1"/>
  <c r="Q277" i="2"/>
  <c r="R277" i="2" s="1"/>
  <c r="X396" i="2"/>
  <c r="Y396" i="2" s="1"/>
  <c r="X349" i="2"/>
  <c r="Y349" i="2" s="1"/>
  <c r="X98" i="2"/>
  <c r="Y98" i="2" s="1"/>
  <c r="X381" i="2"/>
  <c r="Y381" i="2" s="1"/>
  <c r="X254" i="2"/>
  <c r="Y254" i="2" s="1"/>
  <c r="X320" i="2"/>
  <c r="Y320" i="2" s="1"/>
  <c r="I175" i="2"/>
  <c r="I215" i="2"/>
  <c r="I303" i="2"/>
  <c r="X105" i="2"/>
  <c r="Y105" i="2" s="1"/>
  <c r="X137" i="2"/>
  <c r="Y137" i="2" s="1"/>
  <c r="X169" i="2"/>
  <c r="Y169" i="2" s="1"/>
  <c r="X201" i="2"/>
  <c r="Y201" i="2" s="1"/>
  <c r="I192" i="2"/>
  <c r="I280" i="2"/>
  <c r="X294" i="2"/>
  <c r="Y294" i="2" s="1"/>
  <c r="G76" i="2"/>
  <c r="I149" i="2"/>
  <c r="I301" i="2"/>
  <c r="I365" i="2"/>
  <c r="G19" i="2"/>
  <c r="I19" i="2" s="1"/>
  <c r="Q134" i="2"/>
  <c r="R134" i="2" s="1"/>
  <c r="Q158" i="2"/>
  <c r="R158" i="2" s="1"/>
  <c r="Q222" i="2"/>
  <c r="R222" i="2" s="1"/>
  <c r="Q350" i="2"/>
  <c r="R350" i="2" s="1"/>
  <c r="J358" i="2"/>
  <c r="K358" i="2" s="1"/>
  <c r="Q213" i="2"/>
  <c r="R213" i="2" s="1"/>
  <c r="I137" i="2"/>
  <c r="X239" i="2"/>
  <c r="Y239" i="2" s="1"/>
  <c r="X123" i="2"/>
  <c r="Y123" i="2" s="1"/>
  <c r="X275" i="2"/>
  <c r="Y275" i="2" s="1"/>
  <c r="X140" i="2"/>
  <c r="Y140" i="2" s="1"/>
  <c r="X383" i="2"/>
  <c r="Y383" i="2" s="1"/>
  <c r="Q162" i="2"/>
  <c r="R162" i="2" s="1"/>
  <c r="Q117" i="2"/>
  <c r="R117" i="2" s="1"/>
  <c r="Q307" i="2"/>
  <c r="R307" i="2" s="1"/>
  <c r="J259" i="2"/>
  <c r="K259" i="2" s="1"/>
  <c r="J139" i="2"/>
  <c r="K139" i="2" s="1"/>
  <c r="J109" i="2"/>
  <c r="K109" i="2" s="1"/>
  <c r="J240" i="2"/>
  <c r="K240" i="2" s="1"/>
  <c r="J379" i="2"/>
  <c r="K379" i="2" s="1"/>
  <c r="J250" i="2"/>
  <c r="K250" i="2" s="1"/>
  <c r="J355" i="2"/>
  <c r="K355" i="2" s="1"/>
  <c r="J180" i="2"/>
  <c r="K180" i="2" s="1"/>
  <c r="J114" i="2"/>
  <c r="K114" i="2" s="1"/>
  <c r="J294" i="2"/>
  <c r="K294" i="2" s="1"/>
  <c r="J381" i="2"/>
  <c r="K381" i="2" s="1"/>
  <c r="J324" i="2"/>
  <c r="K324" i="2" s="1"/>
  <c r="Q146" i="2"/>
  <c r="R146" i="2" s="1"/>
  <c r="Q108" i="2"/>
  <c r="R108" i="2" s="1"/>
  <c r="Q253" i="2"/>
  <c r="R253" i="2" s="1"/>
  <c r="Q394" i="2"/>
  <c r="R394" i="2" s="1"/>
  <c r="Q205" i="2"/>
  <c r="R205" i="2" s="1"/>
  <c r="Q202" i="2"/>
  <c r="R202" i="2" s="1"/>
  <c r="Q120" i="2"/>
  <c r="R120" i="2" s="1"/>
  <c r="Q273" i="2"/>
  <c r="R273" i="2" s="1"/>
  <c r="Q381" i="2"/>
  <c r="R381" i="2" s="1"/>
  <c r="X154" i="2"/>
  <c r="Y154" i="2" s="1"/>
  <c r="X295" i="2"/>
  <c r="Y295" i="2" s="1"/>
  <c r="X153" i="2"/>
  <c r="Y153" i="2" s="1"/>
  <c r="X274" i="2"/>
  <c r="Y274" i="2" s="1"/>
  <c r="X390" i="2"/>
  <c r="Y390" i="2" s="1"/>
  <c r="X266" i="2"/>
  <c r="Y266" i="2" s="1"/>
  <c r="X220" i="2"/>
  <c r="Y220" i="2" s="1"/>
  <c r="X149" i="2"/>
  <c r="Y149" i="2" s="1"/>
  <c r="X159" i="2"/>
  <c r="Y159" i="2" s="1"/>
  <c r="J272" i="2"/>
  <c r="K272" i="2" s="1"/>
  <c r="J229" i="2"/>
  <c r="K229" i="2" s="1"/>
  <c r="J169" i="2"/>
  <c r="K169" i="2" s="1"/>
  <c r="J337" i="2"/>
  <c r="K337" i="2" s="1"/>
  <c r="J412" i="2"/>
  <c r="K412" i="2" s="1"/>
  <c r="J189" i="2"/>
  <c r="K189" i="2" s="1"/>
  <c r="J340" i="2"/>
  <c r="K340" i="2" s="1"/>
  <c r="J106" i="2"/>
  <c r="K106" i="2" s="1"/>
  <c r="J273" i="2"/>
  <c r="K273" i="2" s="1"/>
  <c r="Q210" i="2"/>
  <c r="R210" i="2" s="1"/>
  <c r="Q156" i="2"/>
  <c r="R156" i="2" s="1"/>
  <c r="J290" i="2"/>
  <c r="K290" i="2" s="1"/>
  <c r="Q293" i="2"/>
  <c r="R293" i="2" s="1"/>
  <c r="X156" i="2"/>
  <c r="Y156" i="2" s="1"/>
  <c r="J318" i="2"/>
  <c r="K318" i="2" s="1"/>
  <c r="Q317" i="2"/>
  <c r="R317" i="2" s="1"/>
  <c r="J161" i="2"/>
  <c r="K161" i="2" s="1"/>
  <c r="Q329" i="2"/>
  <c r="R329" i="2" s="1"/>
  <c r="X402" i="2"/>
  <c r="Y402" i="2" s="1"/>
  <c r="X356" i="2"/>
  <c r="Y356" i="2" s="1"/>
  <c r="X139" i="2"/>
  <c r="Y139" i="2" s="1"/>
  <c r="X133" i="2"/>
  <c r="Y133" i="2" s="1"/>
  <c r="X328" i="2"/>
  <c r="Y328" i="2" s="1"/>
  <c r="I383" i="2"/>
  <c r="X175" i="2"/>
  <c r="Y175" i="2" s="1"/>
  <c r="X271" i="2"/>
  <c r="Y271" i="2" s="1"/>
  <c r="X245" i="2"/>
  <c r="Y245" i="2" s="1"/>
  <c r="X343" i="2"/>
  <c r="Y343" i="2" s="1"/>
  <c r="Q215" i="2"/>
  <c r="R215" i="2" s="1"/>
  <c r="Q349" i="2"/>
  <c r="R349" i="2" s="1"/>
  <c r="Q283" i="2"/>
  <c r="R283" i="2" s="1"/>
  <c r="J227" i="2"/>
  <c r="K227" i="2" s="1"/>
  <c r="J121" i="2"/>
  <c r="K121" i="2" s="1"/>
  <c r="J100" i="2"/>
  <c r="K100" i="2" s="1"/>
  <c r="J228" i="2"/>
  <c r="K228" i="2" s="1"/>
  <c r="J312" i="2"/>
  <c r="K312" i="2" s="1"/>
  <c r="J372" i="2"/>
  <c r="K372" i="2" s="1"/>
  <c r="J89" i="2"/>
  <c r="K89" i="2" s="1"/>
  <c r="J225" i="2"/>
  <c r="K225" i="2" s="1"/>
  <c r="J351" i="2"/>
  <c r="K351" i="2" s="1"/>
  <c r="J105" i="2"/>
  <c r="K105" i="2" s="1"/>
  <c r="J270" i="2"/>
  <c r="K270" i="2" s="1"/>
  <c r="J374" i="2"/>
  <c r="K374" i="2" s="1"/>
  <c r="J298" i="2"/>
  <c r="K298" i="2" s="1"/>
  <c r="J410" i="2"/>
  <c r="K410" i="2" s="1"/>
  <c r="Q100" i="2"/>
  <c r="R100" i="2" s="1"/>
  <c r="Q242" i="2"/>
  <c r="R242" i="2" s="1"/>
  <c r="Q389" i="2"/>
  <c r="R389" i="2" s="1"/>
  <c r="Q179" i="2"/>
  <c r="R179" i="2" s="1"/>
  <c r="Q122" i="2"/>
  <c r="R122" i="2" s="1"/>
  <c r="Q116" i="2"/>
  <c r="R116" i="2" s="1"/>
  <c r="Q231" i="2"/>
  <c r="R231" i="2" s="1"/>
  <c r="Q343" i="2"/>
  <c r="R343" i="2" s="1"/>
  <c r="X143" i="2"/>
  <c r="Y143" i="2" s="1"/>
  <c r="X243" i="2"/>
  <c r="Y243" i="2" s="1"/>
  <c r="X106" i="2"/>
  <c r="Y106" i="2" s="1"/>
  <c r="X268" i="2"/>
  <c r="Y268" i="2" s="1"/>
  <c r="X359" i="2"/>
  <c r="Y359" i="2" s="1"/>
  <c r="X204" i="2"/>
  <c r="Y204" i="2" s="1"/>
  <c r="X182" i="2"/>
  <c r="Y182" i="2" s="1"/>
  <c r="X111" i="2"/>
  <c r="Y111" i="2" s="1"/>
  <c r="X414" i="2"/>
  <c r="Y414" i="2" s="1"/>
  <c r="Q98" i="2"/>
  <c r="R98" i="2" s="1"/>
  <c r="J268" i="2"/>
  <c r="K268" i="2" s="1"/>
  <c r="X166" i="2"/>
  <c r="Y166" i="2" s="1"/>
  <c r="X132" i="2"/>
  <c r="Y132" i="2" s="1"/>
  <c r="X181" i="2"/>
  <c r="Y181" i="2" s="1"/>
  <c r="X304" i="2"/>
  <c r="Y304" i="2" s="1"/>
  <c r="Q161" i="2"/>
  <c r="R161" i="2" s="1"/>
  <c r="Q333" i="2"/>
  <c r="R333" i="2" s="1"/>
  <c r="Q175" i="2"/>
  <c r="R175" i="2" s="1"/>
  <c r="J91" i="2"/>
  <c r="K91" i="2" s="1"/>
  <c r="J167" i="2"/>
  <c r="K167" i="2" s="1"/>
  <c r="J271" i="2"/>
  <c r="K271" i="2" s="1"/>
  <c r="J299" i="2"/>
  <c r="K299" i="2" s="1"/>
  <c r="J165" i="2"/>
  <c r="K165" i="2" s="1"/>
  <c r="J255" i="2"/>
  <c r="K255" i="2" s="1"/>
  <c r="J336" i="2"/>
  <c r="K336" i="2" s="1"/>
  <c r="J411" i="2"/>
  <c r="K411" i="2" s="1"/>
  <c r="J134" i="2"/>
  <c r="K134" i="2" s="1"/>
  <c r="J285" i="2"/>
  <c r="K285" i="2" s="1"/>
  <c r="J387" i="2"/>
  <c r="K387" i="2" s="1"/>
  <c r="J310" i="2"/>
  <c r="K310" i="2" s="1"/>
  <c r="J186" i="2"/>
  <c r="K186" i="2" s="1"/>
  <c r="J334" i="2"/>
  <c r="K334" i="2" s="1"/>
  <c r="J413" i="2"/>
  <c r="K413" i="2" s="1"/>
  <c r="J371" i="2"/>
  <c r="K371" i="2" s="1"/>
  <c r="Q322" i="2"/>
  <c r="R322" i="2" s="1"/>
  <c r="Q178" i="2"/>
  <c r="R178" i="2" s="1"/>
  <c r="Q319" i="2"/>
  <c r="R319" i="2" s="1"/>
  <c r="Q112" i="2"/>
  <c r="R112" i="2" s="1"/>
  <c r="Q272" i="2"/>
  <c r="R272" i="2" s="1"/>
  <c r="Q308" i="2"/>
  <c r="R308" i="2" s="1"/>
  <c r="Q171" i="2"/>
  <c r="R171" i="2" s="1"/>
  <c r="Q298" i="2"/>
  <c r="R298" i="2" s="1"/>
  <c r="X107" i="2"/>
  <c r="Y107" i="2" s="1"/>
  <c r="X187" i="2"/>
  <c r="Y187" i="2" s="1"/>
  <c r="X404" i="2"/>
  <c r="Y404" i="2" s="1"/>
  <c r="X218" i="2"/>
  <c r="Y218" i="2" s="1"/>
  <c r="X318" i="2"/>
  <c r="Y318" i="2" s="1"/>
  <c r="X130" i="2"/>
  <c r="Y130" i="2" s="1"/>
  <c r="X317" i="2"/>
  <c r="Y317" i="2" s="1"/>
  <c r="X92" i="2"/>
  <c r="Y92" i="2" s="1"/>
  <c r="J378" i="2"/>
  <c r="K378" i="2" s="1"/>
  <c r="Q340" i="2"/>
  <c r="R340" i="2" s="1"/>
  <c r="Q189" i="2"/>
  <c r="R189" i="2" s="1"/>
  <c r="Q323" i="2"/>
  <c r="R323" i="2" s="1"/>
  <c r="Q216" i="2"/>
  <c r="R216" i="2" s="1"/>
  <c r="Q284" i="2"/>
  <c r="R284" i="2" s="1"/>
  <c r="Q362" i="2"/>
  <c r="R362" i="2" s="1"/>
  <c r="Q177" i="2"/>
  <c r="R177" i="2" s="1"/>
  <c r="Q325" i="2"/>
  <c r="R325" i="2" s="1"/>
  <c r="X121" i="2"/>
  <c r="Y121" i="2" s="1"/>
  <c r="X193" i="2"/>
  <c r="Y193" i="2" s="1"/>
  <c r="X410" i="2"/>
  <c r="Y410" i="2" s="1"/>
  <c r="X228" i="2"/>
  <c r="Y228" i="2" s="1"/>
  <c r="X327" i="2"/>
  <c r="Y327" i="2" s="1"/>
  <c r="X160" i="2"/>
  <c r="Y160" i="2" s="1"/>
  <c r="X339" i="2"/>
  <c r="Y339" i="2" s="1"/>
  <c r="X296" i="2"/>
  <c r="Y296" i="2" s="1"/>
  <c r="X346" i="2"/>
  <c r="Y346" i="2" s="1"/>
  <c r="X155" i="2"/>
  <c r="Y155" i="2" s="1"/>
  <c r="X237" i="2"/>
  <c r="Y237" i="2" s="1"/>
  <c r="X205" i="2"/>
  <c r="Y205" i="2" s="1"/>
  <c r="X223" i="2"/>
  <c r="Y223" i="2" s="1"/>
  <c r="X202" i="2"/>
  <c r="Y202" i="2" s="1"/>
  <c r="Q153" i="2"/>
  <c r="R153" i="2" s="1"/>
  <c r="Q132" i="2"/>
  <c r="R132" i="2" s="1"/>
  <c r="Q233" i="2"/>
  <c r="R233" i="2" s="1"/>
  <c r="J116" i="2"/>
  <c r="K116" i="2" s="1"/>
  <c r="J231" i="2"/>
  <c r="K231" i="2" s="1"/>
  <c r="J148" i="2"/>
  <c r="K148" i="2" s="1"/>
  <c r="J274" i="2"/>
  <c r="K274" i="2" s="1"/>
  <c r="J206" i="2"/>
  <c r="K206" i="2" s="1"/>
  <c r="J288" i="2"/>
  <c r="K288" i="2" s="1"/>
  <c r="J343" i="2"/>
  <c r="K343" i="2" s="1"/>
  <c r="J238" i="2"/>
  <c r="K238" i="2" s="1"/>
  <c r="J345" i="2"/>
  <c r="K345" i="2" s="1"/>
  <c r="J168" i="2"/>
  <c r="K168" i="2" s="1"/>
  <c r="Q388" i="2"/>
  <c r="R388" i="2" s="1"/>
  <c r="Q236" i="2"/>
  <c r="R236" i="2" s="1"/>
  <c r="Q330" i="2"/>
  <c r="R330" i="2" s="1"/>
  <c r="Q257" i="2"/>
  <c r="R257" i="2" s="1"/>
  <c r="Q352" i="2"/>
  <c r="R352" i="2" s="1"/>
  <c r="Q396" i="2"/>
  <c r="R396" i="2" s="1"/>
  <c r="Q206" i="2"/>
  <c r="R206" i="2" s="1"/>
  <c r="Q332" i="2"/>
  <c r="R332" i="2" s="1"/>
  <c r="X125" i="2"/>
  <c r="Y125" i="2" s="1"/>
  <c r="X199" i="2"/>
  <c r="Y199" i="2" s="1"/>
  <c r="X231" i="2"/>
  <c r="Y231" i="2" s="1"/>
  <c r="X335" i="2"/>
  <c r="Y335" i="2" s="1"/>
  <c r="X163" i="2"/>
  <c r="Y163" i="2" s="1"/>
  <c r="X342" i="2"/>
  <c r="Y342" i="2" s="1"/>
  <c r="X300" i="2"/>
  <c r="Y300" i="2" s="1"/>
  <c r="X374" i="2"/>
  <c r="Y374" i="2" s="1"/>
  <c r="J113" i="2"/>
  <c r="K113" i="2" s="1"/>
  <c r="X103" i="2"/>
  <c r="Y103" i="2" s="1"/>
  <c r="X263" i="2"/>
  <c r="Y263" i="2" s="1"/>
  <c r="X267" i="2"/>
  <c r="Y267" i="2" s="1"/>
  <c r="X230" i="2"/>
  <c r="Y230" i="2" s="1"/>
  <c r="X351" i="2"/>
  <c r="Y351" i="2" s="1"/>
  <c r="Q204" i="2"/>
  <c r="R204" i="2" s="1"/>
  <c r="Q207" i="2"/>
  <c r="R207" i="2" s="1"/>
  <c r="Q326" i="2"/>
  <c r="R326" i="2" s="1"/>
  <c r="J195" i="2"/>
  <c r="K195" i="2" s="1"/>
  <c r="J263" i="2"/>
  <c r="K263" i="2" s="1"/>
  <c r="J154" i="2"/>
  <c r="K154" i="2" s="1"/>
  <c r="J283" i="2"/>
  <c r="K283" i="2" s="1"/>
  <c r="J221" i="2"/>
  <c r="K221" i="2" s="1"/>
  <c r="J292" i="2"/>
  <c r="K292" i="2" s="1"/>
  <c r="J354" i="2"/>
  <c r="K354" i="2" s="1"/>
  <c r="J179" i="2"/>
  <c r="K179" i="2" s="1"/>
  <c r="J344" i="2"/>
  <c r="K344" i="2" s="1"/>
  <c r="J99" i="2"/>
  <c r="K99" i="2" s="1"/>
  <c r="J257" i="2"/>
  <c r="K257" i="2" s="1"/>
  <c r="J367" i="2"/>
  <c r="K367" i="2" s="1"/>
  <c r="J230" i="2"/>
  <c r="K230" i="2" s="1"/>
  <c r="J403" i="2"/>
  <c r="K403" i="2" s="1"/>
  <c r="Q92" i="2"/>
  <c r="R92" i="2" s="1"/>
  <c r="Q239" i="2"/>
  <c r="R239" i="2" s="1"/>
  <c r="Q337" i="2"/>
  <c r="R337" i="2" s="1"/>
  <c r="Q159" i="2"/>
  <c r="R159" i="2" s="1"/>
  <c r="Q91" i="2"/>
  <c r="R91" i="2" s="1"/>
  <c r="Q212" i="2"/>
  <c r="R212" i="2" s="1"/>
  <c r="Q339" i="2"/>
  <c r="R339" i="2" s="1"/>
  <c r="X131" i="2"/>
  <c r="Y131" i="2" s="1"/>
  <c r="X215" i="2"/>
  <c r="Y215" i="2" s="1"/>
  <c r="X100" i="2"/>
  <c r="Y100" i="2" s="1"/>
  <c r="X264" i="2"/>
  <c r="Y264" i="2" s="1"/>
  <c r="X347" i="2"/>
  <c r="Y347" i="2" s="1"/>
  <c r="X197" i="2"/>
  <c r="Y197" i="2" s="1"/>
  <c r="X162" i="2"/>
  <c r="Y162" i="2" s="1"/>
  <c r="X406" i="2"/>
  <c r="Y406" i="2" s="1"/>
  <c r="X386" i="2"/>
  <c r="Y386" i="2" s="1"/>
  <c r="J135" i="2"/>
  <c r="K135" i="2" s="1"/>
  <c r="J193" i="2"/>
  <c r="K193" i="2" s="1"/>
  <c r="J348" i="2"/>
  <c r="K348" i="2" s="1"/>
  <c r="J156" i="2"/>
  <c r="K156" i="2" s="1"/>
  <c r="J281" i="2"/>
  <c r="K281" i="2" s="1"/>
  <c r="J51" i="2"/>
  <c r="K51" i="2" s="1"/>
  <c r="Q229" i="2"/>
  <c r="R229" i="2" s="1"/>
  <c r="Q209" i="2"/>
  <c r="R209" i="2" s="1"/>
  <c r="Q131" i="2"/>
  <c r="R131" i="2" s="1"/>
  <c r="Q347" i="2"/>
  <c r="R347" i="2" s="1"/>
  <c r="X164" i="2"/>
  <c r="Y164" i="2" s="1"/>
  <c r="J322" i="2"/>
  <c r="K322" i="2" s="1"/>
  <c r="Q344" i="2"/>
  <c r="R344" i="2" s="1"/>
  <c r="Q356" i="2"/>
  <c r="R356" i="2" s="1"/>
  <c r="X115" i="2"/>
  <c r="Y115" i="2" s="1"/>
  <c r="X380" i="2"/>
  <c r="Y380" i="2" s="1"/>
  <c r="X196" i="2"/>
  <c r="Y196" i="2" s="1"/>
  <c r="X190" i="2"/>
  <c r="Y190" i="2" s="1"/>
  <c r="X336" i="2"/>
  <c r="Y336" i="2" s="1"/>
  <c r="X399" i="2"/>
  <c r="Y399" i="2" s="1"/>
  <c r="I133" i="2"/>
  <c r="I173" i="2"/>
  <c r="I389" i="2"/>
  <c r="Q182" i="2"/>
  <c r="R182" i="2" s="1"/>
  <c r="Q270" i="2"/>
  <c r="R270" i="2" s="1"/>
  <c r="Q384" i="2"/>
  <c r="R384" i="2" s="1"/>
  <c r="N53" i="2"/>
  <c r="N63" i="2"/>
  <c r="P63" i="2" s="1"/>
  <c r="W255" i="2"/>
  <c r="W200" i="2"/>
  <c r="W384" i="2"/>
  <c r="W161" i="2"/>
  <c r="U46" i="2"/>
  <c r="W286" i="2"/>
  <c r="P221" i="2"/>
  <c r="N46" i="2"/>
  <c r="P46" i="2" s="1"/>
  <c r="P324" i="2"/>
  <c r="P357" i="2"/>
  <c r="N57" i="2"/>
  <c r="N87" i="2"/>
  <c r="P87" i="2" s="1"/>
  <c r="N74" i="2"/>
  <c r="P74" i="2" s="1"/>
  <c r="P263" i="2"/>
  <c r="P184" i="2"/>
  <c r="P376" i="2"/>
  <c r="P297" i="2"/>
  <c r="P338" i="2"/>
  <c r="P387" i="2"/>
  <c r="N58" i="2"/>
  <c r="P58" i="2" s="1"/>
  <c r="P287" i="2"/>
  <c r="P336" i="2"/>
  <c r="P169" i="2"/>
  <c r="P250" i="2"/>
  <c r="N62" i="2"/>
  <c r="P62" i="2" s="1"/>
  <c r="N42" i="2"/>
  <c r="P42" i="2" s="1"/>
  <c r="N7" i="2"/>
  <c r="P7" i="2" s="1"/>
  <c r="N52" i="2"/>
  <c r="N30" i="2"/>
  <c r="P183" i="2"/>
  <c r="P232" i="2"/>
  <c r="P296" i="2"/>
  <c r="P320" i="2"/>
  <c r="P360" i="2"/>
  <c r="P354" i="2"/>
  <c r="P219" i="2"/>
  <c r="P275" i="2"/>
  <c r="N65" i="2"/>
  <c r="N61" i="2"/>
  <c r="N73" i="2"/>
  <c r="N50" i="2"/>
  <c r="P50" i="2" s="1"/>
  <c r="P126" i="2"/>
  <c r="P150" i="2"/>
  <c r="P214" i="2"/>
  <c r="P342" i="2"/>
  <c r="P382" i="2"/>
  <c r="P418" i="2"/>
  <c r="N80" i="2"/>
  <c r="P80" i="2" s="1"/>
  <c r="N55" i="2"/>
  <c r="P55" i="2" s="1"/>
  <c r="N56" i="2"/>
  <c r="P56" i="2" s="1"/>
  <c r="G42" i="2"/>
  <c r="G46" i="2"/>
  <c r="G34" i="2"/>
  <c r="G47" i="2"/>
  <c r="I47" i="2" s="1"/>
  <c r="G9" i="2"/>
  <c r="G35" i="2"/>
  <c r="I35" i="2" s="1"/>
  <c r="G21" i="2"/>
  <c r="I21" i="2" s="1"/>
  <c r="G39" i="2"/>
  <c r="I39" i="2" s="1"/>
  <c r="G25" i="2"/>
  <c r="G7" i="2"/>
  <c r="G38" i="2"/>
  <c r="G23" i="2"/>
  <c r="I23" i="2" s="1"/>
  <c r="G18" i="2"/>
  <c r="G27" i="2"/>
  <c r="G53" i="2"/>
  <c r="I53" i="2" s="1"/>
  <c r="G15" i="2"/>
  <c r="I15" i="2" s="1"/>
  <c r="G49" i="2"/>
  <c r="I49" i="2" s="1"/>
  <c r="G67" i="2"/>
  <c r="I67" i="2" s="1"/>
  <c r="I159" i="2"/>
  <c r="I223" i="2"/>
  <c r="I287" i="2"/>
  <c r="G29" i="2"/>
  <c r="I85" i="2"/>
  <c r="G37" i="2"/>
  <c r="I37" i="2" s="1"/>
  <c r="I80" i="2"/>
  <c r="U66" i="2"/>
  <c r="W66" i="2" s="1"/>
  <c r="U84" i="2"/>
  <c r="U73" i="2"/>
  <c r="W363" i="2"/>
  <c r="W308" i="2"/>
  <c r="W411" i="2"/>
  <c r="U42" i="2"/>
  <c r="W42" i="2" s="1"/>
  <c r="U35" i="2"/>
  <c r="W334" i="2"/>
  <c r="U18" i="2"/>
  <c r="W18" i="2" s="1"/>
  <c r="W379" i="2"/>
  <c r="G33" i="2"/>
  <c r="I33" i="2" s="1"/>
  <c r="G68" i="2"/>
  <c r="I68" i="2" s="1"/>
  <c r="G41" i="2"/>
  <c r="I41" i="2" s="1"/>
  <c r="G16" i="2"/>
  <c r="I16" i="2" s="1"/>
  <c r="N68" i="2"/>
  <c r="P68" i="2" s="1"/>
  <c r="N64" i="2"/>
  <c r="N76" i="2"/>
  <c r="P76" i="2" s="1"/>
  <c r="N69" i="2"/>
  <c r="P69" i="2" s="1"/>
  <c r="N78" i="2"/>
  <c r="N25" i="2"/>
  <c r="P25" i="2" s="1"/>
  <c r="N72" i="2"/>
  <c r="N66" i="2"/>
  <c r="P66" i="2" s="1"/>
  <c r="N38" i="2"/>
  <c r="N77" i="2"/>
  <c r="P77" i="2" s="1"/>
  <c r="N79" i="2"/>
  <c r="P79" i="2" s="1"/>
  <c r="N23" i="2"/>
  <c r="P23" i="2" s="1"/>
  <c r="N60" i="2"/>
  <c r="P60" i="2" s="1"/>
  <c r="N86" i="2"/>
  <c r="P86" i="2" s="1"/>
  <c r="N70" i="2"/>
  <c r="P70" i="2" s="1"/>
  <c r="P313" i="2"/>
  <c r="P370" i="2"/>
  <c r="G11" i="2"/>
  <c r="I11" i="2" s="1"/>
  <c r="G43" i="2"/>
  <c r="I43" i="2" s="1"/>
  <c r="G13" i="2"/>
  <c r="I13" i="2" s="1"/>
  <c r="G77" i="2"/>
  <c r="I77" i="2" s="1"/>
  <c r="G10" i="2"/>
  <c r="I10" i="2" s="1"/>
  <c r="G5" i="2"/>
  <c r="I5" i="2" s="1"/>
  <c r="G56" i="2"/>
  <c r="I56" i="2" s="1"/>
  <c r="G31" i="2"/>
  <c r="I31" i="2" s="1"/>
  <c r="G71" i="2"/>
  <c r="I71" i="2" s="1"/>
  <c r="W369" i="2"/>
  <c r="W398" i="2"/>
  <c r="I405" i="2"/>
  <c r="I98" i="2"/>
  <c r="I38" i="2"/>
  <c r="I127" i="2"/>
  <c r="I151" i="2"/>
  <c r="I191" i="2"/>
  <c r="I279" i="2"/>
  <c r="W276" i="2"/>
  <c r="W400" i="2"/>
  <c r="W376" i="2"/>
  <c r="N3" i="2"/>
  <c r="P3" i="2" s="1"/>
  <c r="U3" i="2"/>
  <c r="W3" i="2" s="1"/>
  <c r="U40" i="2"/>
  <c r="W265" i="2"/>
  <c r="U49" i="2"/>
  <c r="W49" i="2" s="1"/>
  <c r="U79" i="2"/>
  <c r="U28" i="2"/>
  <c r="W28" i="2" s="1"/>
  <c r="U7" i="2"/>
  <c r="W7" i="2" s="1"/>
  <c r="U74" i="2"/>
  <c r="I284" i="2"/>
  <c r="U4" i="2"/>
  <c r="W4" i="2" s="1"/>
  <c r="U59" i="2"/>
  <c r="W59" i="2" s="1"/>
  <c r="N28" i="2"/>
  <c r="P28" i="2" s="1"/>
  <c r="W321" i="2"/>
  <c r="W246" i="2"/>
  <c r="I124" i="2"/>
  <c r="W229" i="2"/>
  <c r="W293" i="2"/>
  <c r="P102" i="2"/>
  <c r="P351" i="2"/>
  <c r="P208" i="2"/>
  <c r="P400" i="2"/>
  <c r="W112" i="2"/>
  <c r="W145" i="2"/>
  <c r="I208" i="2"/>
  <c r="W233" i="2"/>
  <c r="I108" i="2"/>
  <c r="I172" i="2"/>
  <c r="W109" i="2"/>
  <c r="W301" i="2"/>
  <c r="W405" i="2"/>
  <c r="P238" i="2"/>
  <c r="P366" i="2"/>
  <c r="P256" i="2"/>
  <c r="P139" i="2"/>
  <c r="P195" i="2"/>
  <c r="P403" i="2"/>
  <c r="P292" i="2"/>
  <c r="W120" i="2"/>
  <c r="W184" i="2"/>
  <c r="I88" i="2"/>
  <c r="I216" i="2"/>
  <c r="W280" i="2"/>
  <c r="I267" i="2"/>
  <c r="I395" i="2"/>
  <c r="I356" i="2"/>
  <c r="W141" i="2"/>
  <c r="W269" i="2"/>
  <c r="W333" i="2"/>
  <c r="P398" i="2"/>
  <c r="P135" i="2"/>
  <c r="P199" i="2"/>
  <c r="P327" i="2"/>
  <c r="I187" i="2"/>
  <c r="I65" i="2"/>
  <c r="I54" i="2"/>
  <c r="U50" i="2"/>
  <c r="W50" i="2" s="1"/>
  <c r="U58" i="2"/>
  <c r="W58" i="2" s="1"/>
  <c r="U41" i="2"/>
  <c r="W41" i="2" s="1"/>
  <c r="U11" i="2"/>
  <c r="W11" i="2" s="1"/>
  <c r="N59" i="2"/>
  <c r="P59" i="2" s="1"/>
  <c r="N83" i="2"/>
  <c r="P83" i="2" s="1"/>
  <c r="N16" i="2"/>
  <c r="P16" i="2" s="1"/>
  <c r="I73" i="2"/>
  <c r="N6" i="2"/>
  <c r="P6" i="2" s="1"/>
  <c r="N26" i="2"/>
  <c r="U26" i="2"/>
  <c r="W26" i="2" s="1"/>
  <c r="U43" i="2"/>
  <c r="W43" i="2" s="1"/>
  <c r="U67" i="2"/>
  <c r="W67" i="2" s="1"/>
  <c r="P378" i="2"/>
  <c r="W378" i="2"/>
  <c r="I4" i="2"/>
  <c r="I81" i="2"/>
  <c r="N15" i="2"/>
  <c r="P15" i="2" s="1"/>
  <c r="I27" i="2"/>
  <c r="I59" i="2"/>
  <c r="U16" i="2"/>
  <c r="U82" i="2"/>
  <c r="U51" i="2"/>
  <c r="G87" i="2"/>
  <c r="I87" i="2" s="1"/>
  <c r="N4" i="2"/>
  <c r="P4" i="2" s="1"/>
  <c r="U27" i="2"/>
  <c r="U44" i="2"/>
  <c r="W44" i="2" s="1"/>
  <c r="N19" i="2"/>
  <c r="P19" i="2" s="1"/>
  <c r="I9" i="2"/>
  <c r="W79" i="2"/>
  <c r="W416" i="2"/>
  <c r="W337" i="2"/>
  <c r="W225" i="2"/>
  <c r="I112" i="2"/>
  <c r="I368" i="2"/>
  <c r="I61" i="2"/>
  <c r="I136" i="2"/>
  <c r="I328" i="2"/>
  <c r="I392" i="2"/>
  <c r="W361" i="2"/>
  <c r="W350" i="2"/>
  <c r="I69" i="2"/>
  <c r="W313" i="2"/>
  <c r="I202" i="2"/>
  <c r="I266" i="2"/>
  <c r="P73" i="2"/>
  <c r="W302" i="2"/>
  <c r="U76" i="2"/>
  <c r="P379" i="2"/>
  <c r="I163" i="2"/>
  <c r="I25" i="2"/>
  <c r="N34" i="2"/>
  <c r="P34" i="2" s="1"/>
  <c r="U36" i="2"/>
  <c r="W392" i="2"/>
  <c r="I120" i="2"/>
  <c r="I184" i="2"/>
  <c r="I248" i="2"/>
  <c r="W262" i="2"/>
  <c r="U34" i="2"/>
  <c r="W34" i="2" s="1"/>
  <c r="U70" i="2"/>
  <c r="W70" i="2" s="1"/>
  <c r="U53" i="2"/>
  <c r="W53" i="2" s="1"/>
  <c r="W330" i="2"/>
  <c r="W394" i="2"/>
  <c r="I146" i="2"/>
  <c r="I338" i="2"/>
  <c r="N11" i="2"/>
  <c r="P11" i="2" s="1"/>
  <c r="U38" i="2"/>
  <c r="W38" i="2" s="1"/>
  <c r="W128" i="2"/>
  <c r="W192" i="2"/>
  <c r="I119" i="2"/>
  <c r="I144" i="2"/>
  <c r="I400" i="2"/>
  <c r="I76" i="2"/>
  <c r="N71" i="2"/>
  <c r="P71" i="2" s="1"/>
  <c r="I308" i="2"/>
  <c r="P124" i="2"/>
  <c r="I327" i="2"/>
  <c r="I130" i="2"/>
  <c r="I258" i="2"/>
  <c r="U61" i="2"/>
  <c r="W61" i="2" s="1"/>
  <c r="W226" i="2"/>
  <c r="W222" i="2"/>
  <c r="W152" i="2"/>
  <c r="W176" i="2"/>
  <c r="I295" i="2"/>
  <c r="I408" i="2"/>
  <c r="U81" i="2"/>
  <c r="W81" i="2" s="1"/>
  <c r="G36" i="2"/>
  <c r="I36" i="2" s="1"/>
  <c r="N54" i="2"/>
  <c r="P54" i="2" s="1"/>
  <c r="U45" i="2"/>
  <c r="W45" i="2" s="1"/>
  <c r="P67" i="2"/>
  <c r="W232" i="2"/>
  <c r="W297" i="2"/>
  <c r="W345" i="2"/>
  <c r="U68" i="2"/>
  <c r="W68" i="2" s="1"/>
  <c r="I242" i="2"/>
  <c r="I306" i="2"/>
  <c r="I370" i="2"/>
  <c r="U83" i="2"/>
  <c r="W83" i="2" s="1"/>
  <c r="W224" i="2"/>
  <c r="W305" i="2"/>
  <c r="N33" i="2"/>
  <c r="P33" i="2" s="1"/>
  <c r="I176" i="2"/>
  <c r="W35" i="2"/>
  <c r="U75" i="2"/>
  <c r="W75" i="2" s="1"/>
  <c r="G52" i="2"/>
  <c r="I52" i="2" s="1"/>
  <c r="W135" i="2"/>
  <c r="W157" i="2"/>
  <c r="W221" i="2"/>
  <c r="W285" i="2"/>
  <c r="P286" i="2"/>
  <c r="P372" i="2"/>
  <c r="G40" i="2"/>
  <c r="I40" i="2" s="1"/>
  <c r="Z166" i="2"/>
  <c r="G24" i="2"/>
  <c r="I24" i="2" s="1"/>
  <c r="U62" i="2"/>
  <c r="W62" i="2" s="1"/>
  <c r="U15" i="2"/>
  <c r="W15" i="2" s="1"/>
  <c r="U39" i="2"/>
  <c r="W39" i="2" s="1"/>
  <c r="U48" i="2"/>
  <c r="W48" i="2" s="1"/>
  <c r="U25" i="2"/>
  <c r="W25" i="2" s="1"/>
  <c r="U77" i="2"/>
  <c r="W77" i="2" s="1"/>
  <c r="U20" i="2"/>
  <c r="W20" i="2" s="1"/>
  <c r="U60" i="2"/>
  <c r="W60" i="2" s="1"/>
  <c r="G83" i="2"/>
  <c r="I83" i="2" s="1"/>
  <c r="N36" i="2"/>
  <c r="P36" i="2" s="1"/>
  <c r="U5" i="2"/>
  <c r="W5" i="2" s="1"/>
  <c r="U29" i="2"/>
  <c r="W29" i="2" s="1"/>
  <c r="G60" i="2"/>
  <c r="I60" i="2" s="1"/>
  <c r="W260" i="2"/>
  <c r="N43" i="2"/>
  <c r="P43" i="2" s="1"/>
  <c r="P318" i="2"/>
  <c r="I414" i="2"/>
  <c r="N37" i="2"/>
  <c r="P37" i="2" s="1"/>
  <c r="P288" i="2"/>
  <c r="P113" i="2"/>
  <c r="P305" i="2"/>
  <c r="P369" i="2"/>
  <c r="I331" i="2"/>
  <c r="P228" i="2"/>
  <c r="P348" i="2"/>
  <c r="P181" i="2"/>
  <c r="I311" i="2"/>
  <c r="P309" i="2"/>
  <c r="P397" i="2"/>
  <c r="N31" i="2"/>
  <c r="P31" i="2" s="1"/>
  <c r="I185" i="2"/>
  <c r="I313" i="2"/>
  <c r="N24" i="2"/>
  <c r="P24" i="2" s="1"/>
  <c r="P147" i="2"/>
  <c r="P220" i="2"/>
  <c r="N17" i="2"/>
  <c r="P17" i="2" s="1"/>
  <c r="U22" i="2"/>
  <c r="W22" i="2" s="1"/>
  <c r="U63" i="2"/>
  <c r="W63" i="2" s="1"/>
  <c r="U32" i="2"/>
  <c r="W32" i="2" s="1"/>
  <c r="U72" i="2"/>
  <c r="W72" i="2" s="1"/>
  <c r="U19" i="2"/>
  <c r="W19" i="2" s="1"/>
  <c r="G20" i="2"/>
  <c r="I20" i="2" s="1"/>
  <c r="G44" i="2"/>
  <c r="I44" i="2" s="1"/>
  <c r="G84" i="2"/>
  <c r="I84" i="2" s="1"/>
  <c r="N10" i="2"/>
  <c r="P10" i="2" s="1"/>
  <c r="G79" i="2"/>
  <c r="I79" i="2" s="1"/>
  <c r="N48" i="2"/>
  <c r="P48" i="2" s="1"/>
  <c r="P72" i="2"/>
  <c r="P107" i="2"/>
  <c r="W99" i="2"/>
  <c r="W147" i="2"/>
  <c r="W355" i="2"/>
  <c r="W403" i="2"/>
  <c r="W90" i="2"/>
  <c r="W178" i="2"/>
  <c r="W282" i="2"/>
  <c r="G48" i="2"/>
  <c r="I48" i="2" s="1"/>
  <c r="G72" i="2"/>
  <c r="I72" i="2" s="1"/>
  <c r="U57" i="2"/>
  <c r="W57" i="2" s="1"/>
  <c r="W46" i="2"/>
  <c r="W113" i="2"/>
  <c r="U87" i="2"/>
  <c r="W87" i="2" s="1"/>
  <c r="I104" i="2"/>
  <c r="I256" i="2"/>
  <c r="I296" i="2"/>
  <c r="I384" i="2"/>
  <c r="W248" i="2"/>
  <c r="W366" i="2"/>
  <c r="N27" i="2"/>
  <c r="P27" i="2" s="1"/>
  <c r="N51" i="2"/>
  <c r="P51" i="2" s="1"/>
  <c r="I118" i="2"/>
  <c r="N21" i="2"/>
  <c r="P21" i="2" s="1"/>
  <c r="N45" i="2"/>
  <c r="P45" i="2" s="1"/>
  <c r="P353" i="2"/>
  <c r="P99" i="2"/>
  <c r="W395" i="2"/>
  <c r="P300" i="2"/>
  <c r="N14" i="2"/>
  <c r="P14" i="2" s="1"/>
  <c r="P78" i="2"/>
  <c r="P261" i="2"/>
  <c r="I129" i="2"/>
  <c r="I385" i="2"/>
  <c r="N8" i="2"/>
  <c r="P8" i="2" s="1"/>
  <c r="N32" i="2"/>
  <c r="P32" i="2" s="1"/>
  <c r="N41" i="2"/>
  <c r="P41" i="2" s="1"/>
  <c r="P65" i="2"/>
  <c r="U6" i="2"/>
  <c r="W6" i="2" s="1"/>
  <c r="U23" i="2"/>
  <c r="W23" i="2" s="1"/>
  <c r="U8" i="2"/>
  <c r="W8" i="2" s="1"/>
  <c r="U56" i="2"/>
  <c r="W56" i="2" s="1"/>
  <c r="U9" i="2"/>
  <c r="W9" i="2" s="1"/>
  <c r="U33" i="2"/>
  <c r="W33" i="2" s="1"/>
  <c r="N20" i="2"/>
  <c r="P20" i="2" s="1"/>
  <c r="U13" i="2"/>
  <c r="W13" i="2" s="1"/>
  <c r="N5" i="2"/>
  <c r="P5" i="2" s="1"/>
  <c r="N39" i="2"/>
  <c r="P39" i="2" s="1"/>
  <c r="G32" i="2"/>
  <c r="I32" i="2" s="1"/>
  <c r="U30" i="2"/>
  <c r="W30" i="2" s="1"/>
  <c r="U71" i="2"/>
  <c r="W71" i="2" s="1"/>
  <c r="U69" i="2"/>
  <c r="W69" i="2" s="1"/>
  <c r="U80" i="2"/>
  <c r="W80" i="2" s="1"/>
  <c r="G75" i="2"/>
  <c r="I75" i="2" s="1"/>
  <c r="I293" i="2"/>
  <c r="I357" i="2"/>
  <c r="N44" i="2"/>
  <c r="P44" i="2" s="1"/>
  <c r="U37" i="2"/>
  <c r="W37" i="2" s="1"/>
  <c r="G28" i="2"/>
  <c r="I28" i="2" s="1"/>
  <c r="W316" i="2"/>
  <c r="I204" i="2"/>
  <c r="W117" i="2"/>
  <c r="W373" i="2"/>
  <c r="P246" i="2"/>
  <c r="P374" i="2"/>
  <c r="N22" i="2"/>
  <c r="P22" i="2" s="1"/>
  <c r="G3" i="2"/>
  <c r="I3" i="2" s="1"/>
  <c r="P30" i="2"/>
  <c r="U54" i="2"/>
  <c r="W54" i="2" s="1"/>
  <c r="U78" i="2"/>
  <c r="W78" i="2" s="1"/>
  <c r="U17" i="2"/>
  <c r="W17" i="2" s="1"/>
  <c r="U65" i="2"/>
  <c r="W65" i="2" s="1"/>
  <c r="U10" i="2"/>
  <c r="W10" i="2" s="1"/>
  <c r="U12" i="2"/>
  <c r="W12" i="2" s="1"/>
  <c r="U21" i="2"/>
  <c r="W21" i="2" s="1"/>
  <c r="N29" i="2"/>
  <c r="P29" i="2" s="1"/>
  <c r="N47" i="2"/>
  <c r="P47" i="2" s="1"/>
  <c r="N40" i="2"/>
  <c r="P40" i="2" s="1"/>
  <c r="I234" i="2"/>
  <c r="N49" i="2"/>
  <c r="P49" i="2" s="1"/>
  <c r="U14" i="2"/>
  <c r="W14" i="2" s="1"/>
  <c r="U31" i="2"/>
  <c r="W31" i="2" s="1"/>
  <c r="U55" i="2"/>
  <c r="W55" i="2" s="1"/>
  <c r="I224" i="2"/>
  <c r="I416" i="2"/>
  <c r="U24" i="2"/>
  <c r="W24" i="2" s="1"/>
  <c r="I125" i="2"/>
  <c r="P52" i="2"/>
  <c r="W119" i="2"/>
  <c r="W207" i="2"/>
  <c r="P53" i="2"/>
  <c r="P119" i="2"/>
  <c r="P88" i="2"/>
  <c r="P280" i="2"/>
  <c r="P408" i="2"/>
  <c r="P321" i="2"/>
  <c r="I289" i="2"/>
  <c r="I329" i="2"/>
  <c r="I353" i="2"/>
  <c r="I393" i="2"/>
  <c r="I417" i="2"/>
  <c r="P64" i="2"/>
  <c r="P227" i="2"/>
  <c r="N18" i="2"/>
  <c r="P18" i="2" s="1"/>
  <c r="P260" i="2"/>
  <c r="W210" i="2"/>
  <c r="W362" i="2"/>
  <c r="G8" i="2"/>
  <c r="I8" i="2" s="1"/>
  <c r="N9" i="2"/>
  <c r="P9" i="2" s="1"/>
  <c r="N12" i="2"/>
  <c r="P12" i="2" s="1"/>
  <c r="G12" i="2"/>
  <c r="I12" i="2" s="1"/>
  <c r="N13" i="2"/>
  <c r="P13" i="2" s="1"/>
  <c r="I111" i="2"/>
  <c r="W97" i="2"/>
  <c r="I152" i="2"/>
  <c r="I304" i="2"/>
  <c r="W16" i="2"/>
  <c r="W40" i="2"/>
  <c r="W358" i="2"/>
  <c r="W74" i="2"/>
  <c r="I181" i="2"/>
  <c r="I205" i="2"/>
  <c r="I269" i="2"/>
  <c r="I333" i="2"/>
  <c r="W273" i="2"/>
  <c r="I94" i="2"/>
  <c r="W332" i="2"/>
  <c r="W372" i="2"/>
  <c r="W325" i="2"/>
  <c r="W389" i="2"/>
  <c r="P84" i="2"/>
  <c r="P110" i="2"/>
  <c r="P262" i="2"/>
  <c r="P390" i="2"/>
  <c r="I350" i="2"/>
  <c r="P61" i="2"/>
  <c r="P151" i="2"/>
  <c r="P407" i="2"/>
  <c r="P248" i="2"/>
  <c r="P312" i="2"/>
  <c r="P416" i="2"/>
  <c r="P201" i="2"/>
  <c r="P265" i="2"/>
  <c r="P289" i="2"/>
  <c r="P266" i="2"/>
  <c r="P314" i="2"/>
  <c r="I171" i="2"/>
  <c r="P140" i="2"/>
  <c r="P133" i="2"/>
  <c r="P412" i="2"/>
  <c r="I377" i="2"/>
  <c r="P154" i="2"/>
  <c r="P267" i="2"/>
  <c r="P395" i="2"/>
  <c r="W179" i="2"/>
  <c r="W387" i="2"/>
  <c r="I251" i="2"/>
  <c r="I307" i="2"/>
  <c r="P149" i="2"/>
  <c r="W170" i="2"/>
  <c r="W322" i="2"/>
  <c r="W144" i="2"/>
  <c r="W208" i="2"/>
  <c r="W329" i="2"/>
  <c r="W73" i="2"/>
  <c r="W385" i="2"/>
  <c r="W52" i="2"/>
  <c r="W76" i="2"/>
  <c r="I244" i="2"/>
  <c r="W413" i="2"/>
  <c r="P94" i="2"/>
  <c r="P414" i="2"/>
  <c r="I142" i="2"/>
  <c r="I398" i="2"/>
  <c r="P303" i="2"/>
  <c r="P367" i="2"/>
  <c r="P377" i="2"/>
  <c r="P234" i="2"/>
  <c r="I219" i="2"/>
  <c r="P196" i="2"/>
  <c r="P197" i="2"/>
  <c r="P141" i="2"/>
  <c r="I401" i="2"/>
  <c r="P290" i="2"/>
  <c r="P410" i="2"/>
  <c r="W227" i="2"/>
  <c r="I218" i="2"/>
  <c r="I282" i="2"/>
  <c r="P57" i="2"/>
  <c r="W415" i="2"/>
  <c r="Z254" i="2"/>
  <c r="W104" i="2"/>
  <c r="I352" i="2"/>
  <c r="W408" i="2"/>
  <c r="W27" i="2"/>
  <c r="W82" i="2"/>
  <c r="W249" i="2"/>
  <c r="W311" i="2"/>
  <c r="I213" i="2"/>
  <c r="I277" i="2"/>
  <c r="W360" i="2"/>
  <c r="W252" i="2"/>
  <c r="P35" i="2"/>
  <c r="P104" i="2"/>
  <c r="P128" i="2"/>
  <c r="P168" i="2"/>
  <c r="P192" i="2"/>
  <c r="W283" i="2"/>
  <c r="I297" i="2"/>
  <c r="P138" i="2"/>
  <c r="P243" i="2"/>
  <c r="P173" i="2"/>
  <c r="W306" i="2"/>
  <c r="W216" i="2"/>
  <c r="I143" i="2"/>
  <c r="W209" i="2"/>
  <c r="W353" i="2"/>
  <c r="W150" i="2"/>
  <c r="W256" i="2"/>
  <c r="W326" i="2"/>
  <c r="W382" i="2"/>
  <c r="W257" i="2"/>
  <c r="W319" i="2"/>
  <c r="W84" i="2"/>
  <c r="I237" i="2"/>
  <c r="I261" i="2"/>
  <c r="W127" i="2"/>
  <c r="W191" i="2"/>
  <c r="W212" i="2"/>
  <c r="W340" i="2"/>
  <c r="I188" i="2"/>
  <c r="I316" i="2"/>
  <c r="W101" i="2"/>
  <c r="W165" i="2"/>
  <c r="W397" i="2"/>
  <c r="P230" i="2"/>
  <c r="P294" i="2"/>
  <c r="P358" i="2"/>
  <c r="I214" i="2"/>
  <c r="P311" i="2"/>
  <c r="P375" i="2"/>
  <c r="P193" i="2"/>
  <c r="P385" i="2"/>
  <c r="P386" i="2"/>
  <c r="W203" i="2"/>
  <c r="W331" i="2"/>
  <c r="I363" i="2"/>
  <c r="P404" i="2"/>
  <c r="P405" i="2"/>
  <c r="I321" i="2"/>
  <c r="P186" i="2"/>
  <c r="P306" i="2"/>
  <c r="W323" i="2"/>
  <c r="I235" i="2"/>
  <c r="W290" i="2"/>
  <c r="W418" i="2"/>
  <c r="Z278" i="2"/>
  <c r="W177" i="2"/>
  <c r="I360" i="2"/>
  <c r="W401" i="2"/>
  <c r="I349" i="2"/>
  <c r="W375" i="2"/>
  <c r="W151" i="2"/>
  <c r="W324" i="2"/>
  <c r="I212" i="2"/>
  <c r="P190" i="2"/>
  <c r="I110" i="2"/>
  <c r="P143" i="2"/>
  <c r="P335" i="2"/>
  <c r="P176" i="2"/>
  <c r="P368" i="2"/>
  <c r="P345" i="2"/>
  <c r="P409" i="2"/>
  <c r="W251" i="2"/>
  <c r="P276" i="2"/>
  <c r="P316" i="2"/>
  <c r="P237" i="2"/>
  <c r="I305" i="2"/>
  <c r="P226" i="2"/>
  <c r="P346" i="2"/>
  <c r="P251" i="2"/>
  <c r="P380" i="2"/>
  <c r="W122" i="2"/>
  <c r="W250" i="2"/>
  <c r="W314" i="2"/>
  <c r="I210" i="2"/>
  <c r="W272" i="2"/>
  <c r="W118" i="2"/>
  <c r="I93" i="2"/>
  <c r="I373" i="2"/>
  <c r="W284" i="2"/>
  <c r="W348" i="2"/>
  <c r="W412" i="2"/>
  <c r="I300" i="2"/>
  <c r="W213" i="2"/>
  <c r="W277" i="2"/>
  <c r="W341" i="2"/>
  <c r="I390" i="2"/>
  <c r="P167" i="2"/>
  <c r="P264" i="2"/>
  <c r="P392" i="2"/>
  <c r="P241" i="2"/>
  <c r="P123" i="2"/>
  <c r="P259" i="2"/>
  <c r="W171" i="2"/>
  <c r="W299" i="2"/>
  <c r="I211" i="2"/>
  <c r="P268" i="2"/>
  <c r="I203" i="2"/>
  <c r="W146" i="2"/>
  <c r="I29" i="2"/>
  <c r="W136" i="2"/>
  <c r="W240" i="2"/>
  <c r="I128" i="2"/>
  <c r="W241" i="2"/>
  <c r="W310" i="2"/>
  <c r="W417" i="2"/>
  <c r="W51" i="2"/>
  <c r="W391" i="2"/>
  <c r="P82" i="2"/>
  <c r="W36" i="2"/>
  <c r="I18" i="2"/>
  <c r="I50" i="2"/>
  <c r="I82" i="2"/>
  <c r="I22" i="2"/>
  <c r="I86" i="2"/>
  <c r="I26" i="2"/>
  <c r="I58" i="2"/>
  <c r="I7" i="2"/>
  <c r="I30" i="2"/>
  <c r="I62" i="2"/>
  <c r="I34" i="2"/>
  <c r="I66" i="2"/>
  <c r="P26" i="2"/>
  <c r="I45" i="2"/>
  <c r="I70" i="2"/>
  <c r="I42" i="2"/>
  <c r="I74" i="2"/>
  <c r="I14" i="2"/>
  <c r="I46" i="2"/>
  <c r="I78" i="2"/>
  <c r="P38" i="2"/>
  <c r="I6" i="2"/>
  <c r="Z89" i="2" l="1"/>
  <c r="Z364" i="2"/>
  <c r="Z174" i="2"/>
  <c r="Z281" i="2"/>
  <c r="Z245" i="2"/>
  <c r="Z247" i="2"/>
  <c r="Z291" i="2"/>
  <c r="Z194" i="2"/>
  <c r="Z371" i="2"/>
  <c r="Z114" i="2"/>
  <c r="Z96" i="2"/>
  <c r="Z155" i="2"/>
  <c r="Z339" i="2"/>
  <c r="Z95" i="2"/>
  <c r="Z116" i="2"/>
  <c r="Z315" i="2"/>
  <c r="Z158" i="2"/>
  <c r="Z343" i="2"/>
  <c r="Z182" i="2"/>
  <c r="Z359" i="2"/>
  <c r="Z180" i="2"/>
  <c r="Z381" i="2"/>
  <c r="Z134" i="2"/>
  <c r="Z131" i="2"/>
  <c r="Z115" i="2"/>
  <c r="Z100" i="2"/>
  <c r="Z270" i="2"/>
  <c r="Z121" i="2"/>
  <c r="Z399" i="2"/>
  <c r="Z406" i="2"/>
  <c r="Z217" i="2"/>
  <c r="Z162" i="2"/>
  <c r="Z132" i="2"/>
  <c r="Z402" i="2"/>
  <c r="Z298" i="2"/>
  <c r="Z317" i="2"/>
  <c r="Z347" i="2"/>
  <c r="Z274" i="2"/>
  <c r="Z189" i="2"/>
  <c r="Z198" i="2"/>
  <c r="Z153" i="2"/>
  <c r="Z236" i="2"/>
  <c r="Z105" i="2"/>
  <c r="Z206" i="2"/>
  <c r="Z396" i="2"/>
  <c r="Z106" i="2"/>
  <c r="Z148" i="2"/>
  <c r="Z160" i="2"/>
  <c r="Z164" i="2"/>
  <c r="Z231" i="2"/>
  <c r="Z92" i="2"/>
  <c r="Z388" i="2"/>
  <c r="Z103" i="2"/>
  <c r="Z156" i="2"/>
  <c r="Z239" i="2"/>
  <c r="Z91" i="2"/>
  <c r="J42" i="2"/>
  <c r="K42" i="2" s="1"/>
  <c r="Q346" i="2"/>
  <c r="R346" i="2" s="1"/>
  <c r="Z346" i="2" s="1"/>
  <c r="X165" i="2"/>
  <c r="Y165" i="2" s="1"/>
  <c r="Z165" i="2" s="1"/>
  <c r="J213" i="2"/>
  <c r="K213" i="2" s="1"/>
  <c r="X179" i="2"/>
  <c r="Y179" i="2" s="1"/>
  <c r="Z179" i="2" s="1"/>
  <c r="J171" i="2"/>
  <c r="K171" i="2" s="1"/>
  <c r="Q248" i="2"/>
  <c r="R248" i="2" s="1"/>
  <c r="Q84" i="2"/>
  <c r="R84" i="2" s="1"/>
  <c r="J269" i="2"/>
  <c r="K269" i="2" s="1"/>
  <c r="J152" i="2"/>
  <c r="K152" i="2" s="1"/>
  <c r="Z344" i="2"/>
  <c r="Q173" i="2"/>
  <c r="R173" i="2" s="1"/>
  <c r="J128" i="2"/>
  <c r="K128" i="2" s="1"/>
  <c r="X306" i="2"/>
  <c r="Y306" i="2" s="1"/>
  <c r="Q168" i="2"/>
  <c r="R168" i="2" s="1"/>
  <c r="Z168" i="2" s="1"/>
  <c r="X311" i="2"/>
  <c r="Y311" i="2" s="1"/>
  <c r="Q395" i="2"/>
  <c r="R395" i="2" s="1"/>
  <c r="Q314" i="2"/>
  <c r="R314" i="2" s="1"/>
  <c r="Q407" i="2"/>
  <c r="R407" i="2" s="1"/>
  <c r="Z407" i="2" s="1"/>
  <c r="X389" i="2"/>
  <c r="Y389" i="2" s="1"/>
  <c r="J205" i="2"/>
  <c r="K205" i="2" s="1"/>
  <c r="Z205" i="2" s="1"/>
  <c r="X97" i="2"/>
  <c r="Y97" i="2" s="1"/>
  <c r="Z97" i="2" s="1"/>
  <c r="Z271" i="2"/>
  <c r="Q12" i="2"/>
  <c r="R12" i="2" s="1"/>
  <c r="Q64" i="2"/>
  <c r="R64" i="2" s="1"/>
  <c r="Z64" i="2" s="1"/>
  <c r="Q280" i="2"/>
  <c r="R280" i="2" s="1"/>
  <c r="X24" i="2"/>
  <c r="Y24" i="2" s="1"/>
  <c r="J3" i="2"/>
  <c r="K3" i="2" s="1"/>
  <c r="Q9" i="2"/>
  <c r="R9" i="2" s="1"/>
  <c r="J417" i="2"/>
  <c r="K417" i="2" s="1"/>
  <c r="Q88" i="2"/>
  <c r="R88" i="2" s="1"/>
  <c r="J416" i="2"/>
  <c r="K416" i="2" s="1"/>
  <c r="Q40" i="2"/>
  <c r="R40" i="2" s="1"/>
  <c r="J18" i="2"/>
  <c r="K18" i="2" s="1"/>
  <c r="J212" i="2"/>
  <c r="K212" i="2" s="1"/>
  <c r="J261" i="2"/>
  <c r="K261" i="2" s="1"/>
  <c r="X240" i="2"/>
  <c r="Y240" i="2" s="1"/>
  <c r="Z240" i="2" s="1"/>
  <c r="X324" i="2"/>
  <c r="Y324" i="2" s="1"/>
  <c r="X101" i="2"/>
  <c r="Y101" i="2" s="1"/>
  <c r="Z101" i="2" s="1"/>
  <c r="J237" i="2"/>
  <c r="K237" i="2" s="1"/>
  <c r="X353" i="2"/>
  <c r="Y353" i="2" s="1"/>
  <c r="Q57" i="2"/>
  <c r="R57" i="2" s="1"/>
  <c r="Q197" i="2"/>
  <c r="R197" i="2" s="1"/>
  <c r="Z197" i="2" s="1"/>
  <c r="J142" i="2"/>
  <c r="K142" i="2" s="1"/>
  <c r="Z142" i="2" s="1"/>
  <c r="X73" i="2"/>
  <c r="Y73" i="2" s="1"/>
  <c r="J8" i="2"/>
  <c r="K8" i="2" s="1"/>
  <c r="Q47" i="2"/>
  <c r="R47" i="2" s="1"/>
  <c r="X78" i="2"/>
  <c r="Y78" i="2" s="1"/>
  <c r="X241" i="2"/>
  <c r="Y241" i="2" s="1"/>
  <c r="J321" i="2"/>
  <c r="K321" i="2" s="1"/>
  <c r="X150" i="2"/>
  <c r="Y150" i="2" s="1"/>
  <c r="J15" i="2"/>
  <c r="K15" i="2" s="1"/>
  <c r="Q226" i="2"/>
  <c r="R226" i="2" s="1"/>
  <c r="J45" i="2"/>
  <c r="K45" i="2" s="1"/>
  <c r="J282" i="2"/>
  <c r="K282" i="2" s="1"/>
  <c r="Q196" i="2"/>
  <c r="R196" i="2" s="1"/>
  <c r="Z196" i="2" s="1"/>
  <c r="Q414" i="2"/>
  <c r="R414" i="2" s="1"/>
  <c r="X329" i="2"/>
  <c r="Y329" i="2" s="1"/>
  <c r="Q345" i="2"/>
  <c r="R345" i="2" s="1"/>
  <c r="Q375" i="2"/>
  <c r="R375" i="2" s="1"/>
  <c r="J6" i="2"/>
  <c r="K6" i="2" s="1"/>
  <c r="X299" i="2"/>
  <c r="Y299" i="2" s="1"/>
  <c r="Z299" i="2" s="1"/>
  <c r="J390" i="2"/>
  <c r="K390" i="2" s="1"/>
  <c r="J373" i="2"/>
  <c r="K373" i="2" s="1"/>
  <c r="Q128" i="2"/>
  <c r="R128" i="2" s="1"/>
  <c r="J7" i="2"/>
  <c r="K7" i="2" s="1"/>
  <c r="Q409" i="2"/>
  <c r="R409" i="2" s="1"/>
  <c r="Z409" i="2" s="1"/>
  <c r="Q193" i="2"/>
  <c r="R193" i="2" s="1"/>
  <c r="Z193" i="2" s="1"/>
  <c r="J70" i="2"/>
  <c r="K70" i="2" s="1"/>
  <c r="Q405" i="2"/>
  <c r="R405" i="2" s="1"/>
  <c r="J58" i="2"/>
  <c r="K58" i="2" s="1"/>
  <c r="X171" i="2"/>
  <c r="Y171" i="2" s="1"/>
  <c r="X341" i="2"/>
  <c r="Y341" i="2" s="1"/>
  <c r="Z341" i="2" s="1"/>
  <c r="J93" i="2"/>
  <c r="K93" i="2" s="1"/>
  <c r="Z93" i="2" s="1"/>
  <c r="J234" i="2"/>
  <c r="K234" i="2" s="1"/>
  <c r="X17" i="2"/>
  <c r="Y17" i="2" s="1"/>
  <c r="J204" i="2"/>
  <c r="K204" i="2" s="1"/>
  <c r="Z204" i="2" s="1"/>
  <c r="X80" i="2"/>
  <c r="Y80" i="2" s="1"/>
  <c r="Q20" i="2"/>
  <c r="R20" i="2" s="1"/>
  <c r="Q41" i="2"/>
  <c r="R41" i="2" s="1"/>
  <c r="Q300" i="2"/>
  <c r="R300" i="2" s="1"/>
  <c r="Q27" i="2"/>
  <c r="R27" i="2" s="1"/>
  <c r="X113" i="2"/>
  <c r="Y113" i="2" s="1"/>
  <c r="X403" i="2"/>
  <c r="Y403" i="2" s="1"/>
  <c r="Q10" i="2"/>
  <c r="R10" i="2" s="1"/>
  <c r="X22" i="2"/>
  <c r="Y22" i="2" s="1"/>
  <c r="Q397" i="2"/>
  <c r="R397" i="2" s="1"/>
  <c r="Q305" i="2"/>
  <c r="R305" i="2" s="1"/>
  <c r="J60" i="2"/>
  <c r="K60" i="2" s="1"/>
  <c r="X25" i="2"/>
  <c r="Y25" i="2" s="1"/>
  <c r="X135" i="2"/>
  <c r="Y135" i="2" s="1"/>
  <c r="X83" i="2"/>
  <c r="Y83" i="2" s="1"/>
  <c r="X232" i="2"/>
  <c r="Y232" i="2" s="1"/>
  <c r="X176" i="2"/>
  <c r="Y176" i="2" s="1"/>
  <c r="J308" i="2"/>
  <c r="K308" i="2" s="1"/>
  <c r="X38" i="2"/>
  <c r="Y38" i="2" s="1"/>
  <c r="X34" i="2"/>
  <c r="Y34" i="2" s="1"/>
  <c r="J25" i="2"/>
  <c r="K25" i="2" s="1"/>
  <c r="J266" i="2"/>
  <c r="K266" i="2" s="1"/>
  <c r="J328" i="2"/>
  <c r="K328" i="2" s="1"/>
  <c r="Z328" i="2" s="1"/>
  <c r="Q15" i="2"/>
  <c r="R15" i="2" s="1"/>
  <c r="X67" i="2"/>
  <c r="Y67" i="2" s="1"/>
  <c r="Q59" i="2"/>
  <c r="R59" i="2" s="1"/>
  <c r="Q327" i="2"/>
  <c r="R327" i="2" s="1"/>
  <c r="J395" i="2"/>
  <c r="K395" i="2" s="1"/>
  <c r="Q403" i="2"/>
  <c r="R403" i="2" s="1"/>
  <c r="X301" i="2"/>
  <c r="Y301" i="2" s="1"/>
  <c r="Q400" i="2"/>
  <c r="R400" i="2" s="1"/>
  <c r="X321" i="2"/>
  <c r="Y321" i="2" s="1"/>
  <c r="X276" i="2"/>
  <c r="Y276" i="2" s="1"/>
  <c r="X398" i="2"/>
  <c r="Y398" i="2" s="1"/>
  <c r="J13" i="2"/>
  <c r="K13" i="2" s="1"/>
  <c r="Q25" i="2"/>
  <c r="R25" i="2" s="1"/>
  <c r="J37" i="2"/>
  <c r="K37" i="2" s="1"/>
  <c r="J39" i="2"/>
  <c r="K39" i="2" s="1"/>
  <c r="Q56" i="2"/>
  <c r="R56" i="2" s="1"/>
  <c r="Q126" i="2"/>
  <c r="R126" i="2" s="1"/>
  <c r="Z126" i="2" s="1"/>
  <c r="Q360" i="2"/>
  <c r="R360" i="2" s="1"/>
  <c r="Q7" i="2"/>
  <c r="R7" i="2" s="1"/>
  <c r="Q387" i="2"/>
  <c r="R387" i="2" s="1"/>
  <c r="X384" i="2"/>
  <c r="Y384" i="2" s="1"/>
  <c r="J173" i="2"/>
  <c r="K173" i="2" s="1"/>
  <c r="X81" i="2"/>
  <c r="Y81" i="2" s="1"/>
  <c r="X316" i="2"/>
  <c r="Y316" i="2" s="1"/>
  <c r="X69" i="2"/>
  <c r="Y69" i="2" s="1"/>
  <c r="X33" i="2"/>
  <c r="Y33" i="2" s="1"/>
  <c r="Q32" i="2"/>
  <c r="R32" i="2" s="1"/>
  <c r="X395" i="2"/>
  <c r="Y395" i="2" s="1"/>
  <c r="X366" i="2"/>
  <c r="Y366" i="2" s="1"/>
  <c r="X46" i="2"/>
  <c r="Y46" i="2" s="1"/>
  <c r="X355" i="2"/>
  <c r="Y355" i="2" s="1"/>
  <c r="Z355" i="2" s="1"/>
  <c r="J84" i="2"/>
  <c r="K84" i="2" s="1"/>
  <c r="Q17" i="2"/>
  <c r="R17" i="2" s="1"/>
  <c r="Q309" i="2"/>
  <c r="R309" i="2" s="1"/>
  <c r="Z309" i="2" s="1"/>
  <c r="Q113" i="2"/>
  <c r="R113" i="2" s="1"/>
  <c r="X29" i="2"/>
  <c r="Y29" i="2" s="1"/>
  <c r="X48" i="2"/>
  <c r="Y48" i="2" s="1"/>
  <c r="J52" i="2"/>
  <c r="K52" i="2" s="1"/>
  <c r="Q67" i="2"/>
  <c r="R67" i="2" s="1"/>
  <c r="X152" i="2"/>
  <c r="Y152" i="2" s="1"/>
  <c r="Q71" i="2"/>
  <c r="R71" i="2" s="1"/>
  <c r="Q11" i="2"/>
  <c r="R11" i="2" s="1"/>
  <c r="X262" i="2"/>
  <c r="Y262" i="2" s="1"/>
  <c r="J202" i="2"/>
  <c r="K202" i="2" s="1"/>
  <c r="Z202" i="2" s="1"/>
  <c r="J136" i="2"/>
  <c r="K136" i="2" s="1"/>
  <c r="X337" i="2"/>
  <c r="Y337" i="2" s="1"/>
  <c r="Z337" i="2" s="1"/>
  <c r="Q4" i="2"/>
  <c r="R4" i="2" s="1"/>
  <c r="X43" i="2"/>
  <c r="Y43" i="2" s="1"/>
  <c r="X11" i="2"/>
  <c r="Y11" i="2" s="1"/>
  <c r="Q199" i="2"/>
  <c r="R199" i="2" s="1"/>
  <c r="Z199" i="2" s="1"/>
  <c r="J267" i="2"/>
  <c r="K267" i="2" s="1"/>
  <c r="Q195" i="2"/>
  <c r="R195" i="2" s="1"/>
  <c r="Z195" i="2" s="1"/>
  <c r="X109" i="2"/>
  <c r="Y109" i="2" s="1"/>
  <c r="Z109" i="2" s="1"/>
  <c r="Q208" i="2"/>
  <c r="R208" i="2" s="1"/>
  <c r="Q28" i="2"/>
  <c r="R28" i="2" s="1"/>
  <c r="X49" i="2"/>
  <c r="Y49" i="2" s="1"/>
  <c r="J279" i="2"/>
  <c r="K279" i="2" s="1"/>
  <c r="X369" i="2"/>
  <c r="Y369" i="2" s="1"/>
  <c r="J43" i="2"/>
  <c r="K43" i="2" s="1"/>
  <c r="Q60" i="2"/>
  <c r="R60" i="2" s="1"/>
  <c r="J68" i="2"/>
  <c r="K68" i="2" s="1"/>
  <c r="X411" i="2"/>
  <c r="Y411" i="2" s="1"/>
  <c r="Z411" i="2" s="1"/>
  <c r="J85" i="2"/>
  <c r="K85" i="2" s="1"/>
  <c r="Z85" i="2" s="1"/>
  <c r="J21" i="2"/>
  <c r="K21" i="2" s="1"/>
  <c r="Q55" i="2"/>
  <c r="R55" i="2" s="1"/>
  <c r="Q50" i="2"/>
  <c r="R50" i="2" s="1"/>
  <c r="Q320" i="2"/>
  <c r="R320" i="2" s="1"/>
  <c r="Z320" i="2" s="1"/>
  <c r="Q42" i="2"/>
  <c r="R42" i="2" s="1"/>
  <c r="Q338" i="2"/>
  <c r="R338" i="2" s="1"/>
  <c r="Q357" i="2"/>
  <c r="R357" i="2" s="1"/>
  <c r="X200" i="2"/>
  <c r="Y200" i="2" s="1"/>
  <c r="Z200" i="2" s="1"/>
  <c r="J133" i="2"/>
  <c r="K133" i="2" s="1"/>
  <c r="J383" i="2"/>
  <c r="K383" i="2" s="1"/>
  <c r="Z383" i="2" s="1"/>
  <c r="X9" i="2"/>
  <c r="Y9" i="2" s="1"/>
  <c r="Q8" i="2"/>
  <c r="R8" i="2" s="1"/>
  <c r="Q99" i="2"/>
  <c r="R99" i="2" s="1"/>
  <c r="X248" i="2"/>
  <c r="Y248" i="2" s="1"/>
  <c r="X57" i="2"/>
  <c r="Y57" i="2" s="1"/>
  <c r="Z57" i="2" s="1"/>
  <c r="X147" i="2"/>
  <c r="Y147" i="2" s="1"/>
  <c r="J44" i="2"/>
  <c r="K44" i="2" s="1"/>
  <c r="Q220" i="2"/>
  <c r="R220" i="2" s="1"/>
  <c r="Z220" i="2" s="1"/>
  <c r="J311" i="2"/>
  <c r="K311" i="2" s="1"/>
  <c r="Q288" i="2"/>
  <c r="R288" i="2" s="1"/>
  <c r="Z288" i="2" s="1"/>
  <c r="X5" i="2"/>
  <c r="Y5" i="2" s="1"/>
  <c r="J40" i="2"/>
  <c r="K40" i="2" s="1"/>
  <c r="X75" i="2"/>
  <c r="Y75" i="2" s="1"/>
  <c r="J370" i="2"/>
  <c r="K370" i="2" s="1"/>
  <c r="X222" i="2"/>
  <c r="Y222" i="2" s="1"/>
  <c r="Z222" i="2" s="1"/>
  <c r="X226" i="2"/>
  <c r="Y226" i="2" s="1"/>
  <c r="J76" i="2"/>
  <c r="K76" i="2" s="1"/>
  <c r="J338" i="2"/>
  <c r="K338" i="2" s="1"/>
  <c r="J248" i="2"/>
  <c r="K248" i="2" s="1"/>
  <c r="X313" i="2"/>
  <c r="Y313" i="2" s="1"/>
  <c r="J61" i="2"/>
  <c r="K61" i="2" s="1"/>
  <c r="X416" i="2"/>
  <c r="Y416" i="2" s="1"/>
  <c r="J87" i="2"/>
  <c r="K87" i="2" s="1"/>
  <c r="X26" i="2"/>
  <c r="Y26" i="2" s="1"/>
  <c r="X41" i="2"/>
  <c r="Y41" i="2" s="1"/>
  <c r="Q135" i="2"/>
  <c r="R135" i="2" s="1"/>
  <c r="X280" i="2"/>
  <c r="Y280" i="2" s="1"/>
  <c r="Q139" i="2"/>
  <c r="R139" i="2" s="1"/>
  <c r="Z139" i="2" s="1"/>
  <c r="J172" i="2"/>
  <c r="K172" i="2" s="1"/>
  <c r="Z172" i="2" s="1"/>
  <c r="Q351" i="2"/>
  <c r="R351" i="2" s="1"/>
  <c r="Z351" i="2" s="1"/>
  <c r="X59" i="2"/>
  <c r="Y59" i="2" s="1"/>
  <c r="X265" i="2"/>
  <c r="Y265" i="2" s="1"/>
  <c r="J191" i="2"/>
  <c r="K191" i="2" s="1"/>
  <c r="J71" i="2"/>
  <c r="K71" i="2" s="1"/>
  <c r="J11" i="2"/>
  <c r="K11" i="2" s="1"/>
  <c r="Q23" i="2"/>
  <c r="R23" i="2" s="1"/>
  <c r="Q69" i="2"/>
  <c r="R69" i="2" s="1"/>
  <c r="J33" i="2"/>
  <c r="K33" i="2" s="1"/>
  <c r="X308" i="2"/>
  <c r="Y308" i="2" s="1"/>
  <c r="J35" i="2"/>
  <c r="K35" i="2" s="1"/>
  <c r="Q296" i="2"/>
  <c r="R296" i="2" s="1"/>
  <c r="Q62" i="2"/>
  <c r="R62" i="2" s="1"/>
  <c r="Q297" i="2"/>
  <c r="R297" i="2" s="1"/>
  <c r="Q324" i="2"/>
  <c r="R324" i="2" s="1"/>
  <c r="X255" i="2"/>
  <c r="Y255" i="2" s="1"/>
  <c r="Z255" i="2" s="1"/>
  <c r="J28" i="2"/>
  <c r="K28" i="2" s="1"/>
  <c r="Q29" i="2"/>
  <c r="R29" i="2" s="1"/>
  <c r="Q22" i="2"/>
  <c r="R22" i="2" s="1"/>
  <c r="X30" i="2"/>
  <c r="Y30" i="2" s="1"/>
  <c r="X56" i="2"/>
  <c r="Y56" i="2" s="1"/>
  <c r="J385" i="2"/>
  <c r="K385" i="2" s="1"/>
  <c r="Q353" i="2"/>
  <c r="R353" i="2" s="1"/>
  <c r="J384" i="2"/>
  <c r="K384" i="2" s="1"/>
  <c r="J72" i="2"/>
  <c r="K72" i="2" s="1"/>
  <c r="X99" i="2"/>
  <c r="Y99" i="2" s="1"/>
  <c r="J20" i="2"/>
  <c r="K20" i="2" s="1"/>
  <c r="Q147" i="2"/>
  <c r="R147" i="2" s="1"/>
  <c r="Q181" i="2"/>
  <c r="R181" i="2" s="1"/>
  <c r="Q37" i="2"/>
  <c r="R37" i="2" s="1"/>
  <c r="Q36" i="2"/>
  <c r="R36" i="2" s="1"/>
  <c r="X15" i="2"/>
  <c r="Y15" i="2" s="1"/>
  <c r="Q372" i="2"/>
  <c r="R372" i="2" s="1"/>
  <c r="X35" i="2"/>
  <c r="Y35" i="2" s="1"/>
  <c r="J306" i="2"/>
  <c r="K306" i="2" s="1"/>
  <c r="Q54" i="2"/>
  <c r="R54" i="2" s="1"/>
  <c r="J41" i="2"/>
  <c r="K41" i="2" s="1"/>
  <c r="X61" i="2"/>
  <c r="Y61" i="2" s="1"/>
  <c r="J400" i="2"/>
  <c r="K400" i="2" s="1"/>
  <c r="J146" i="2"/>
  <c r="K146" i="2" s="1"/>
  <c r="J184" i="2"/>
  <c r="K184" i="2" s="1"/>
  <c r="J163" i="2"/>
  <c r="K163" i="2" s="1"/>
  <c r="Z163" i="2" s="1"/>
  <c r="J69" i="2"/>
  <c r="K69" i="2" s="1"/>
  <c r="X79" i="2"/>
  <c r="Y79" i="2" s="1"/>
  <c r="J81" i="2"/>
  <c r="K81" i="2" s="1"/>
  <c r="X58" i="2"/>
  <c r="Y58" i="2" s="1"/>
  <c r="Q398" i="2"/>
  <c r="R398" i="2" s="1"/>
  <c r="J216" i="2"/>
  <c r="K216" i="2" s="1"/>
  <c r="Q256" i="2"/>
  <c r="R256" i="2" s="1"/>
  <c r="J108" i="2"/>
  <c r="K108" i="2" s="1"/>
  <c r="Z108" i="2" s="1"/>
  <c r="Q102" i="2"/>
  <c r="R102" i="2" s="1"/>
  <c r="Z102" i="2" s="1"/>
  <c r="X4" i="2"/>
  <c r="Y4" i="2" s="1"/>
  <c r="J151" i="2"/>
  <c r="K151" i="2" s="1"/>
  <c r="J31" i="2"/>
  <c r="K31" i="2" s="1"/>
  <c r="Q370" i="2"/>
  <c r="R370" i="2" s="1"/>
  <c r="Q79" i="2"/>
  <c r="R79" i="2" s="1"/>
  <c r="Q76" i="2"/>
  <c r="R76" i="2" s="1"/>
  <c r="X379" i="2"/>
  <c r="Y379" i="2" s="1"/>
  <c r="X363" i="2"/>
  <c r="Y363" i="2" s="1"/>
  <c r="J287" i="2"/>
  <c r="K287" i="2" s="1"/>
  <c r="Q418" i="2"/>
  <c r="R418" i="2" s="1"/>
  <c r="Q232" i="2"/>
  <c r="R232" i="2" s="1"/>
  <c r="Q250" i="2"/>
  <c r="R250" i="2" s="1"/>
  <c r="Q376" i="2"/>
  <c r="R376" i="2" s="1"/>
  <c r="Q46" i="2"/>
  <c r="R46" i="2" s="1"/>
  <c r="Q63" i="2"/>
  <c r="R63" i="2" s="1"/>
  <c r="X55" i="2"/>
  <c r="Y55" i="2" s="1"/>
  <c r="X54" i="2"/>
  <c r="Y54" i="2" s="1"/>
  <c r="X37" i="2"/>
  <c r="Y37" i="2" s="1"/>
  <c r="J78" i="2"/>
  <c r="K78" i="2" s="1"/>
  <c r="J66" i="2"/>
  <c r="K66" i="2" s="1"/>
  <c r="J86" i="2"/>
  <c r="K86" i="2" s="1"/>
  <c r="X68" i="2"/>
  <c r="Y68" i="2" s="1"/>
  <c r="Q241" i="2"/>
  <c r="R241" i="2" s="1"/>
  <c r="J300" i="2"/>
  <c r="K300" i="2" s="1"/>
  <c r="X250" i="2"/>
  <c r="Y250" i="2" s="1"/>
  <c r="Q237" i="2"/>
  <c r="R237" i="2" s="1"/>
  <c r="Q335" i="2"/>
  <c r="R335" i="2" s="1"/>
  <c r="Z335" i="2" s="1"/>
  <c r="J349" i="2"/>
  <c r="K349" i="2" s="1"/>
  <c r="Z349" i="2" s="1"/>
  <c r="J235" i="2"/>
  <c r="K235" i="2" s="1"/>
  <c r="Z235" i="2" s="1"/>
  <c r="X331" i="2"/>
  <c r="Y331" i="2" s="1"/>
  <c r="Q358" i="2"/>
  <c r="R358" i="2" s="1"/>
  <c r="X340" i="2"/>
  <c r="Y340" i="2" s="1"/>
  <c r="Z340" i="2" s="1"/>
  <c r="X257" i="2"/>
  <c r="Y257" i="2" s="1"/>
  <c r="Z257" i="2" s="1"/>
  <c r="J143" i="2"/>
  <c r="K143" i="2" s="1"/>
  <c r="J297" i="2"/>
  <c r="K297" i="2" s="1"/>
  <c r="X252" i="2"/>
  <c r="Y252" i="2" s="1"/>
  <c r="Z252" i="2" s="1"/>
  <c r="X27" i="2"/>
  <c r="Y27" i="2" s="1"/>
  <c r="Q410" i="2"/>
  <c r="R410" i="2" s="1"/>
  <c r="Z410" i="2" s="1"/>
  <c r="Q377" i="2"/>
  <c r="R377" i="2" s="1"/>
  <c r="J244" i="2"/>
  <c r="K244" i="2" s="1"/>
  <c r="Z244" i="2" s="1"/>
  <c r="Q149" i="2"/>
  <c r="R149" i="2" s="1"/>
  <c r="J377" i="2"/>
  <c r="K377" i="2" s="1"/>
  <c r="Q265" i="2"/>
  <c r="R265" i="2" s="1"/>
  <c r="J350" i="2"/>
  <c r="K350" i="2" s="1"/>
  <c r="X332" i="2"/>
  <c r="Y332" i="2" s="1"/>
  <c r="Z332" i="2" s="1"/>
  <c r="X358" i="2"/>
  <c r="Y358" i="2" s="1"/>
  <c r="X210" i="2"/>
  <c r="Y210" i="2" s="1"/>
  <c r="J329" i="2"/>
  <c r="K329" i="2" s="1"/>
  <c r="Z329" i="2" s="1"/>
  <c r="X207" i="2"/>
  <c r="Y207" i="2" s="1"/>
  <c r="Z207" i="2" s="1"/>
  <c r="X31" i="2"/>
  <c r="Y31" i="2" s="1"/>
  <c r="X21" i="2"/>
  <c r="Y21" i="2" s="1"/>
  <c r="Q30" i="2"/>
  <c r="R30" i="2" s="1"/>
  <c r="Q374" i="2"/>
  <c r="R374" i="2" s="1"/>
  <c r="Z374" i="2" s="1"/>
  <c r="Q44" i="2"/>
  <c r="R44" i="2" s="1"/>
  <c r="J32" i="2"/>
  <c r="K32" i="2" s="1"/>
  <c r="X8" i="2"/>
  <c r="Y8" i="2" s="1"/>
  <c r="J129" i="2"/>
  <c r="K129" i="2" s="1"/>
  <c r="Z129" i="2" s="1"/>
  <c r="Q45" i="2"/>
  <c r="R45" i="2" s="1"/>
  <c r="J296" i="2"/>
  <c r="K296" i="2" s="1"/>
  <c r="J48" i="2"/>
  <c r="K48" i="2" s="1"/>
  <c r="Q107" i="2"/>
  <c r="R107" i="2" s="1"/>
  <c r="Z107" i="2" s="1"/>
  <c r="X19" i="2"/>
  <c r="Y19" i="2" s="1"/>
  <c r="Q24" i="2"/>
  <c r="R24" i="2" s="1"/>
  <c r="Q348" i="2"/>
  <c r="R348" i="2" s="1"/>
  <c r="J414" i="2"/>
  <c r="K414" i="2" s="1"/>
  <c r="J83" i="2"/>
  <c r="K83" i="2" s="1"/>
  <c r="Q286" i="2"/>
  <c r="R286" i="2" s="1"/>
  <c r="J176" i="2"/>
  <c r="K176" i="2" s="1"/>
  <c r="J242" i="2"/>
  <c r="K242" i="2" s="1"/>
  <c r="Z242" i="2" s="1"/>
  <c r="J36" i="2"/>
  <c r="K36" i="2" s="1"/>
  <c r="J258" i="2"/>
  <c r="K258" i="2" s="1"/>
  <c r="Z258" i="2" s="1"/>
  <c r="J144" i="2"/>
  <c r="K144" i="2" s="1"/>
  <c r="X394" i="2"/>
  <c r="Y394" i="2" s="1"/>
  <c r="Z394" i="2" s="1"/>
  <c r="J120" i="2"/>
  <c r="K120" i="2" s="1"/>
  <c r="Q379" i="2"/>
  <c r="R379" i="2" s="1"/>
  <c r="J368" i="2"/>
  <c r="K368" i="2" s="1"/>
  <c r="J9" i="2"/>
  <c r="K9" i="2" s="1"/>
  <c r="J4" i="2"/>
  <c r="K4" i="2" s="1"/>
  <c r="Q6" i="2"/>
  <c r="R6" i="2" s="1"/>
  <c r="X50" i="2"/>
  <c r="Y50" i="2" s="1"/>
  <c r="X333" i="2"/>
  <c r="Y333" i="2" s="1"/>
  <c r="J88" i="2"/>
  <c r="K88" i="2" s="1"/>
  <c r="Q77" i="2"/>
  <c r="R77" i="2" s="1"/>
  <c r="X233" i="2"/>
  <c r="Y233" i="2" s="1"/>
  <c r="Z233" i="2" s="1"/>
  <c r="X293" i="2"/>
  <c r="Y293" i="2" s="1"/>
  <c r="J284" i="2"/>
  <c r="K284" i="2" s="1"/>
  <c r="X3" i="2"/>
  <c r="Y3" i="2" s="1"/>
  <c r="J127" i="2"/>
  <c r="K127" i="2" s="1"/>
  <c r="J56" i="2"/>
  <c r="K56" i="2" s="1"/>
  <c r="Q313" i="2"/>
  <c r="R313" i="2" s="1"/>
  <c r="X18" i="2"/>
  <c r="Y18" i="2" s="1"/>
  <c r="J223" i="2"/>
  <c r="K223" i="2" s="1"/>
  <c r="Z223" i="2" s="1"/>
  <c r="J23" i="2"/>
  <c r="K23" i="2" s="1"/>
  <c r="J47" i="2"/>
  <c r="K47" i="2" s="1"/>
  <c r="Q382" i="2"/>
  <c r="R382" i="2" s="1"/>
  <c r="Q183" i="2"/>
  <c r="R183" i="2" s="1"/>
  <c r="Z183" i="2" s="1"/>
  <c r="Q169" i="2"/>
  <c r="R169" i="2" s="1"/>
  <c r="Z169" i="2" s="1"/>
  <c r="Q184" i="2"/>
  <c r="R184" i="2" s="1"/>
  <c r="Q221" i="2"/>
  <c r="R221" i="2" s="1"/>
  <c r="J19" i="2"/>
  <c r="K19" i="2" s="1"/>
  <c r="X146" i="2"/>
  <c r="Y146" i="2" s="1"/>
  <c r="Q259" i="2"/>
  <c r="R259" i="2" s="1"/>
  <c r="Z259" i="2" s="1"/>
  <c r="X277" i="2"/>
  <c r="Y277" i="2" s="1"/>
  <c r="X118" i="2"/>
  <c r="Y118" i="2" s="1"/>
  <c r="J210" i="2"/>
  <c r="K210" i="2" s="1"/>
  <c r="Q80" i="2"/>
  <c r="R80" i="2" s="1"/>
  <c r="Q368" i="2"/>
  <c r="R368" i="2" s="1"/>
  <c r="X151" i="2"/>
  <c r="Y151" i="2" s="1"/>
  <c r="X418" i="2"/>
  <c r="Y418" i="2" s="1"/>
  <c r="Q404" i="2"/>
  <c r="R404" i="2" s="1"/>
  <c r="Z404" i="2" s="1"/>
  <c r="Q311" i="2"/>
  <c r="R311" i="2" s="1"/>
  <c r="J316" i="2"/>
  <c r="K316" i="2" s="1"/>
  <c r="X84" i="2"/>
  <c r="Y84" i="2" s="1"/>
  <c r="X39" i="2"/>
  <c r="Y39" i="2" s="1"/>
  <c r="Q243" i="2"/>
  <c r="R243" i="2" s="1"/>
  <c r="Z243" i="2" s="1"/>
  <c r="Q104" i="2"/>
  <c r="R104" i="2" s="1"/>
  <c r="X249" i="2"/>
  <c r="Y249" i="2" s="1"/>
  <c r="Z249" i="2" s="1"/>
  <c r="J218" i="2"/>
  <c r="K218" i="2" s="1"/>
  <c r="Z218" i="2" s="1"/>
  <c r="J219" i="2"/>
  <c r="K219" i="2" s="1"/>
  <c r="Q94" i="2"/>
  <c r="R94" i="2" s="1"/>
  <c r="X208" i="2"/>
  <c r="Y208" i="2" s="1"/>
  <c r="X322" i="2"/>
  <c r="Y322" i="2" s="1"/>
  <c r="Z322" i="2" s="1"/>
  <c r="Q267" i="2"/>
  <c r="R267" i="2" s="1"/>
  <c r="Q266" i="2"/>
  <c r="R266" i="2" s="1"/>
  <c r="Q151" i="2"/>
  <c r="R151" i="2" s="1"/>
  <c r="X325" i="2"/>
  <c r="Y325" i="2" s="1"/>
  <c r="Z325" i="2" s="1"/>
  <c r="J181" i="2"/>
  <c r="K181" i="2" s="1"/>
  <c r="J111" i="2"/>
  <c r="K111" i="2" s="1"/>
  <c r="Z111" i="2" s="1"/>
  <c r="X71" i="2"/>
  <c r="Y71" i="2" s="1"/>
  <c r="Q38" i="2"/>
  <c r="R38" i="2" s="1"/>
  <c r="Q26" i="2"/>
  <c r="R26" i="2" s="1"/>
  <c r="J26" i="2"/>
  <c r="K26" i="2" s="1"/>
  <c r="X62" i="2"/>
  <c r="Y62" i="2" s="1"/>
  <c r="X391" i="2"/>
  <c r="Y391" i="2" s="1"/>
  <c r="Z391" i="2" s="1"/>
  <c r="X136" i="2"/>
  <c r="Y136" i="2" s="1"/>
  <c r="J203" i="2"/>
  <c r="K203" i="2" s="1"/>
  <c r="Q123" i="2"/>
  <c r="R123" i="2" s="1"/>
  <c r="Z123" i="2" s="1"/>
  <c r="X213" i="2"/>
  <c r="Y213" i="2" s="1"/>
  <c r="X272" i="2"/>
  <c r="Y272" i="2" s="1"/>
  <c r="Z272" i="2" s="1"/>
  <c r="X314" i="2"/>
  <c r="Y314" i="2" s="1"/>
  <c r="J305" i="2"/>
  <c r="K305" i="2" s="1"/>
  <c r="Q176" i="2"/>
  <c r="R176" i="2" s="1"/>
  <c r="X375" i="2"/>
  <c r="Y375" i="2" s="1"/>
  <c r="X290" i="2"/>
  <c r="Y290" i="2" s="1"/>
  <c r="J363" i="2"/>
  <c r="K363" i="2" s="1"/>
  <c r="J214" i="2"/>
  <c r="K214" i="2" s="1"/>
  <c r="J188" i="2"/>
  <c r="K188" i="2" s="1"/>
  <c r="Z188" i="2" s="1"/>
  <c r="X319" i="2"/>
  <c r="Y319" i="2" s="1"/>
  <c r="Z319" i="2" s="1"/>
  <c r="X209" i="2"/>
  <c r="Y209" i="2" s="1"/>
  <c r="Z209" i="2" s="1"/>
  <c r="Q138" i="2"/>
  <c r="R138" i="2" s="1"/>
  <c r="Z138" i="2" s="1"/>
  <c r="Q35" i="2"/>
  <c r="R35" i="2" s="1"/>
  <c r="X82" i="2"/>
  <c r="Y82" i="2" s="1"/>
  <c r="X227" i="2"/>
  <c r="Y227" i="2" s="1"/>
  <c r="Q234" i="2"/>
  <c r="R234" i="2" s="1"/>
  <c r="X413" i="2"/>
  <c r="Y413" i="2" s="1"/>
  <c r="Z413" i="2" s="1"/>
  <c r="X144" i="2"/>
  <c r="Y144" i="2" s="1"/>
  <c r="X170" i="2"/>
  <c r="Y170" i="2" s="1"/>
  <c r="Z170" i="2" s="1"/>
  <c r="Q154" i="2"/>
  <c r="R154" i="2" s="1"/>
  <c r="Z154" i="2" s="1"/>
  <c r="Q289" i="2"/>
  <c r="R289" i="2" s="1"/>
  <c r="Q61" i="2"/>
  <c r="R61" i="2" s="1"/>
  <c r="X372" i="2"/>
  <c r="Y372" i="2" s="1"/>
  <c r="X74" i="2"/>
  <c r="Y74" i="2" s="1"/>
  <c r="X362" i="2"/>
  <c r="Y362" i="2" s="1"/>
  <c r="Z362" i="2" s="1"/>
  <c r="J353" i="2"/>
  <c r="K353" i="2" s="1"/>
  <c r="Z353" i="2" s="1"/>
  <c r="Q53" i="2"/>
  <c r="R53" i="2" s="1"/>
  <c r="J46" i="2"/>
  <c r="K46" i="2" s="1"/>
  <c r="J34" i="2"/>
  <c r="K34" i="2" s="1"/>
  <c r="J22" i="2"/>
  <c r="K22" i="2" s="1"/>
  <c r="X45" i="2"/>
  <c r="Y45" i="2" s="1"/>
  <c r="X51" i="2"/>
  <c r="Y51" i="2" s="1"/>
  <c r="Q268" i="2"/>
  <c r="R268" i="2" s="1"/>
  <c r="Z268" i="2" s="1"/>
  <c r="Q392" i="2"/>
  <c r="R392" i="2" s="1"/>
  <c r="X412" i="2"/>
  <c r="Y412" i="2" s="1"/>
  <c r="X122" i="2"/>
  <c r="Y122" i="2" s="1"/>
  <c r="Z122" i="2" s="1"/>
  <c r="Q316" i="2"/>
  <c r="R316" i="2" s="1"/>
  <c r="Q143" i="2"/>
  <c r="R143" i="2" s="1"/>
  <c r="X401" i="2"/>
  <c r="Y401" i="2" s="1"/>
  <c r="X323" i="2"/>
  <c r="Y323" i="2" s="1"/>
  <c r="Z323" i="2" s="1"/>
  <c r="X203" i="2"/>
  <c r="Y203" i="2" s="1"/>
  <c r="Q294" i="2"/>
  <c r="R294" i="2" s="1"/>
  <c r="Z294" i="2" s="1"/>
  <c r="X212" i="2"/>
  <c r="Y212" i="2" s="1"/>
  <c r="X382" i="2"/>
  <c r="Y382" i="2" s="1"/>
  <c r="X216" i="2"/>
  <c r="Y216" i="2" s="1"/>
  <c r="Q86" i="2"/>
  <c r="R86" i="2" s="1"/>
  <c r="X360" i="2"/>
  <c r="Y360" i="2" s="1"/>
  <c r="X408" i="2"/>
  <c r="Y408" i="2" s="1"/>
  <c r="X415" i="2"/>
  <c r="Y415" i="2" s="1"/>
  <c r="Z415" i="2" s="1"/>
  <c r="Q290" i="2"/>
  <c r="R290" i="2" s="1"/>
  <c r="Q367" i="2"/>
  <c r="R367" i="2" s="1"/>
  <c r="Z367" i="2" s="1"/>
  <c r="X76" i="2"/>
  <c r="Y76" i="2" s="1"/>
  <c r="J307" i="2"/>
  <c r="K307" i="2" s="1"/>
  <c r="Z307" i="2" s="1"/>
  <c r="Q412" i="2"/>
  <c r="R412" i="2" s="1"/>
  <c r="Q201" i="2"/>
  <c r="R201" i="2" s="1"/>
  <c r="Z201" i="2" s="1"/>
  <c r="Q390" i="2"/>
  <c r="R390" i="2" s="1"/>
  <c r="J94" i="2"/>
  <c r="K94" i="2" s="1"/>
  <c r="X40" i="2"/>
  <c r="Y40" i="2" s="1"/>
  <c r="Z40" i="2" s="1"/>
  <c r="Q260" i="2"/>
  <c r="R260" i="2" s="1"/>
  <c r="J289" i="2"/>
  <c r="K289" i="2" s="1"/>
  <c r="X119" i="2"/>
  <c r="Y119" i="2" s="1"/>
  <c r="X63" i="2"/>
  <c r="Y63" i="2" s="1"/>
  <c r="X12" i="2"/>
  <c r="Y12" i="2" s="1"/>
  <c r="Q246" i="2"/>
  <c r="R246" i="2" s="1"/>
  <c r="J357" i="2"/>
  <c r="K357" i="2" s="1"/>
  <c r="Q39" i="2"/>
  <c r="R39" i="2" s="1"/>
  <c r="X23" i="2"/>
  <c r="Y23" i="2" s="1"/>
  <c r="Q261" i="2"/>
  <c r="R261" i="2" s="1"/>
  <c r="Q21" i="2"/>
  <c r="R21" i="2" s="1"/>
  <c r="J256" i="2"/>
  <c r="K256" i="2" s="1"/>
  <c r="X282" i="2"/>
  <c r="Y282" i="2" s="1"/>
  <c r="Q72" i="2"/>
  <c r="R72" i="2" s="1"/>
  <c r="X72" i="2"/>
  <c r="Y72" i="2" s="1"/>
  <c r="J313" i="2"/>
  <c r="K313" i="2" s="1"/>
  <c r="Q228" i="2"/>
  <c r="R228" i="2" s="1"/>
  <c r="Z228" i="2" s="1"/>
  <c r="Q318" i="2"/>
  <c r="R318" i="2" s="1"/>
  <c r="Z318" i="2" s="1"/>
  <c r="X60" i="2"/>
  <c r="Y60" i="2" s="1"/>
  <c r="J24" i="2"/>
  <c r="K24" i="2" s="1"/>
  <c r="X285" i="2"/>
  <c r="Y285" i="2" s="1"/>
  <c r="Z285" i="2" s="1"/>
  <c r="Q33" i="2"/>
  <c r="R33" i="2" s="1"/>
  <c r="J130" i="2"/>
  <c r="K130" i="2" s="1"/>
  <c r="Z130" i="2" s="1"/>
  <c r="J119" i="2"/>
  <c r="K119" i="2" s="1"/>
  <c r="X330" i="2"/>
  <c r="Y330" i="2" s="1"/>
  <c r="Z330" i="2" s="1"/>
  <c r="X392" i="2"/>
  <c r="Y392" i="2" s="1"/>
  <c r="X350" i="2"/>
  <c r="Y350" i="2" s="1"/>
  <c r="J112" i="2"/>
  <c r="K112" i="2" s="1"/>
  <c r="Q19" i="2"/>
  <c r="R19" i="2" s="1"/>
  <c r="J73" i="2"/>
  <c r="K73" i="2" s="1"/>
  <c r="J54" i="2"/>
  <c r="K54" i="2" s="1"/>
  <c r="X269" i="2"/>
  <c r="Y269" i="2" s="1"/>
  <c r="X184" i="2"/>
  <c r="Y184" i="2" s="1"/>
  <c r="Q366" i="2"/>
  <c r="R366" i="2" s="1"/>
  <c r="J208" i="2"/>
  <c r="K208" i="2" s="1"/>
  <c r="X229" i="2"/>
  <c r="Y229" i="2" s="1"/>
  <c r="Z229" i="2" s="1"/>
  <c r="Q3" i="2"/>
  <c r="R3" i="2" s="1"/>
  <c r="J38" i="2"/>
  <c r="K38" i="2" s="1"/>
  <c r="J5" i="2"/>
  <c r="K5" i="2" s="1"/>
  <c r="Q68" i="2"/>
  <c r="R68" i="2" s="1"/>
  <c r="X334" i="2"/>
  <c r="Y334" i="2" s="1"/>
  <c r="Z334" i="2" s="1"/>
  <c r="J159" i="2"/>
  <c r="K159" i="2" s="1"/>
  <c r="Z159" i="2" s="1"/>
  <c r="Q342" i="2"/>
  <c r="R342" i="2" s="1"/>
  <c r="Z342" i="2" s="1"/>
  <c r="Q275" i="2"/>
  <c r="R275" i="2" s="1"/>
  <c r="Z275" i="2" s="1"/>
  <c r="Q336" i="2"/>
  <c r="R336" i="2" s="1"/>
  <c r="Z336" i="2" s="1"/>
  <c r="Q263" i="2"/>
  <c r="R263" i="2" s="1"/>
  <c r="Z263" i="2" s="1"/>
  <c r="X286" i="2"/>
  <c r="Y286" i="2" s="1"/>
  <c r="J14" i="2"/>
  <c r="K14" i="2" s="1"/>
  <c r="J62" i="2"/>
  <c r="K62" i="2" s="1"/>
  <c r="J82" i="2"/>
  <c r="K82" i="2" s="1"/>
  <c r="X36" i="2"/>
  <c r="Y36" i="2" s="1"/>
  <c r="X417" i="2"/>
  <c r="Y417" i="2" s="1"/>
  <c r="Q264" i="2"/>
  <c r="R264" i="2" s="1"/>
  <c r="Z264" i="2" s="1"/>
  <c r="X348" i="2"/>
  <c r="Y348" i="2" s="1"/>
  <c r="Q380" i="2"/>
  <c r="R380" i="2" s="1"/>
  <c r="Z380" i="2" s="1"/>
  <c r="Q276" i="2"/>
  <c r="R276" i="2" s="1"/>
  <c r="J110" i="2"/>
  <c r="K110" i="2" s="1"/>
  <c r="J360" i="2"/>
  <c r="K360" i="2" s="1"/>
  <c r="Q306" i="2"/>
  <c r="R306" i="2" s="1"/>
  <c r="Q386" i="2"/>
  <c r="R386" i="2" s="1"/>
  <c r="Z386" i="2" s="1"/>
  <c r="Q230" i="2"/>
  <c r="R230" i="2" s="1"/>
  <c r="Z230" i="2" s="1"/>
  <c r="X191" i="2"/>
  <c r="Y191" i="2" s="1"/>
  <c r="X326" i="2"/>
  <c r="Y326" i="2" s="1"/>
  <c r="Z326" i="2" s="1"/>
  <c r="X283" i="2"/>
  <c r="Y283" i="2" s="1"/>
  <c r="Z283" i="2" s="1"/>
  <c r="J352" i="2"/>
  <c r="K352" i="2" s="1"/>
  <c r="Z352" i="2" s="1"/>
  <c r="J401" i="2"/>
  <c r="K401" i="2" s="1"/>
  <c r="Q303" i="2"/>
  <c r="R303" i="2" s="1"/>
  <c r="X52" i="2"/>
  <c r="Y52" i="2" s="1"/>
  <c r="J251" i="2"/>
  <c r="K251" i="2" s="1"/>
  <c r="Q133" i="2"/>
  <c r="R133" i="2" s="1"/>
  <c r="Q416" i="2"/>
  <c r="R416" i="2" s="1"/>
  <c r="Q262" i="2"/>
  <c r="R262" i="2" s="1"/>
  <c r="X273" i="2"/>
  <c r="Y273" i="2" s="1"/>
  <c r="Z273" i="2" s="1"/>
  <c r="X16" i="2"/>
  <c r="Y16" i="2" s="1"/>
  <c r="Q18" i="2"/>
  <c r="R18" i="2" s="1"/>
  <c r="Q321" i="2"/>
  <c r="R321" i="2" s="1"/>
  <c r="Q52" i="2"/>
  <c r="R52" i="2" s="1"/>
  <c r="X14" i="2"/>
  <c r="Y14" i="2" s="1"/>
  <c r="X10" i="2"/>
  <c r="Y10" i="2" s="1"/>
  <c r="X373" i="2"/>
  <c r="Y373" i="2" s="1"/>
  <c r="J293" i="2"/>
  <c r="K293" i="2" s="1"/>
  <c r="Z293" i="2" s="1"/>
  <c r="Q5" i="2"/>
  <c r="R5" i="2" s="1"/>
  <c r="X6" i="2"/>
  <c r="Y6" i="2" s="1"/>
  <c r="Q78" i="2"/>
  <c r="R78" i="2" s="1"/>
  <c r="J118" i="2"/>
  <c r="K118" i="2" s="1"/>
  <c r="J104" i="2"/>
  <c r="K104" i="2" s="1"/>
  <c r="X178" i="2"/>
  <c r="Y178" i="2" s="1"/>
  <c r="Z178" i="2" s="1"/>
  <c r="Q48" i="2"/>
  <c r="R48" i="2" s="1"/>
  <c r="Z48" i="2" s="1"/>
  <c r="X32" i="2"/>
  <c r="Y32" i="2" s="1"/>
  <c r="J185" i="2"/>
  <c r="K185" i="2" s="1"/>
  <c r="Z185" i="2" s="1"/>
  <c r="J331" i="2"/>
  <c r="K331" i="2" s="1"/>
  <c r="Q43" i="2"/>
  <c r="R43" i="2" s="1"/>
  <c r="X20" i="2"/>
  <c r="Y20" i="2" s="1"/>
  <c r="X221" i="2"/>
  <c r="Y221" i="2" s="1"/>
  <c r="X305" i="2"/>
  <c r="Y305" i="2" s="1"/>
  <c r="X345" i="2"/>
  <c r="Y345" i="2" s="1"/>
  <c r="J408" i="2"/>
  <c r="K408" i="2" s="1"/>
  <c r="J327" i="2"/>
  <c r="K327" i="2" s="1"/>
  <c r="X192" i="2"/>
  <c r="Y192" i="2" s="1"/>
  <c r="X53" i="2"/>
  <c r="Y53" i="2" s="1"/>
  <c r="X302" i="2"/>
  <c r="Y302" i="2" s="1"/>
  <c r="Z302" i="2" s="1"/>
  <c r="X361" i="2"/>
  <c r="Y361" i="2" s="1"/>
  <c r="Z361" i="2" s="1"/>
  <c r="X225" i="2"/>
  <c r="Y225" i="2" s="1"/>
  <c r="Z225" i="2" s="1"/>
  <c r="J59" i="2"/>
  <c r="K59" i="2" s="1"/>
  <c r="X378" i="2"/>
  <c r="Y378" i="2" s="1"/>
  <c r="Q16" i="2"/>
  <c r="R16" i="2" s="1"/>
  <c r="J65" i="2"/>
  <c r="K65" i="2" s="1"/>
  <c r="X141" i="2"/>
  <c r="Y141" i="2" s="1"/>
  <c r="X120" i="2"/>
  <c r="Y120" i="2" s="1"/>
  <c r="Q238" i="2"/>
  <c r="R238" i="2" s="1"/>
  <c r="Z238" i="2" s="1"/>
  <c r="X145" i="2"/>
  <c r="Y145" i="2" s="1"/>
  <c r="Z145" i="2" s="1"/>
  <c r="J124" i="2"/>
  <c r="K124" i="2" s="1"/>
  <c r="X7" i="2"/>
  <c r="Y7" i="2" s="1"/>
  <c r="X376" i="2"/>
  <c r="Y376" i="2" s="1"/>
  <c r="J98" i="2"/>
  <c r="K98" i="2" s="1"/>
  <c r="Z98" i="2" s="1"/>
  <c r="J10" i="2"/>
  <c r="K10" i="2" s="1"/>
  <c r="Q70" i="2"/>
  <c r="R70" i="2" s="1"/>
  <c r="Q66" i="2"/>
  <c r="R66" i="2" s="1"/>
  <c r="X66" i="2"/>
  <c r="Y66" i="2" s="1"/>
  <c r="J67" i="2"/>
  <c r="K67" i="2" s="1"/>
  <c r="Q214" i="2"/>
  <c r="R214" i="2" s="1"/>
  <c r="Q219" i="2"/>
  <c r="R219" i="2" s="1"/>
  <c r="Q287" i="2"/>
  <c r="R287" i="2" s="1"/>
  <c r="Q74" i="2"/>
  <c r="R74" i="2" s="1"/>
  <c r="J393" i="2"/>
  <c r="K393" i="2" s="1"/>
  <c r="Z393" i="2" s="1"/>
  <c r="Q119" i="2"/>
  <c r="R119" i="2" s="1"/>
  <c r="J224" i="2"/>
  <c r="K224" i="2" s="1"/>
  <c r="Q13" i="2"/>
  <c r="R13" i="2" s="1"/>
  <c r="J74" i="2"/>
  <c r="K74" i="2" s="1"/>
  <c r="J30" i="2"/>
  <c r="K30" i="2" s="1"/>
  <c r="J50" i="2"/>
  <c r="K50" i="2" s="1"/>
  <c r="Q82" i="2"/>
  <c r="R82" i="2" s="1"/>
  <c r="X310" i="2"/>
  <c r="Y310" i="2" s="1"/>
  <c r="Z310" i="2" s="1"/>
  <c r="J29" i="2"/>
  <c r="K29" i="2" s="1"/>
  <c r="J211" i="2"/>
  <c r="K211" i="2" s="1"/>
  <c r="Z211" i="2" s="1"/>
  <c r="Q167" i="2"/>
  <c r="R167" i="2" s="1"/>
  <c r="Z167" i="2" s="1"/>
  <c r="X284" i="2"/>
  <c r="Y284" i="2" s="1"/>
  <c r="Q251" i="2"/>
  <c r="R251" i="2" s="1"/>
  <c r="X251" i="2"/>
  <c r="Y251" i="2" s="1"/>
  <c r="Q190" i="2"/>
  <c r="R190" i="2" s="1"/>
  <c r="Z190" i="2" s="1"/>
  <c r="X177" i="2"/>
  <c r="Y177" i="2" s="1"/>
  <c r="Z177" i="2" s="1"/>
  <c r="Q186" i="2"/>
  <c r="R186" i="2" s="1"/>
  <c r="Z186" i="2" s="1"/>
  <c r="Q385" i="2"/>
  <c r="R385" i="2" s="1"/>
  <c r="X397" i="2"/>
  <c r="Y397" i="2" s="1"/>
  <c r="X127" i="2"/>
  <c r="Y127" i="2" s="1"/>
  <c r="X256" i="2"/>
  <c r="Y256" i="2" s="1"/>
  <c r="Q192" i="2"/>
  <c r="R192" i="2" s="1"/>
  <c r="J277" i="2"/>
  <c r="K277" i="2" s="1"/>
  <c r="X104" i="2"/>
  <c r="Y104" i="2" s="1"/>
  <c r="Q141" i="2"/>
  <c r="R141" i="2" s="1"/>
  <c r="J398" i="2"/>
  <c r="K398" i="2" s="1"/>
  <c r="X385" i="2"/>
  <c r="Y385" i="2" s="1"/>
  <c r="X387" i="2"/>
  <c r="Y387" i="2" s="1"/>
  <c r="Q140" i="2"/>
  <c r="R140" i="2" s="1"/>
  <c r="Z140" i="2" s="1"/>
  <c r="Q312" i="2"/>
  <c r="R312" i="2" s="1"/>
  <c r="Z312" i="2" s="1"/>
  <c r="Q110" i="2"/>
  <c r="R110" i="2" s="1"/>
  <c r="J333" i="2"/>
  <c r="K333" i="2" s="1"/>
  <c r="Z333" i="2" s="1"/>
  <c r="J304" i="2"/>
  <c r="K304" i="2" s="1"/>
  <c r="Z304" i="2" s="1"/>
  <c r="J12" i="2"/>
  <c r="K12" i="2" s="1"/>
  <c r="Q227" i="2"/>
  <c r="R227" i="2" s="1"/>
  <c r="Q408" i="2"/>
  <c r="R408" i="2" s="1"/>
  <c r="J125" i="2"/>
  <c r="K125" i="2" s="1"/>
  <c r="Z125" i="2" s="1"/>
  <c r="Q49" i="2"/>
  <c r="R49" i="2" s="1"/>
  <c r="X65" i="2"/>
  <c r="Y65" i="2" s="1"/>
  <c r="X117" i="2"/>
  <c r="Y117" i="2" s="1"/>
  <c r="Z117" i="2" s="1"/>
  <c r="J75" i="2"/>
  <c r="K75" i="2" s="1"/>
  <c r="X13" i="2"/>
  <c r="Y13" i="2" s="1"/>
  <c r="Q65" i="2"/>
  <c r="R65" i="2" s="1"/>
  <c r="Q14" i="2"/>
  <c r="R14" i="2" s="1"/>
  <c r="Q51" i="2"/>
  <c r="R51" i="2" s="1"/>
  <c r="X87" i="2"/>
  <c r="Y87" i="2" s="1"/>
  <c r="X90" i="2"/>
  <c r="Y90" i="2" s="1"/>
  <c r="Z90" i="2" s="1"/>
  <c r="J79" i="2"/>
  <c r="K79" i="2" s="1"/>
  <c r="Q31" i="2"/>
  <c r="R31" i="2" s="1"/>
  <c r="Q369" i="2"/>
  <c r="R369" i="2" s="1"/>
  <c r="X260" i="2"/>
  <c r="Y260" i="2" s="1"/>
  <c r="X77" i="2"/>
  <c r="Y77" i="2" s="1"/>
  <c r="X157" i="2"/>
  <c r="Y157" i="2" s="1"/>
  <c r="Z157" i="2" s="1"/>
  <c r="X224" i="2"/>
  <c r="Y224" i="2" s="1"/>
  <c r="X297" i="2"/>
  <c r="Y297" i="2" s="1"/>
  <c r="J295" i="2"/>
  <c r="K295" i="2" s="1"/>
  <c r="Z295" i="2" s="1"/>
  <c r="Q124" i="2"/>
  <c r="R124" i="2" s="1"/>
  <c r="X128" i="2"/>
  <c r="Y128" i="2" s="1"/>
  <c r="X70" i="2"/>
  <c r="Y70" i="2" s="1"/>
  <c r="Q34" i="2"/>
  <c r="R34" i="2" s="1"/>
  <c r="Q73" i="2"/>
  <c r="R73" i="2" s="1"/>
  <c r="J392" i="2"/>
  <c r="K392" i="2" s="1"/>
  <c r="J53" i="2"/>
  <c r="K53" i="2" s="1"/>
  <c r="X44" i="2"/>
  <c r="Y44" i="2" s="1"/>
  <c r="J27" i="2"/>
  <c r="K27" i="2" s="1"/>
  <c r="Q378" i="2"/>
  <c r="R378" i="2" s="1"/>
  <c r="Q83" i="2"/>
  <c r="R83" i="2" s="1"/>
  <c r="J187" i="2"/>
  <c r="K187" i="2" s="1"/>
  <c r="Z187" i="2" s="1"/>
  <c r="J356" i="2"/>
  <c r="K356" i="2" s="1"/>
  <c r="Z356" i="2" s="1"/>
  <c r="Q292" i="2"/>
  <c r="R292" i="2" s="1"/>
  <c r="Z292" i="2" s="1"/>
  <c r="X405" i="2"/>
  <c r="Y405" i="2" s="1"/>
  <c r="X112" i="2"/>
  <c r="Y112" i="2" s="1"/>
  <c r="X246" i="2"/>
  <c r="Y246" i="2" s="1"/>
  <c r="X28" i="2"/>
  <c r="Y28" i="2" s="1"/>
  <c r="X400" i="2"/>
  <c r="Y400" i="2" s="1"/>
  <c r="J405" i="2"/>
  <c r="K405" i="2" s="1"/>
  <c r="J77" i="2"/>
  <c r="K77" i="2" s="1"/>
  <c r="J16" i="2"/>
  <c r="K16" i="2" s="1"/>
  <c r="X42" i="2"/>
  <c r="Y42" i="2" s="1"/>
  <c r="J80" i="2"/>
  <c r="K80" i="2" s="1"/>
  <c r="J49" i="2"/>
  <c r="K49" i="2" s="1"/>
  <c r="Q150" i="2"/>
  <c r="R150" i="2" s="1"/>
  <c r="Q354" i="2"/>
  <c r="R354" i="2" s="1"/>
  <c r="Z354" i="2" s="1"/>
  <c r="Q58" i="2"/>
  <c r="R58" i="2" s="1"/>
  <c r="Q87" i="2"/>
  <c r="R87" i="2" s="1"/>
  <c r="X161" i="2"/>
  <c r="Y161" i="2" s="1"/>
  <c r="Z161" i="2" s="1"/>
  <c r="J389" i="2"/>
  <c r="K389" i="2" s="1"/>
  <c r="X88" i="2"/>
  <c r="Y88" i="2" s="1"/>
  <c r="J253" i="2"/>
  <c r="K253" i="2" s="1"/>
  <c r="Z253" i="2" s="1"/>
  <c r="J280" i="2"/>
  <c r="K280" i="2" s="1"/>
  <c r="J192" i="2"/>
  <c r="K192" i="2" s="1"/>
  <c r="J375" i="2"/>
  <c r="K375" i="2" s="1"/>
  <c r="J137" i="2"/>
  <c r="K137" i="2" s="1"/>
  <c r="Z137" i="2" s="1"/>
  <c r="J365" i="2"/>
  <c r="K365" i="2" s="1"/>
  <c r="Z365" i="2" s="1"/>
  <c r="J303" i="2"/>
  <c r="K303" i="2" s="1"/>
  <c r="X279" i="2"/>
  <c r="Y279" i="2" s="1"/>
  <c r="J301" i="2"/>
  <c r="K301" i="2" s="1"/>
  <c r="Z301" i="2" s="1"/>
  <c r="J215" i="2"/>
  <c r="K215" i="2" s="1"/>
  <c r="Z215" i="2" s="1"/>
  <c r="J149" i="2"/>
  <c r="K149" i="2" s="1"/>
  <c r="J175" i="2"/>
  <c r="K175" i="2" s="1"/>
  <c r="Z175" i="2" s="1"/>
  <c r="B10" i="6" l="1"/>
  <c r="Z277" i="2"/>
  <c r="B8" i="6"/>
  <c r="Z412" i="2"/>
  <c r="Z375" i="2"/>
  <c r="Z118" i="2"/>
  <c r="Z94" i="2"/>
  <c r="Z373" i="2"/>
  <c r="Z136" i="2"/>
  <c r="Z290" i="2"/>
  <c r="Z417" i="2"/>
  <c r="Z62" i="2"/>
  <c r="Z300" i="2"/>
  <c r="Z327" i="2"/>
  <c r="Z71" i="2"/>
  <c r="Z30" i="2"/>
  <c r="Z265" i="2"/>
  <c r="Z11" i="2"/>
  <c r="Z348" i="2"/>
  <c r="Z313" i="2"/>
  <c r="Z385" i="2"/>
  <c r="Z366" i="2"/>
  <c r="Z86" i="2"/>
  <c r="Z321" i="2"/>
  <c r="Z152" i="2"/>
  <c r="Z127" i="2"/>
  <c r="Z368" i="2"/>
  <c r="Z171" i="2"/>
  <c r="Z124" i="2"/>
  <c r="Z119" i="2"/>
  <c r="Z256" i="2"/>
  <c r="Z289" i="2"/>
  <c r="Z210" i="2"/>
  <c r="Z18" i="2"/>
  <c r="Z181" i="2"/>
  <c r="Z377" i="2"/>
  <c r="Z19" i="2"/>
  <c r="Z250" i="2"/>
  <c r="Z213" i="2"/>
  <c r="Z63" i="2"/>
  <c r="Z110" i="2"/>
  <c r="Z261" i="2"/>
  <c r="Z35" i="2"/>
  <c r="Z45" i="2"/>
  <c r="Z401" i="2"/>
  <c r="Z384" i="2"/>
  <c r="Z216" i="2"/>
  <c r="Z227" i="2"/>
  <c r="Z378" i="2"/>
  <c r="Z418" i="2"/>
  <c r="Z146" i="2"/>
  <c r="Z338" i="2"/>
  <c r="Z316" i="2"/>
  <c r="Z77" i="2"/>
  <c r="Z69" i="2"/>
  <c r="Z65" i="2"/>
  <c r="Z26" i="2"/>
  <c r="Z151" i="2"/>
  <c r="Z78" i="2"/>
  <c r="Z237" i="2"/>
  <c r="Z143" i="2"/>
  <c r="Z55" i="2"/>
  <c r="Z147" i="2"/>
  <c r="Z17" i="2"/>
  <c r="Z24" i="2"/>
  <c r="Z41" i="2"/>
  <c r="Z357" i="2"/>
  <c r="Z226" i="2"/>
  <c r="Z128" i="2"/>
  <c r="Z49" i="2"/>
  <c r="Z31" i="2"/>
  <c r="Z144" i="2"/>
  <c r="Z358" i="2"/>
  <c r="Z248" i="2"/>
  <c r="Z208" i="2"/>
  <c r="Z141" i="2"/>
  <c r="Z390" i="2"/>
  <c r="Z74" i="2"/>
  <c r="Z311" i="2"/>
  <c r="Z400" i="2"/>
  <c r="Z314" i="2"/>
  <c r="Z53" i="2"/>
  <c r="Z39" i="2"/>
  <c r="Z22" i="2"/>
  <c r="Z32" i="2"/>
  <c r="Z397" i="2"/>
  <c r="Z282" i="2"/>
  <c r="Z46" i="2"/>
  <c r="Z6" i="2"/>
  <c r="Z360" i="2"/>
  <c r="Z72" i="2"/>
  <c r="Z120" i="2"/>
  <c r="Z36" i="2"/>
  <c r="Z60" i="2"/>
  <c r="Z43" i="2"/>
  <c r="Z81" i="2"/>
  <c r="Z25" i="2"/>
  <c r="Z20" i="2"/>
  <c r="Z47" i="2"/>
  <c r="Z416" i="2"/>
  <c r="Z12" i="2"/>
  <c r="Z405" i="2"/>
  <c r="Z203" i="2"/>
  <c r="Z83" i="2"/>
  <c r="Z113" i="2"/>
  <c r="Z10" i="2"/>
  <c r="Z7" i="2"/>
  <c r="Z88" i="2"/>
  <c r="Z395" i="2"/>
  <c r="Z82" i="2"/>
  <c r="Z104" i="2"/>
  <c r="Z14" i="2"/>
  <c r="Z133" i="2"/>
  <c r="Z176" i="2"/>
  <c r="Z23" i="2"/>
  <c r="Z403" i="2"/>
  <c r="Z15" i="2"/>
  <c r="Z392" i="2"/>
  <c r="Z51" i="2"/>
  <c r="Z4" i="2"/>
  <c r="Z54" i="2"/>
  <c r="Z21" i="2"/>
  <c r="Z369" i="2"/>
  <c r="Z67" i="2"/>
  <c r="Z414" i="2"/>
  <c r="Z52" i="2"/>
  <c r="Z331" i="2"/>
  <c r="Z99" i="2"/>
  <c r="Z84" i="2"/>
  <c r="Z3" i="2"/>
  <c r="Z306" i="2"/>
  <c r="Z251" i="2"/>
  <c r="Z372" i="2"/>
  <c r="Z191" i="2"/>
  <c r="Z8" i="2"/>
  <c r="Z305" i="2"/>
  <c r="Z212" i="2"/>
  <c r="Z50" i="2"/>
  <c r="Z9" i="2"/>
  <c r="Z241" i="2"/>
  <c r="Z37" i="2"/>
  <c r="Z38" i="2"/>
  <c r="Z234" i="2"/>
  <c r="Z59" i="2"/>
  <c r="Z56" i="2"/>
  <c r="Z33" i="2"/>
  <c r="Z135" i="2"/>
  <c r="Z44" i="2"/>
  <c r="B9" i="6"/>
  <c r="Z75" i="2"/>
  <c r="Z398" i="2"/>
  <c r="Z61" i="2"/>
  <c r="Z296" i="2"/>
  <c r="Z80" i="2"/>
  <c r="Z28" i="2"/>
  <c r="Z284" i="2"/>
  <c r="Z262" i="2"/>
  <c r="Z13" i="2"/>
  <c r="Z267" i="2"/>
  <c r="Z280" i="2"/>
  <c r="Z87" i="2"/>
  <c r="Z16" i="2"/>
  <c r="Z173" i="2"/>
  <c r="Z79" i="2"/>
  <c r="Z27" i="2"/>
  <c r="Z29" i="2"/>
  <c r="Z387" i="2"/>
  <c r="Z408" i="2"/>
  <c r="Z5" i="2"/>
  <c r="Z276" i="2"/>
  <c r="Z382" i="2"/>
  <c r="Z266" i="2"/>
  <c r="Z68" i="2"/>
  <c r="Z287" i="2"/>
  <c r="Z260" i="2"/>
  <c r="Z70" i="2"/>
  <c r="Z192" i="2"/>
  <c r="Z363" i="2"/>
  <c r="Z224" i="2"/>
  <c r="Z246" i="2"/>
  <c r="Z376" i="2"/>
  <c r="Z76" i="2"/>
  <c r="Z221" i="2"/>
  <c r="Z73" i="2"/>
  <c r="Z286" i="2"/>
  <c r="Z303" i="2"/>
  <c r="Z34" i="2"/>
  <c r="Z297" i="2"/>
  <c r="Z112" i="2"/>
  <c r="Z149" i="2"/>
  <c r="Z350" i="2"/>
  <c r="Z370" i="2"/>
  <c r="Z214" i="2"/>
  <c r="Z184" i="2"/>
  <c r="Z379" i="2"/>
  <c r="Z66" i="2"/>
  <c r="Z308" i="2"/>
  <c r="Z58" i="2"/>
  <c r="Z324" i="2"/>
  <c r="Z269" i="2"/>
  <c r="Z219" i="2"/>
  <c r="Z279" i="2"/>
  <c r="Z232" i="2"/>
  <c r="Z345" i="2"/>
  <c r="Z389" i="2"/>
  <c r="Z42" i="2"/>
  <c r="Z150" i="2"/>
  <c r="C8" i="6" l="1"/>
  <c r="D8" i="6" s="1"/>
  <c r="B45" i="2"/>
  <c r="B36" i="2"/>
  <c r="B69" i="2"/>
  <c r="B57" i="2"/>
  <c r="B79" i="2"/>
  <c r="B19" i="2"/>
  <c r="B77" i="2"/>
  <c r="B66" i="2"/>
  <c r="C3" i="3"/>
  <c r="B65" i="2"/>
  <c r="B25" i="2"/>
  <c r="B55" i="2"/>
  <c r="B82" i="2"/>
  <c r="B29" i="2"/>
  <c r="D29" i="2"/>
  <c r="B34" i="2"/>
  <c r="B24" i="2"/>
  <c r="B81" i="2"/>
  <c r="D81" i="2"/>
  <c r="B64" i="2"/>
  <c r="D45" i="2"/>
  <c r="C27" i="3"/>
  <c r="B60" i="2"/>
  <c r="B67" i="2"/>
  <c r="B20" i="2"/>
  <c r="B18" i="2"/>
  <c r="B76" i="2"/>
  <c r="D69" i="2"/>
  <c r="B61" i="2"/>
  <c r="B56" i="2"/>
  <c r="B9" i="2"/>
  <c r="B48" i="2"/>
  <c r="D48" i="2"/>
  <c r="B83" i="2"/>
  <c r="B31" i="2"/>
  <c r="B73" i="2"/>
  <c r="B17" i="2"/>
  <c r="B8" i="2"/>
  <c r="B13" i="2"/>
  <c r="D79" i="2"/>
  <c r="B30" i="2"/>
  <c r="B80" i="2"/>
  <c r="B32" i="2"/>
  <c r="B12" i="2"/>
  <c r="B63" i="2"/>
  <c r="B37" i="2"/>
  <c r="B39" i="2"/>
  <c r="B54" i="2"/>
  <c r="B72" i="2"/>
  <c r="B78" i="2"/>
  <c r="B58" i="2"/>
  <c r="B23" i="2"/>
  <c r="B70" i="2"/>
  <c r="B6" i="2"/>
  <c r="B21" i="2"/>
  <c r="D21" i="2"/>
  <c r="B53" i="2"/>
  <c r="D66" i="2"/>
  <c r="D65" i="2"/>
  <c r="C18" i="3"/>
  <c r="D25" i="2"/>
  <c r="D82" i="2"/>
  <c r="C15" i="3"/>
  <c r="D34" i="2"/>
  <c r="D24" i="2"/>
  <c r="C20" i="3"/>
  <c r="C31" i="3"/>
  <c r="C9" i="3"/>
  <c r="D60" i="2"/>
  <c r="D67" i="2"/>
  <c r="D20" i="2"/>
  <c r="D76" i="2"/>
  <c r="D61" i="2"/>
  <c r="D83" i="2"/>
  <c r="D31" i="2"/>
  <c r="C23" i="3"/>
  <c r="D80" i="2"/>
  <c r="D32" i="2"/>
  <c r="D12" i="2"/>
  <c r="D63" i="2"/>
  <c r="D37" i="2"/>
  <c r="D39" i="2"/>
  <c r="D54" i="2"/>
  <c r="D72" i="2"/>
  <c r="C4" i="3"/>
  <c r="D58" i="2"/>
  <c r="D70" i="2"/>
  <c r="C16" i="3"/>
  <c r="D77" i="2"/>
  <c r="C12" i="3"/>
  <c r="D53" i="2"/>
  <c r="C19" i="3" l="1"/>
  <c r="D78" i="2"/>
  <c r="B5" i="2"/>
  <c r="B3" i="6"/>
  <c r="C30" i="3"/>
  <c r="D9" i="2"/>
  <c r="C29" i="3"/>
  <c r="D64" i="2"/>
  <c r="C10" i="3"/>
  <c r="D23" i="2"/>
  <c r="C8" i="3"/>
  <c r="D17" i="2"/>
  <c r="C17" i="3"/>
  <c r="D56" i="2"/>
  <c r="C11" i="3"/>
  <c r="D13" i="2"/>
  <c r="C13" i="3"/>
  <c r="D30" i="2"/>
  <c r="C5" i="3"/>
  <c r="D8" i="2"/>
  <c r="C24" i="3"/>
  <c r="D36" i="2"/>
  <c r="C26" i="3"/>
  <c r="D6" i="2"/>
  <c r="C6" i="3"/>
  <c r="D5" i="2"/>
  <c r="D3" i="6"/>
  <c r="C32" i="3"/>
  <c r="D57" i="2"/>
  <c r="C25" i="3"/>
  <c r="C21" i="3"/>
  <c r="D73" i="2"/>
  <c r="C28" i="3"/>
  <c r="D55" i="2"/>
  <c r="C14" i="3"/>
  <c r="D19" i="2"/>
  <c r="C22" i="3"/>
  <c r="D18" i="2"/>
  <c r="C7" i="3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C33" i="6" l="1"/>
  <c r="E8" i="6"/>
  <c r="H5" i="7"/>
  <c r="I5" i="7" s="1"/>
  <c r="H9" i="7"/>
  <c r="I9" i="7" s="1"/>
  <c r="A29" i="6"/>
  <c r="D27" i="6"/>
  <c r="D16" i="6"/>
  <c r="D20" i="6"/>
  <c r="D24" i="6"/>
  <c r="D13" i="6"/>
  <c r="D17" i="6"/>
  <c r="D21" i="6"/>
  <c r="D25" i="6"/>
  <c r="D14" i="6"/>
  <c r="D18" i="6"/>
  <c r="D22" i="6"/>
  <c r="D26" i="6"/>
  <c r="D15" i="6"/>
  <c r="D19" i="6"/>
  <c r="D23" i="6"/>
  <c r="D29" i="6"/>
  <c r="H8" i="7" l="1"/>
  <c r="I8" i="7" s="1"/>
  <c r="H6" i="7"/>
  <c r="I6" i="7" s="1"/>
  <c r="H7" i="7"/>
  <c r="I7" i="7" s="1"/>
</calcChain>
</file>

<file path=xl/sharedStrings.xml><?xml version="1.0" encoding="utf-8"?>
<sst xmlns="http://schemas.openxmlformats.org/spreadsheetml/2006/main" count="4212" uniqueCount="965">
  <si>
    <t>姓名</t>
  </si>
  <si>
    <t>姓名</t>
    <phoneticPr fontId="3" type="noConversion"/>
  </si>
  <si>
    <t>出生日期</t>
    <phoneticPr fontId="3" type="noConversion"/>
  </si>
  <si>
    <t>职务</t>
    <phoneticPr fontId="3" type="noConversion"/>
  </si>
  <si>
    <t>起始时间</t>
  </si>
  <si>
    <t>终止时间</t>
  </si>
  <si>
    <t>所在单位</t>
  </si>
  <si>
    <t>从事工作或职务</t>
  </si>
  <si>
    <t>经历时长</t>
    <phoneticPr fontId="5" type="noConversion"/>
  </si>
  <si>
    <t>经历阶段</t>
    <phoneticPr fontId="5" type="noConversion"/>
  </si>
  <si>
    <t>经历项</t>
    <phoneticPr fontId="5" type="noConversion"/>
  </si>
  <si>
    <t>经历赋分</t>
    <phoneticPr fontId="5" type="noConversion"/>
  </si>
  <si>
    <t>素质项</t>
  </si>
  <si>
    <t>通用能力要求</t>
  </si>
  <si>
    <t>政治素养</t>
  </si>
  <si>
    <t>团队管理</t>
  </si>
  <si>
    <t>专业管理</t>
  </si>
  <si>
    <t>远见胆识</t>
  </si>
  <si>
    <t>经营思维</t>
  </si>
  <si>
    <t>统筹协调</t>
  </si>
  <si>
    <t>勘探开发研究院</t>
    <phoneticPr fontId="5" type="noConversion"/>
  </si>
  <si>
    <t>党群管理</t>
    <phoneticPr fontId="5" type="noConversion"/>
  </si>
  <si>
    <t>过度掩饰</t>
    <phoneticPr fontId="5" type="noConversion"/>
  </si>
  <si>
    <t>强硬专制</t>
    <phoneticPr fontId="5" type="noConversion"/>
  </si>
  <si>
    <t>微观管理</t>
    <phoneticPr fontId="5" type="noConversion"/>
  </si>
  <si>
    <t>消极抵抗</t>
    <phoneticPr fontId="5" type="noConversion"/>
  </si>
  <si>
    <t>自我中心</t>
    <phoneticPr fontId="5" type="noConversion"/>
  </si>
  <si>
    <t>年龄结构</t>
  </si>
  <si>
    <t>层级</t>
    <phoneticPr fontId="3" type="noConversion"/>
  </si>
  <si>
    <t>采气一厂</t>
  </si>
  <si>
    <t>采气二厂</t>
  </si>
  <si>
    <t>采油一厂</t>
  </si>
  <si>
    <t>勘探开发研究院</t>
  </si>
  <si>
    <t>石油工程技术研究院</t>
  </si>
  <si>
    <t>采油气工程服务中心</t>
  </si>
  <si>
    <t>石油工程监督中心</t>
  </si>
  <si>
    <t>物资供应中心</t>
  </si>
  <si>
    <t>油气销售中心</t>
  </si>
  <si>
    <t>【50,55】</t>
  </si>
  <si>
    <t>【40,49】</t>
  </si>
  <si>
    <t>【30,39】</t>
  </si>
  <si>
    <t>常永辉</t>
  </si>
  <si>
    <t>男</t>
  </si>
  <si>
    <t>李坤雨</t>
  </si>
  <si>
    <t>王锦昌</t>
  </si>
  <si>
    <t>白玉合</t>
  </si>
  <si>
    <t>孟俊</t>
  </si>
  <si>
    <t>冯家武</t>
  </si>
  <si>
    <t>杨文骞</t>
  </si>
  <si>
    <t>张亚军</t>
  </si>
  <si>
    <t>卜有伟</t>
  </si>
  <si>
    <t>王明军</t>
  </si>
  <si>
    <t>王贵生</t>
  </si>
  <si>
    <t>唐波</t>
  </si>
  <si>
    <t>贺海龙</t>
  </si>
  <si>
    <t>陈奎</t>
  </si>
  <si>
    <t>齐宏伟</t>
  </si>
  <si>
    <t>柳清源</t>
  </si>
  <si>
    <t>李金水</t>
  </si>
  <si>
    <t>李继原</t>
  </si>
  <si>
    <t>孙红江</t>
  </si>
  <si>
    <t>郭润生</t>
  </si>
  <si>
    <t>杨晓东</t>
  </si>
  <si>
    <t>任广磊</t>
  </si>
  <si>
    <t>计曙东</t>
  </si>
  <si>
    <t>钟志伟</t>
  </si>
  <si>
    <t>周凯</t>
  </si>
  <si>
    <t>雷涛</t>
  </si>
  <si>
    <t>孟文勇</t>
  </si>
  <si>
    <t>王翔</t>
  </si>
  <si>
    <t>崔璟</t>
  </si>
  <si>
    <t>王建亮</t>
  </si>
  <si>
    <t>张培</t>
  </si>
  <si>
    <t>李慧平</t>
  </si>
  <si>
    <t>代金铭</t>
  </si>
  <si>
    <t>梁承春</t>
  </si>
  <si>
    <t>王付斌</t>
  </si>
  <si>
    <t>柴高华</t>
  </si>
  <si>
    <t>屈玉成</t>
  </si>
  <si>
    <t>徐少游</t>
  </si>
  <si>
    <t>刘星光</t>
  </si>
  <si>
    <t>齐荣</t>
  </si>
  <si>
    <t>张健</t>
  </si>
  <si>
    <t>周建生</t>
  </si>
  <si>
    <t>刘绪钢</t>
  </si>
  <si>
    <t>张文洪</t>
  </si>
  <si>
    <t>李泽英</t>
  </si>
  <si>
    <t>郑锋</t>
  </si>
  <si>
    <t>朱学敏</t>
  </si>
  <si>
    <t>石明杰</t>
  </si>
  <si>
    <t>宋昌顺</t>
  </si>
  <si>
    <t>刘毅</t>
  </si>
  <si>
    <t>陈英毅</t>
  </si>
  <si>
    <t>刘伟</t>
  </si>
  <si>
    <t>王国壮</t>
  </si>
  <si>
    <t>李俊鹿</t>
  </si>
  <si>
    <t>李旭光</t>
  </si>
  <si>
    <t>杜俊跃</t>
  </si>
  <si>
    <t>徐杰</t>
  </si>
  <si>
    <t>张献伟</t>
  </si>
  <si>
    <t>牧建杰</t>
  </si>
  <si>
    <t>王琳</t>
  </si>
  <si>
    <t>张盛华</t>
  </si>
  <si>
    <t>李冰毅</t>
  </si>
  <si>
    <t>高峰</t>
  </si>
  <si>
    <t>贾会冲</t>
  </si>
  <si>
    <t>陈桂良</t>
  </si>
  <si>
    <t>王勇</t>
  </si>
  <si>
    <t>胡冠</t>
  </si>
  <si>
    <t>付宏亮</t>
  </si>
  <si>
    <t>陈付虎</t>
  </si>
  <si>
    <t>刘荣才</t>
  </si>
  <si>
    <t>王爱江</t>
  </si>
  <si>
    <t>李新峰</t>
  </si>
  <si>
    <t>唐万举</t>
  </si>
  <si>
    <t>秦军民</t>
  </si>
  <si>
    <t>谢宝林</t>
  </si>
  <si>
    <t>房晓军</t>
  </si>
  <si>
    <t>冯发勇</t>
  </si>
  <si>
    <t>王增喜</t>
  </si>
  <si>
    <t>张程辉</t>
  </si>
  <si>
    <t>陈海滨</t>
  </si>
  <si>
    <t>徐嘉</t>
  </si>
  <si>
    <t>曹桐生</t>
  </si>
  <si>
    <t>刘洋</t>
  </si>
  <si>
    <t>李宇翔</t>
  </si>
  <si>
    <t>武广</t>
  </si>
  <si>
    <t>王迁伟</t>
  </si>
  <si>
    <t>卢海林</t>
  </si>
  <si>
    <t>付秋</t>
  </si>
  <si>
    <t>袁晓刚</t>
  </si>
  <si>
    <t>刘强</t>
  </si>
  <si>
    <t>吴亮</t>
  </si>
  <si>
    <t>赵军</t>
  </si>
  <si>
    <t>龙利平</t>
  </si>
  <si>
    <t>张威</t>
  </si>
  <si>
    <t>王鹏飞</t>
  </si>
  <si>
    <t>舒亚林</t>
  </si>
  <si>
    <t>王智</t>
  </si>
  <si>
    <t>张海水</t>
  </si>
  <si>
    <t>张永春</t>
  </si>
  <si>
    <t>马超</t>
  </si>
  <si>
    <t>王敏正</t>
  </si>
  <si>
    <t>性别</t>
    <phoneticPr fontId="3" type="noConversion"/>
  </si>
  <si>
    <t>石油工程技术研究院</t>
    <phoneticPr fontId="5" type="noConversion"/>
  </si>
  <si>
    <t>采气一厂</t>
    <phoneticPr fontId="5" type="noConversion"/>
  </si>
  <si>
    <t xml:space="preserve">采油一厂   </t>
  </si>
  <si>
    <t>工程技术管理部</t>
    <phoneticPr fontId="5" type="noConversion"/>
  </si>
  <si>
    <t>油气开发管理部</t>
    <phoneticPr fontId="5" type="noConversion"/>
  </si>
  <si>
    <t>生产运行管理部</t>
    <phoneticPr fontId="5" type="noConversion"/>
  </si>
  <si>
    <t>采油气工程服务中心</t>
    <phoneticPr fontId="5" type="noConversion"/>
  </si>
  <si>
    <t>石油工程监督中心</t>
    <phoneticPr fontId="5" type="noConversion"/>
  </si>
  <si>
    <t xml:space="preserve">物资供应中心   </t>
    <phoneticPr fontId="5" type="noConversion"/>
  </si>
  <si>
    <t>油气销售中心</t>
    <phoneticPr fontId="5" type="noConversion"/>
  </si>
  <si>
    <t>培训中心（党校）</t>
    <phoneticPr fontId="5" type="noConversion"/>
  </si>
  <si>
    <t>郑州社区管理服务中心</t>
    <phoneticPr fontId="5" type="noConversion"/>
  </si>
  <si>
    <t>新乡社区管理服务中心</t>
  </si>
  <si>
    <t>党委宣传部</t>
    <phoneticPr fontId="5" type="noConversion"/>
  </si>
  <si>
    <t>人力资源部</t>
    <phoneticPr fontId="5" type="noConversion"/>
  </si>
  <si>
    <t>企管与法律部</t>
    <phoneticPr fontId="5" type="noConversion"/>
  </si>
  <si>
    <t>财务资产部</t>
    <phoneticPr fontId="5" type="noConversion"/>
  </si>
  <si>
    <t>投资发展部</t>
    <phoneticPr fontId="5" type="noConversion"/>
  </si>
  <si>
    <t>概预算中心</t>
    <phoneticPr fontId="5" type="noConversion"/>
  </si>
  <si>
    <t>党委办公室</t>
    <phoneticPr fontId="5" type="noConversion"/>
  </si>
  <si>
    <t>党委组织部</t>
    <phoneticPr fontId="5" type="noConversion"/>
  </si>
  <si>
    <t>纪委监督部</t>
    <phoneticPr fontId="5" type="noConversion"/>
  </si>
  <si>
    <t>工会</t>
    <phoneticPr fontId="5" type="noConversion"/>
  </si>
  <si>
    <t>油气勘探管理部</t>
    <phoneticPr fontId="5" type="noConversion"/>
  </si>
  <si>
    <t>总经理办公室</t>
    <phoneticPr fontId="5" type="noConversion"/>
  </si>
  <si>
    <t>审计部</t>
    <phoneticPr fontId="5" type="noConversion"/>
  </si>
  <si>
    <t>安全环保部</t>
    <phoneticPr fontId="5" type="noConversion"/>
  </si>
  <si>
    <t>科技管理部</t>
    <phoneticPr fontId="5" type="noConversion"/>
  </si>
  <si>
    <t>设备管理部</t>
    <phoneticPr fontId="5" type="noConversion"/>
  </si>
  <si>
    <t>油地工作保卫部</t>
    <phoneticPr fontId="5" type="noConversion"/>
  </si>
  <si>
    <t>信息化管理中心</t>
    <phoneticPr fontId="5" type="noConversion"/>
  </si>
  <si>
    <t>档案管理中心</t>
    <phoneticPr fontId="5" type="noConversion"/>
  </si>
  <si>
    <t>姓名</t>
    <phoneticPr fontId="5" type="noConversion"/>
  </si>
  <si>
    <t>孟俊</t>
    <phoneticPr fontId="3" type="noConversion"/>
  </si>
  <si>
    <t>卜有伟</t>
    <phoneticPr fontId="3" type="noConversion"/>
  </si>
  <si>
    <t>王翔</t>
    <phoneticPr fontId="3" type="noConversion"/>
  </si>
  <si>
    <t>陈英毅</t>
    <phoneticPr fontId="3" type="noConversion"/>
  </si>
  <si>
    <t>刘伟</t>
    <phoneticPr fontId="3" type="noConversion"/>
  </si>
  <si>
    <t>李冰毅</t>
    <phoneticPr fontId="3" type="noConversion"/>
  </si>
  <si>
    <t>曹桐生</t>
    <phoneticPr fontId="3" type="noConversion"/>
  </si>
  <si>
    <t>武广</t>
    <phoneticPr fontId="3" type="noConversion"/>
  </si>
  <si>
    <t>付秋</t>
    <phoneticPr fontId="3" type="noConversion"/>
  </si>
  <si>
    <t>龙利平</t>
    <phoneticPr fontId="3" type="noConversion"/>
  </si>
  <si>
    <t>张威</t>
    <phoneticPr fontId="3" type="noConversion"/>
  </si>
  <si>
    <t>油气勘探开发规划及部署</t>
    <phoneticPr fontId="3" type="noConversion"/>
  </si>
  <si>
    <t>石油工程技术规划</t>
    <phoneticPr fontId="3" type="noConversion"/>
  </si>
  <si>
    <t>油气藏经营管理</t>
    <phoneticPr fontId="3" type="noConversion"/>
  </si>
  <si>
    <t>钻完井工程技术管理</t>
    <phoneticPr fontId="5" type="noConversion"/>
  </si>
  <si>
    <t>油气田开发规划及部署</t>
    <phoneticPr fontId="5" type="noConversion"/>
  </si>
  <si>
    <t>产能建设生产运行管理</t>
    <phoneticPr fontId="5" type="noConversion"/>
  </si>
  <si>
    <t>电力、通讯、网络保障</t>
    <phoneticPr fontId="5" type="noConversion"/>
  </si>
  <si>
    <t>石油工程施工作业监督管理</t>
    <phoneticPr fontId="5" type="noConversion"/>
  </si>
  <si>
    <t>价格与质量管理</t>
    <phoneticPr fontId="5" type="noConversion"/>
  </si>
  <si>
    <t>油气产品销售</t>
    <phoneticPr fontId="5" type="noConversion"/>
  </si>
  <si>
    <t>党员领导干部及后备干部培训、轮训</t>
    <phoneticPr fontId="5" type="noConversion"/>
  </si>
  <si>
    <t>社区管理与服务</t>
    <phoneticPr fontId="5" type="noConversion"/>
  </si>
  <si>
    <t>新闻宣传及媒体管理</t>
    <phoneticPr fontId="5" type="noConversion"/>
  </si>
  <si>
    <t>劳动用工管理</t>
    <phoneticPr fontId="5" type="noConversion"/>
  </si>
  <si>
    <t>体制机制改革</t>
    <phoneticPr fontId="5" type="noConversion"/>
  </si>
  <si>
    <t>预算管理</t>
    <phoneticPr fontId="5" type="noConversion"/>
  </si>
  <si>
    <t>投资项目决策与评价</t>
    <phoneticPr fontId="5" type="noConversion"/>
  </si>
  <si>
    <t>工程与服务定额管理</t>
    <phoneticPr fontId="5" type="noConversion"/>
  </si>
  <si>
    <t>干部管理</t>
    <phoneticPr fontId="5" type="noConversion"/>
  </si>
  <si>
    <t>纪检监察</t>
    <phoneticPr fontId="5" type="noConversion"/>
  </si>
  <si>
    <t>职代会管理</t>
    <phoneticPr fontId="5" type="noConversion"/>
  </si>
  <si>
    <t>油气勘探中长期规划与年度计划编制</t>
    <phoneticPr fontId="5" type="noConversion"/>
  </si>
  <si>
    <t>重要会议组织及公务接待</t>
    <phoneticPr fontId="5" type="noConversion"/>
  </si>
  <si>
    <t>内部审计监督</t>
    <phoneticPr fontId="5" type="noConversion"/>
  </si>
  <si>
    <t>HSSE综合监管</t>
    <phoneticPr fontId="5" type="noConversion"/>
  </si>
  <si>
    <t>科技规划及科技管理</t>
    <phoneticPr fontId="5" type="noConversion"/>
  </si>
  <si>
    <t>设备综合管理</t>
    <phoneticPr fontId="5" type="noConversion"/>
  </si>
  <si>
    <t>对外协调管理</t>
    <phoneticPr fontId="5" type="noConversion"/>
  </si>
  <si>
    <t>信息化发展规划</t>
    <phoneticPr fontId="5" type="noConversion"/>
  </si>
  <si>
    <t>档案资料管理</t>
    <phoneticPr fontId="5" type="noConversion"/>
  </si>
  <si>
    <t>油气勘探开发技术研究</t>
    <phoneticPr fontId="3" type="noConversion"/>
  </si>
  <si>
    <t>油气勘探开发工程工艺技术研究</t>
    <phoneticPr fontId="3" type="noConversion"/>
  </si>
  <si>
    <t>油气田开发</t>
    <phoneticPr fontId="3" type="noConversion"/>
  </si>
  <si>
    <t>储层改造工程技术管理</t>
    <phoneticPr fontId="5" type="noConversion"/>
  </si>
  <si>
    <t>新区产能建设</t>
    <phoneticPr fontId="5" type="noConversion"/>
  </si>
  <si>
    <t>油气生产运行管理</t>
    <phoneticPr fontId="5" type="noConversion"/>
  </si>
  <si>
    <t>油气田消（气）防</t>
    <phoneticPr fontId="5" type="noConversion"/>
  </si>
  <si>
    <t>质量技术监督</t>
    <phoneticPr fontId="5" type="noConversion"/>
  </si>
  <si>
    <t>物资采购管理</t>
    <phoneticPr fontId="5" type="noConversion"/>
  </si>
  <si>
    <t>非管道气业务管理</t>
    <phoneticPr fontId="5" type="noConversion"/>
  </si>
  <si>
    <t>员工培训</t>
    <phoneticPr fontId="5" type="noConversion"/>
  </si>
  <si>
    <t>离退休及非在职人员管理与服务</t>
    <phoneticPr fontId="5" type="noConversion"/>
  </si>
  <si>
    <t>企业文化建设</t>
    <phoneticPr fontId="5" type="noConversion"/>
  </si>
  <si>
    <t>人才队伍管理</t>
    <phoneticPr fontId="5" type="noConversion"/>
  </si>
  <si>
    <t>绩效管理</t>
    <phoneticPr fontId="5" type="noConversion"/>
  </si>
  <si>
    <t>成本管理</t>
    <phoneticPr fontId="5" type="noConversion"/>
  </si>
  <si>
    <t>投资计划</t>
    <phoneticPr fontId="5" type="noConversion"/>
  </si>
  <si>
    <t>价格管理</t>
    <phoneticPr fontId="5" type="noConversion"/>
  </si>
  <si>
    <t>团工作</t>
    <phoneticPr fontId="5" type="noConversion"/>
  </si>
  <si>
    <t>组织管理</t>
    <phoneticPr fontId="5" type="noConversion"/>
  </si>
  <si>
    <t>违规违纪问题受理</t>
    <phoneticPr fontId="5" type="noConversion"/>
  </si>
  <si>
    <t>群众性经济技术创新活动</t>
    <phoneticPr fontId="5" type="noConversion"/>
  </si>
  <si>
    <t>年度勘探投资规模、勘探发现成本、勘探投资使用情况管控</t>
    <phoneticPr fontId="5" type="noConversion"/>
  </si>
  <si>
    <t>服务协调</t>
    <phoneticPr fontId="5" type="noConversion"/>
  </si>
  <si>
    <t>审计服务</t>
    <phoneticPr fontId="5" type="noConversion"/>
  </si>
  <si>
    <t>安全生产监管</t>
    <phoneticPr fontId="5" type="noConversion"/>
  </si>
  <si>
    <t>科技项目管理</t>
    <phoneticPr fontId="5" type="noConversion"/>
  </si>
  <si>
    <t>指导、监督二级单位的设备管理工作</t>
    <phoneticPr fontId="5" type="noConversion"/>
  </si>
  <si>
    <t>土地管理</t>
    <phoneticPr fontId="5" type="noConversion"/>
  </si>
  <si>
    <t>组织、协调、指导、评价考核各单位、各部门的信息化工作</t>
    <phoneticPr fontId="5" type="noConversion"/>
  </si>
  <si>
    <t>档案资料统计上报</t>
    <phoneticPr fontId="5" type="noConversion"/>
  </si>
  <si>
    <t>油气勘探开发生产支持</t>
    <phoneticPr fontId="3" type="noConversion"/>
  </si>
  <si>
    <t>油气勘探开发工程技术支持</t>
    <phoneticPr fontId="3" type="noConversion"/>
  </si>
  <si>
    <t>地面工程</t>
    <phoneticPr fontId="3" type="noConversion"/>
  </si>
  <si>
    <t>井下作业技术管理</t>
    <phoneticPr fontId="5" type="noConversion"/>
  </si>
  <si>
    <t>老区综合调整</t>
    <phoneticPr fontId="5" type="noConversion"/>
  </si>
  <si>
    <t>生产运行保障系统管理</t>
    <phoneticPr fontId="5" type="noConversion"/>
  </si>
  <si>
    <t>应急抢险</t>
    <phoneticPr fontId="5" type="noConversion"/>
  </si>
  <si>
    <t>质量环境监测</t>
    <phoneticPr fontId="5" type="noConversion"/>
  </si>
  <si>
    <t>物资供应管理</t>
    <phoneticPr fontId="5" type="noConversion"/>
  </si>
  <si>
    <t>油气销售客户与合同管理</t>
    <phoneticPr fontId="5" type="noConversion"/>
  </si>
  <si>
    <t>职业技能鉴定</t>
  </si>
  <si>
    <t>企地联络与协调</t>
    <phoneticPr fontId="5" type="noConversion"/>
  </si>
  <si>
    <t>精神文明建设</t>
    <phoneticPr fontId="5" type="noConversion"/>
  </si>
  <si>
    <t>培训开发管理</t>
    <phoneticPr fontId="5" type="noConversion"/>
  </si>
  <si>
    <t>制度管理</t>
    <phoneticPr fontId="5" type="noConversion"/>
  </si>
  <si>
    <t>税务管理</t>
    <phoneticPr fontId="5" type="noConversion"/>
  </si>
  <si>
    <t>投资项目优化控制</t>
    <phoneticPr fontId="5" type="noConversion"/>
  </si>
  <si>
    <t>概预算和结算管理</t>
    <phoneticPr fontId="5" type="noConversion"/>
  </si>
  <si>
    <t>信访稳定</t>
    <phoneticPr fontId="5" type="noConversion"/>
  </si>
  <si>
    <t>机关党建</t>
    <phoneticPr fontId="5" type="noConversion"/>
  </si>
  <si>
    <t>公司专项治理</t>
    <phoneticPr fontId="5" type="noConversion"/>
  </si>
  <si>
    <t>职工文化体育活动</t>
    <phoneticPr fontId="5" type="noConversion"/>
  </si>
  <si>
    <t>探井全过程管理</t>
    <phoneticPr fontId="5" type="noConversion"/>
  </si>
  <si>
    <t>参谋督办</t>
    <phoneticPr fontId="5" type="noConversion"/>
  </si>
  <si>
    <t>环境保护监管</t>
    <phoneticPr fontId="5" type="noConversion"/>
  </si>
  <si>
    <t>科技创新管理及奖项申报</t>
    <phoneticPr fontId="5" type="noConversion"/>
  </si>
  <si>
    <t>设备前期管理</t>
    <phoneticPr fontId="5" type="noConversion"/>
  </si>
  <si>
    <t>油区保卫和反恐</t>
    <phoneticPr fontId="5" type="noConversion"/>
  </si>
  <si>
    <t>信息化项目管理</t>
    <phoneticPr fontId="5" type="noConversion"/>
  </si>
  <si>
    <t>对各二级单位档案工作进行指导、检查、考核</t>
    <phoneticPr fontId="5" type="noConversion"/>
  </si>
  <si>
    <t>油气藏管理</t>
    <phoneticPr fontId="3" type="noConversion"/>
  </si>
  <si>
    <t>新工艺、新技术试验及推广应用</t>
    <phoneticPr fontId="5" type="noConversion"/>
  </si>
  <si>
    <t>生产运行</t>
    <phoneticPr fontId="5" type="noConversion"/>
  </si>
  <si>
    <t>采油气工程技术管理</t>
    <phoneticPr fontId="5" type="noConversion"/>
  </si>
  <si>
    <t>生产综合信息管理</t>
    <phoneticPr fontId="5" type="noConversion"/>
  </si>
  <si>
    <t>油气田水、液处理和配送</t>
    <phoneticPr fontId="5" type="noConversion"/>
  </si>
  <si>
    <t>安全环保</t>
    <phoneticPr fontId="5" type="noConversion"/>
  </si>
  <si>
    <t>储备和仓储物流管理</t>
    <phoneticPr fontId="5" type="noConversion"/>
  </si>
  <si>
    <t>油气产品质量、计量监管</t>
    <phoneticPr fontId="5" type="noConversion"/>
  </si>
  <si>
    <t>师资队伍建设及管理</t>
    <phoneticPr fontId="5" type="noConversion"/>
  </si>
  <si>
    <t>思想政治工作</t>
    <phoneticPr fontId="5" type="noConversion"/>
  </si>
  <si>
    <t>人工成本与薪酬管理</t>
    <phoneticPr fontId="5" type="noConversion"/>
  </si>
  <si>
    <t>内控及风险管理</t>
    <phoneticPr fontId="5" type="noConversion"/>
  </si>
  <si>
    <t>资金管理</t>
    <phoneticPr fontId="5" type="noConversion"/>
  </si>
  <si>
    <t>对外合资合作</t>
    <phoneticPr fontId="5" type="noConversion"/>
  </si>
  <si>
    <t>党群管理</t>
  </si>
  <si>
    <t>公司党委巡察</t>
    <phoneticPr fontId="5" type="noConversion"/>
  </si>
  <si>
    <t>工会组织建设和女职工工作</t>
    <phoneticPr fontId="5" type="noConversion"/>
  </si>
  <si>
    <t>组织物化探采集项目</t>
    <phoneticPr fontId="5" type="noConversion"/>
  </si>
  <si>
    <t>机要保密、文秘文书管理</t>
    <phoneticPr fontId="5" type="noConversion"/>
  </si>
  <si>
    <t>职业健康监管</t>
    <phoneticPr fontId="5" type="noConversion"/>
  </si>
  <si>
    <t>知识产权管理</t>
    <phoneticPr fontId="5" type="noConversion"/>
  </si>
  <si>
    <t>设备使用、维护及处置管理</t>
    <phoneticPr fontId="5" type="noConversion"/>
  </si>
  <si>
    <t>对外合资/合作项目的协调</t>
    <phoneticPr fontId="5" type="noConversion"/>
  </si>
  <si>
    <t>信息资源</t>
    <phoneticPr fontId="5" type="noConversion"/>
  </si>
  <si>
    <t>地质、工程实验测试评价及技术服务</t>
    <phoneticPr fontId="3" type="noConversion"/>
  </si>
  <si>
    <t>产能建设</t>
  </si>
  <si>
    <t>地面工程技术管理</t>
    <phoneticPr fontId="5" type="noConversion"/>
  </si>
  <si>
    <t>油气田开发投资优化与成本管控</t>
    <phoneticPr fontId="3" type="noConversion"/>
  </si>
  <si>
    <t>碳资产及综合能耗管理</t>
    <phoneticPr fontId="5" type="noConversion"/>
  </si>
  <si>
    <t>管具检测维修</t>
    <phoneticPr fontId="5" type="noConversion"/>
  </si>
  <si>
    <t xml:space="preserve">油气产品相关增值业务经营管理 </t>
    <phoneticPr fontId="5" type="noConversion"/>
  </si>
  <si>
    <t>企业管理</t>
    <phoneticPr fontId="5" type="noConversion"/>
  </si>
  <si>
    <t>舆情管理</t>
    <phoneticPr fontId="5" type="noConversion"/>
  </si>
  <si>
    <t>员工绩效管理</t>
    <phoneticPr fontId="3" type="noConversion"/>
  </si>
  <si>
    <t>市场管理</t>
    <phoneticPr fontId="5" type="noConversion"/>
  </si>
  <si>
    <t>资产价值管理</t>
    <phoneticPr fontId="5" type="noConversion"/>
  </si>
  <si>
    <t>综合统计</t>
    <phoneticPr fontId="5" type="noConversion"/>
  </si>
  <si>
    <t>矿权、圈闭、三级储量、勘探信息管理</t>
    <phoneticPr fontId="5" type="noConversion"/>
  </si>
  <si>
    <t>行政综合管理</t>
    <phoneticPr fontId="5" type="noConversion"/>
  </si>
  <si>
    <t>消防安全监管</t>
    <phoneticPr fontId="5" type="noConversion"/>
  </si>
  <si>
    <t>科技对外合作交流</t>
    <phoneticPr fontId="5" type="noConversion"/>
  </si>
  <si>
    <t>计量管理</t>
    <phoneticPr fontId="5" type="noConversion"/>
  </si>
  <si>
    <t>社会责任管理</t>
    <phoneticPr fontId="5" type="noConversion"/>
  </si>
  <si>
    <t>信息化运维</t>
    <phoneticPr fontId="5" type="noConversion"/>
  </si>
  <si>
    <t>安全环保科研攻关及技术支持</t>
    <phoneticPr fontId="3" type="noConversion"/>
  </si>
  <si>
    <t>新工艺、新技术引进、应用和推广</t>
    <phoneticPr fontId="5" type="noConversion"/>
  </si>
  <si>
    <t>安全环保</t>
    <phoneticPr fontId="3" type="noConversion"/>
  </si>
  <si>
    <t>应急指挥</t>
    <phoneticPr fontId="5" type="noConversion"/>
  </si>
  <si>
    <t>生产基地后勤保障服务、站场维护</t>
    <phoneticPr fontId="5" type="noConversion"/>
  </si>
  <si>
    <t>企业管理</t>
    <phoneticPr fontId="3" type="noConversion"/>
  </si>
  <si>
    <t>社会保险管理</t>
    <phoneticPr fontId="5" type="noConversion"/>
  </si>
  <si>
    <t>法律事务及合同管理</t>
    <phoneticPr fontId="5" type="noConversion"/>
  </si>
  <si>
    <t>资本管理</t>
    <phoneticPr fontId="5" type="noConversion"/>
  </si>
  <si>
    <t>合资合作项目相关业务管理</t>
    <phoneticPr fontId="5" type="noConversion"/>
  </si>
  <si>
    <t>外事管理</t>
    <phoneticPr fontId="5" type="noConversion"/>
  </si>
  <si>
    <t>机关办公家具、耗材管理</t>
    <phoneticPr fontId="5" type="noConversion"/>
  </si>
  <si>
    <t>协调新区地方关系</t>
    <phoneticPr fontId="5" type="noConversion"/>
  </si>
  <si>
    <t>信息安全与保密</t>
    <phoneticPr fontId="5" type="noConversion"/>
  </si>
  <si>
    <t>质量管理</t>
    <phoneticPr fontId="5" type="noConversion"/>
  </si>
  <si>
    <t>防洪防汛、抗灾减灾</t>
    <phoneticPr fontId="3" type="noConversion"/>
  </si>
  <si>
    <t>公务用车管理</t>
    <phoneticPr fontId="5" type="noConversion"/>
  </si>
  <si>
    <t>人事档案及SAP-HR信息管理</t>
    <phoneticPr fontId="5" type="noConversion"/>
  </si>
  <si>
    <t>ERP系统信息管理</t>
    <phoneticPr fontId="5" type="noConversion"/>
  </si>
  <si>
    <t>信息化技术引进</t>
    <phoneticPr fontId="5" type="noConversion"/>
  </si>
  <si>
    <t>井控管理</t>
    <phoneticPr fontId="5" type="noConversion"/>
  </si>
  <si>
    <t>矿产压覆交叉开采风险管控</t>
    <phoneticPr fontId="5" type="noConversion"/>
  </si>
  <si>
    <t>项目财务评价</t>
    <phoneticPr fontId="5" type="noConversion"/>
  </si>
  <si>
    <t>信息技术培训</t>
    <phoneticPr fontId="5" type="noConversion"/>
  </si>
  <si>
    <t>硫化氢防护管理</t>
    <phoneticPr fontId="5" type="noConversion"/>
  </si>
  <si>
    <t>投资计划管理</t>
    <phoneticPr fontId="5" type="noConversion"/>
  </si>
  <si>
    <t>废弃井工程管理</t>
    <phoneticPr fontId="5" type="noConversion"/>
  </si>
  <si>
    <t>第一部分：基础信息</t>
  </si>
  <si>
    <t>部门</t>
  </si>
  <si>
    <t>岗位</t>
  </si>
  <si>
    <t>职位等级</t>
  </si>
  <si>
    <t>中层副职</t>
  </si>
  <si>
    <t>学历</t>
  </si>
  <si>
    <t>第二部分：关键绩效</t>
  </si>
  <si>
    <t>近三年绩效考核结果（赋分后）</t>
  </si>
  <si>
    <t>绩效赋分均值</t>
  </si>
  <si>
    <t>绩效排名</t>
  </si>
  <si>
    <t>整体排名</t>
  </si>
  <si>
    <t>第三部分：关键能力</t>
  </si>
  <si>
    <t>类型</t>
  </si>
  <si>
    <t>个人得分结果</t>
  </si>
  <si>
    <t>第四部分：关键业务</t>
  </si>
  <si>
    <t>当前班子中主管业务</t>
  </si>
  <si>
    <t>第五部分：关键经历</t>
  </si>
  <si>
    <t>当前职位关键经历满分</t>
  </si>
  <si>
    <t>关键经历积分</t>
  </si>
  <si>
    <t>领导班子基本统计概况</t>
  </si>
  <si>
    <t>副职人数</t>
  </si>
  <si>
    <t>维度</t>
  </si>
  <si>
    <t>理想状态</t>
  </si>
  <si>
    <t>当前情况</t>
  </si>
  <si>
    <t>可能风险</t>
  </si>
  <si>
    <t>班子平均年龄</t>
  </si>
  <si>
    <t>45±2</t>
  </si>
  <si>
    <t>不同年龄段比例</t>
  </si>
  <si>
    <t>不高于30%</t>
  </si>
  <si>
    <t>不少于25%</t>
  </si>
  <si>
    <t>年龄极差</t>
  </si>
  <si>
    <t>至少10岁</t>
  </si>
  <si>
    <t>业务结构</t>
  </si>
  <si>
    <t>党委书记</t>
  </si>
  <si>
    <t>班子领导力</t>
  </si>
  <si>
    <t>当前班子均分</t>
  </si>
  <si>
    <t>优势</t>
  </si>
  <si>
    <t>劣势</t>
  </si>
  <si>
    <t>风险因素</t>
  </si>
  <si>
    <t>过度掩饰</t>
  </si>
  <si>
    <t>强硬专制</t>
  </si>
  <si>
    <t>微观管理</t>
  </si>
  <si>
    <t>消极抵抗</t>
  </si>
  <si>
    <t>自我中心</t>
  </si>
  <si>
    <t>中层正职（院长）</t>
  </si>
  <si>
    <t>中层正职（党委书记）</t>
  </si>
  <si>
    <t>单位/部门名称</t>
    <phoneticPr fontId="3" type="noConversion"/>
  </si>
  <si>
    <t>正职人数</t>
    <phoneticPr fontId="3" type="noConversion"/>
  </si>
  <si>
    <t>班子均分</t>
    <phoneticPr fontId="3" type="noConversion"/>
  </si>
  <si>
    <t>学历</t>
    <phoneticPr fontId="3" type="noConversion"/>
  </si>
  <si>
    <t>现职务</t>
    <phoneticPr fontId="3" type="noConversion"/>
  </si>
  <si>
    <t>部门/单位</t>
    <phoneticPr fontId="3" type="noConversion"/>
  </si>
  <si>
    <t>姓名</t>
    <phoneticPr fontId="18" type="noConversion"/>
  </si>
  <si>
    <t>总分</t>
    <phoneticPr fontId="18" type="noConversion"/>
  </si>
  <si>
    <t>二级单位</t>
    <phoneticPr fontId="3" type="noConversion"/>
  </si>
  <si>
    <t>刘小波</t>
  </si>
  <si>
    <t>王斌</t>
  </si>
  <si>
    <t>温德鑫</t>
  </si>
  <si>
    <t>杨同玉</t>
  </si>
  <si>
    <t>张德</t>
  </si>
  <si>
    <t>李海国</t>
  </si>
  <si>
    <t>玄肇清</t>
  </si>
  <si>
    <t>商渤海</t>
  </si>
  <si>
    <t>常文会</t>
  </si>
  <si>
    <t>魏分粮</t>
  </si>
  <si>
    <t>林正良</t>
  </si>
  <si>
    <t>曹晓斌</t>
  </si>
  <si>
    <t>尤启东</t>
  </si>
  <si>
    <t>吴旭光</t>
  </si>
  <si>
    <t>刘韬</t>
  </si>
  <si>
    <t>李克智</t>
  </si>
  <si>
    <t>狄伟</t>
  </si>
  <si>
    <t>赵静杰</t>
  </si>
  <si>
    <t>陈书锋</t>
  </si>
  <si>
    <t>陈立新</t>
  </si>
  <si>
    <t>杨锦宣</t>
  </si>
  <si>
    <t>机关</t>
    <phoneticPr fontId="5" type="noConversion"/>
  </si>
  <si>
    <t>示例一</t>
    <phoneticPr fontId="5" type="noConversion"/>
  </si>
  <si>
    <t>示例二</t>
    <phoneticPr fontId="5" type="noConversion"/>
  </si>
  <si>
    <t>示例三</t>
    <phoneticPr fontId="5" type="noConversion"/>
  </si>
  <si>
    <t>机关/二级单位
（若为机关单位即填写机关，若为非机关单位，则填写详细二级单位名称）</t>
    <phoneticPr fontId="3" type="noConversion"/>
  </si>
  <si>
    <t>三年绩效均值</t>
    <phoneticPr fontId="3" type="noConversion"/>
  </si>
  <si>
    <t>中层正职排名</t>
    <phoneticPr fontId="3" type="noConversion"/>
  </si>
  <si>
    <t>学习创新</t>
  </si>
  <si>
    <t>攻坚克难</t>
  </si>
  <si>
    <t>中层正职能力</t>
    <phoneticPr fontId="3" type="noConversion"/>
  </si>
  <si>
    <t>中层副职能力</t>
    <phoneticPr fontId="3" type="noConversion"/>
  </si>
  <si>
    <t>推动落实</t>
  </si>
  <si>
    <t>沟通合作</t>
  </si>
  <si>
    <t>人际敏锐</t>
  </si>
  <si>
    <t>政治敏锐</t>
  </si>
  <si>
    <t>精益管理</t>
  </si>
  <si>
    <t>严谨细致</t>
  </si>
  <si>
    <t>风险防范</t>
  </si>
  <si>
    <t>均分</t>
    <phoneticPr fontId="3" type="noConversion"/>
  </si>
  <si>
    <t>同等级参测者平均分</t>
    <phoneticPr fontId="3" type="noConversion"/>
  </si>
  <si>
    <t>通用能力要求</t>
    <phoneticPr fontId="3" type="noConversion"/>
  </si>
  <si>
    <t>中层正职能力</t>
    <phoneticPr fontId="3" type="noConversion"/>
  </si>
  <si>
    <t>中层副职能力</t>
    <phoneticPr fontId="3" type="noConversion"/>
  </si>
  <si>
    <t>岗位能力</t>
    <phoneticPr fontId="3" type="noConversion"/>
  </si>
  <si>
    <t>岗位能力</t>
    <phoneticPr fontId="3" type="noConversion"/>
  </si>
  <si>
    <t>单位</t>
    <phoneticPr fontId="3" type="noConversion"/>
  </si>
  <si>
    <t>当前主管业务1</t>
    <phoneticPr fontId="3" type="noConversion"/>
  </si>
  <si>
    <t>当前主管业务2</t>
  </si>
  <si>
    <t>当前主管业务3</t>
  </si>
  <si>
    <t>当前主管业务4</t>
  </si>
  <si>
    <t>中层正职</t>
    <phoneticPr fontId="5" type="noConversion"/>
  </si>
  <si>
    <t>中层副职</t>
    <phoneticPr fontId="5" type="noConversion"/>
  </si>
  <si>
    <t>当前主管业务5</t>
  </si>
  <si>
    <t>当前主管业务6</t>
  </si>
  <si>
    <t>本单位关键业务</t>
    <phoneticPr fontId="3" type="noConversion"/>
  </si>
  <si>
    <t>本单位正职必须主管业务</t>
    <phoneticPr fontId="3" type="noConversion"/>
  </si>
  <si>
    <t>中层正职主管业务</t>
    <phoneticPr fontId="3" type="noConversion"/>
  </si>
  <si>
    <t>党委书记（若有）主管业务</t>
    <phoneticPr fontId="3" type="noConversion"/>
  </si>
  <si>
    <t>中层副职主管业务</t>
    <phoneticPr fontId="3" type="noConversion"/>
  </si>
  <si>
    <t>陈现义</t>
  </si>
  <si>
    <t>任现职时间</t>
    <phoneticPr fontId="3" type="noConversion"/>
  </si>
  <si>
    <t>任现职时间（年）</t>
    <phoneticPr fontId="3" type="noConversion"/>
  </si>
  <si>
    <t>公司副总工程师、油地工作保卫部经理、党支部书记</t>
  </si>
  <si>
    <t>公司副总会计师、审计部经理、党支部书记</t>
  </si>
  <si>
    <t>公司安全总监、安全环保部经理、党支部书记</t>
  </si>
  <si>
    <t>公司副总工程师</t>
  </si>
  <si>
    <t>公司副总政工师、党委组织部部长、人力资源部经理、党支部书记、机关党委副书记</t>
  </si>
  <si>
    <t>公司副总政工师、企管与法律部经理、党支部书记</t>
  </si>
  <si>
    <t>公司副总工程师、生产运行管理部经理、党支部书记</t>
  </si>
  <si>
    <t>综合管理部经理、党委办公室主任、信访稳定办公室主任、外事办公室主任、党支部书记</t>
  </si>
  <si>
    <t>综合管理部副经理、党委办公室副主任、团委书记（中层副职）</t>
  </si>
  <si>
    <t>综合管理部副经理、外事办公室副主任</t>
  </si>
  <si>
    <t>党委组织部副部长、人力资源部副经理</t>
  </si>
  <si>
    <t>党委宣传部部长、新闻中心主任、党支部书记</t>
  </si>
  <si>
    <t>纪委监督部主任、纪委副书记、党支部书记</t>
  </si>
  <si>
    <t>纪委监督部副主任、纪委纪检员（按中层副职管理），内蒙古华胜能源有限公司监事</t>
  </si>
  <si>
    <t>华北石油局有限公司工会副主席、党支部书记</t>
  </si>
  <si>
    <t>油气勘探管理部经理、党支部书记</t>
  </si>
  <si>
    <t>油气勘探管理部副经理</t>
  </si>
  <si>
    <t>公司首席专家，油气开发管理部经理、党支部书记</t>
  </si>
  <si>
    <t>油气开发管理部副经理</t>
  </si>
  <si>
    <t>工程技术管理部经理、党支部书记</t>
  </si>
  <si>
    <t>工程技术管理部副经理</t>
  </si>
  <si>
    <t>生产运行管理部副经理</t>
  </si>
  <si>
    <t>企管与法律部副经理</t>
  </si>
  <si>
    <t>投资发展部经理、党支部书记</t>
  </si>
  <si>
    <t>投资发展部副经理</t>
  </si>
  <si>
    <t>财务资产部经理、党支部书记</t>
  </si>
  <si>
    <t>财务资产部副经理</t>
  </si>
  <si>
    <t>安全环保部副经理、安全环保督查大队副队长</t>
  </si>
  <si>
    <t>油地工作保卫部副经理</t>
  </si>
  <si>
    <t>科技管理部经理、党支部书记</t>
  </si>
  <si>
    <t>地面工程与设备管理部经理、党支部书记</t>
  </si>
  <si>
    <t>地面工程与设备管理部副经理</t>
  </si>
  <si>
    <t>概预算中心主任、党支部书记</t>
  </si>
  <si>
    <t>信息化管理中心副主任</t>
  </si>
  <si>
    <t>档案管理中心主任、党支部书记</t>
  </si>
  <si>
    <t>采气一厂党委副书记、纪委书记、工会主席</t>
  </si>
  <si>
    <t>采气一厂总会计师</t>
  </si>
  <si>
    <t>采气二厂党委副书记、纪委书记、工会主席</t>
  </si>
  <si>
    <t>采气二厂总会计师</t>
  </si>
  <si>
    <t>采油一厂党委副书记、纪委书记、工会主席</t>
  </si>
  <si>
    <t>采油一厂总经济师</t>
  </si>
  <si>
    <t>采油气工程服务中心主任、党委副书记</t>
  </si>
  <si>
    <t>采油气工程服务中心党委书记、副主任</t>
  </si>
  <si>
    <t>采油气工程服务中心副主任（主持工作）</t>
  </si>
  <si>
    <t>采油气工程服务中心党委副书记、纪委书记、工会主席</t>
  </si>
  <si>
    <t>采油气工程服务中心总会计师</t>
  </si>
  <si>
    <t>石油工程监督中心主任、党委副书记</t>
  </si>
  <si>
    <t>石油工程监督中心党委书记、副主任、纪委书记、工会主席</t>
  </si>
  <si>
    <t>石油工程监督中心副主任</t>
  </si>
  <si>
    <t>物资供应中心主任、党委副书记</t>
  </si>
  <si>
    <t>物资供应中心党委书记、副主任、纪委书记、工会主席</t>
  </si>
  <si>
    <t>物资供应中心副主任</t>
  </si>
  <si>
    <t>油气销售中心主任、党总支书记</t>
  </si>
  <si>
    <t>油气销售中心副主任</t>
  </si>
  <si>
    <t>油气销售中心党总支副书记、工会主席、纪检委员</t>
  </si>
  <si>
    <t>培训中心主任、党总支书记、党校副校长</t>
  </si>
  <si>
    <t>郑州基地管理站站长、党委书记，局有限公司公共事业部经理（兼），党支部书记、离退休管理部经理（兼）</t>
  </si>
  <si>
    <t>郑州基地管理站副站长（中层副职）、纪委书记、工会主席</t>
  </si>
  <si>
    <t>新乡基地管理站站长（中层副职）、新乡办事处主任（中层副职），公司信访维稳办公室副主任（兼）</t>
  </si>
  <si>
    <t>新乡基地管理站党委书记（中层副职）、纪委书记、工会主席、副站长、新乡办事处副主任</t>
  </si>
  <si>
    <t>二级单位</t>
    <phoneticPr fontId="3" type="noConversion"/>
  </si>
  <si>
    <t>管理机关</t>
  </si>
  <si>
    <t>延安华延天然气有限公司</t>
  </si>
  <si>
    <t>鄂南原油创新项目组</t>
  </si>
  <si>
    <t>正处级</t>
  </si>
  <si>
    <t>副处级</t>
  </si>
  <si>
    <t>中层正职</t>
  </si>
  <si>
    <t>党委书记</t>
    <phoneticPr fontId="3" type="noConversion"/>
  </si>
  <si>
    <t>华北油气分公司</t>
  </si>
  <si>
    <t>党委组织部（人力资源部）</t>
  </si>
  <si>
    <t>纪委监督部</t>
  </si>
  <si>
    <t>工会</t>
  </si>
  <si>
    <t>油气勘探管理部</t>
  </si>
  <si>
    <t>油气开发管理部</t>
  </si>
  <si>
    <t>工程技术管理部</t>
  </si>
  <si>
    <t>生产运行管理部</t>
  </si>
  <si>
    <t>企管与法律部</t>
  </si>
  <si>
    <t>投资发展部</t>
  </si>
  <si>
    <t>财务资产部</t>
  </si>
  <si>
    <t>安全环保部</t>
  </si>
  <si>
    <t>油地工作保卫部</t>
  </si>
  <si>
    <t>科技管理部</t>
  </si>
  <si>
    <t>地面工程与设备管理部</t>
  </si>
  <si>
    <t>概预算中心</t>
  </si>
  <si>
    <t>信息化管理中心</t>
  </si>
  <si>
    <t>档案管理中心</t>
  </si>
  <si>
    <t>党委办公室</t>
    <phoneticPr fontId="3" type="noConversion"/>
  </si>
  <si>
    <t>党委宣传部</t>
    <phoneticPr fontId="3" type="noConversion"/>
  </si>
  <si>
    <t>党委组织部（人力资源部）</t>
    <phoneticPr fontId="3" type="noConversion"/>
  </si>
  <si>
    <t>党委组织部（人力资源部）</t>
    <phoneticPr fontId="5" type="noConversion"/>
  </si>
  <si>
    <t>油地工作保卫部</t>
    <phoneticPr fontId="3" type="noConversion"/>
  </si>
  <si>
    <t>审计部</t>
    <phoneticPr fontId="3" type="noConversion"/>
  </si>
  <si>
    <t>安全环保部</t>
    <phoneticPr fontId="3" type="noConversion"/>
  </si>
  <si>
    <t>企管与法律部</t>
    <phoneticPr fontId="3" type="noConversion"/>
  </si>
  <si>
    <t>生产运行管理部</t>
    <phoneticPr fontId="3" type="noConversion"/>
  </si>
  <si>
    <t>中层正职</t>
    <phoneticPr fontId="3" type="noConversion"/>
  </si>
  <si>
    <t>中层副职</t>
    <phoneticPr fontId="3" type="noConversion"/>
  </si>
  <si>
    <t>培训中心</t>
    <phoneticPr fontId="3" type="noConversion"/>
  </si>
  <si>
    <t>郑州社区管理服务中心</t>
    <phoneticPr fontId="3" type="noConversion"/>
  </si>
  <si>
    <t>新乡社区管理服务中心</t>
    <phoneticPr fontId="3" type="noConversion"/>
  </si>
  <si>
    <t>硕士研究生</t>
  </si>
  <si>
    <t>本科</t>
  </si>
  <si>
    <t>博士研究生</t>
  </si>
  <si>
    <t/>
  </si>
  <si>
    <t>【3.6，∞）</t>
    <phoneticPr fontId="5" type="noConversion"/>
  </si>
  <si>
    <t>【2.6，3.5】</t>
    <phoneticPr fontId="5" type="noConversion"/>
  </si>
  <si>
    <t>【0.1，2.5】</t>
    <phoneticPr fontId="5" type="noConversion"/>
  </si>
  <si>
    <t>【5.6，∞）</t>
    <phoneticPr fontId="5" type="noConversion"/>
  </si>
  <si>
    <t>【3.6，5.5】</t>
    <phoneticPr fontId="5" type="noConversion"/>
  </si>
  <si>
    <t>【2.5，3.5】</t>
    <phoneticPr fontId="5" type="noConversion"/>
  </si>
  <si>
    <t>【0.1，2.4】</t>
    <phoneticPr fontId="5" type="noConversion"/>
  </si>
  <si>
    <t>【2.6，5.5】</t>
    <phoneticPr fontId="5" type="noConversion"/>
  </si>
  <si>
    <t>【1.5，2.5】</t>
    <phoneticPr fontId="5" type="noConversion"/>
  </si>
  <si>
    <t>【0.1，1.4】</t>
    <phoneticPr fontId="5" type="noConversion"/>
  </si>
  <si>
    <t>【7.6，∞）</t>
    <phoneticPr fontId="5" type="noConversion"/>
  </si>
  <si>
    <t>【5.6，7.5】</t>
    <phoneticPr fontId="5" type="noConversion"/>
  </si>
  <si>
    <t>经历项</t>
    <phoneticPr fontId="3" type="noConversion"/>
  </si>
  <si>
    <t>历练时长</t>
    <phoneticPr fontId="3" type="noConversion"/>
  </si>
  <si>
    <t>科研生产</t>
    <phoneticPr fontId="3" type="noConversion"/>
  </si>
  <si>
    <t>科研生产单位研究所</t>
  </si>
  <si>
    <t>机关职能管理部门</t>
  </si>
  <si>
    <t>油气生产单位基层队</t>
  </si>
  <si>
    <t>油气生产单位技术骨干</t>
  </si>
  <si>
    <t>科研生产单位基层副职</t>
  </si>
  <si>
    <t>油气生产单位基层副职</t>
  </si>
  <si>
    <t>管理机关（专业管理）主管</t>
  </si>
  <si>
    <t>科研生产基层正职</t>
  </si>
  <si>
    <t>油气生产基层正职</t>
  </si>
  <si>
    <t>管理机关（专业管理）高级主管</t>
  </si>
  <si>
    <t>科研生产中层副职</t>
  </si>
  <si>
    <t>油气生产中层副职</t>
  </si>
  <si>
    <t>管理机关（专业管理）中层副职</t>
  </si>
  <si>
    <t>科研生产单位业务骨干</t>
    <phoneticPr fontId="3" type="noConversion"/>
  </si>
  <si>
    <t>油气生产单位业务骨干</t>
    <phoneticPr fontId="3" type="noConversion"/>
  </si>
  <si>
    <t>油气生产单位副主任师</t>
    <phoneticPr fontId="3" type="noConversion"/>
  </si>
  <si>
    <t>科研生产单位副主任师</t>
    <phoneticPr fontId="3" type="noConversion"/>
  </si>
  <si>
    <t>采服中心基层副职</t>
    <phoneticPr fontId="3" type="noConversion"/>
  </si>
  <si>
    <t>监督中心基层副职</t>
    <phoneticPr fontId="3" type="noConversion"/>
  </si>
  <si>
    <t>科研生产主任师</t>
    <phoneticPr fontId="3" type="noConversion"/>
  </si>
  <si>
    <t>油气生产主任师</t>
    <phoneticPr fontId="3" type="noConversion"/>
  </si>
  <si>
    <t>采服中心基层正职</t>
    <phoneticPr fontId="3" type="noConversion"/>
  </si>
  <si>
    <t>监督中心基层正职</t>
    <phoneticPr fontId="3" type="noConversion"/>
  </si>
  <si>
    <t>科研生产专家</t>
    <phoneticPr fontId="3" type="noConversion"/>
  </si>
  <si>
    <t>油气生产专家</t>
    <phoneticPr fontId="3" type="noConversion"/>
  </si>
  <si>
    <t>管理机关（专业管理）专家</t>
    <phoneticPr fontId="3" type="noConversion"/>
  </si>
  <si>
    <t>采服中心中层副职</t>
    <phoneticPr fontId="3" type="noConversion"/>
  </si>
  <si>
    <t>监督中心中层副职</t>
    <phoneticPr fontId="3" type="noConversion"/>
  </si>
  <si>
    <t>科研生产单位科研骨干</t>
    <phoneticPr fontId="3" type="noConversion"/>
  </si>
  <si>
    <t>12</t>
    <phoneticPr fontId="5" type="noConversion"/>
  </si>
  <si>
    <t>20</t>
    <phoneticPr fontId="5" type="noConversion"/>
  </si>
  <si>
    <t>16</t>
    <phoneticPr fontId="5" type="noConversion"/>
  </si>
  <si>
    <t>24</t>
    <phoneticPr fontId="5" type="noConversion"/>
  </si>
  <si>
    <t>油气生产</t>
    <phoneticPr fontId="3" type="noConversion"/>
  </si>
  <si>
    <t>物资供应中心供应站</t>
  </si>
  <si>
    <t>物资供应中心骨干（从事采购管理、企业管理）</t>
  </si>
  <si>
    <t>物资供应中心骨干（其他）</t>
  </si>
  <si>
    <t>物资供应中心基层副职（从事采购管理、企业管理）</t>
  </si>
  <si>
    <t>物资供应中心基层副职（其他）</t>
  </si>
  <si>
    <t>物资供应中心基层正职（从事采购管理、企业管理）</t>
  </si>
  <si>
    <t>物资供应中心基层正职（其他）</t>
  </si>
  <si>
    <t>物资供应中心中层副职</t>
  </si>
  <si>
    <t>油气生产单位中层副职</t>
  </si>
  <si>
    <t>科研生产单位中层副职</t>
  </si>
  <si>
    <t>油气生产单位专家</t>
    <phoneticPr fontId="3" type="noConversion"/>
  </si>
  <si>
    <t>科研生产单位专家</t>
    <phoneticPr fontId="3" type="noConversion"/>
  </si>
  <si>
    <t>2年及以上</t>
    <phoneticPr fontId="5" type="noConversion"/>
  </si>
  <si>
    <t>3年及以上</t>
    <phoneticPr fontId="5" type="noConversion"/>
  </si>
  <si>
    <t>2年</t>
    <phoneticPr fontId="5" type="noConversion"/>
  </si>
  <si>
    <t>1年</t>
    <phoneticPr fontId="5" type="noConversion"/>
  </si>
  <si>
    <t>5年及以上</t>
    <phoneticPr fontId="5" type="noConversion"/>
  </si>
  <si>
    <t>3年</t>
    <phoneticPr fontId="5" type="noConversion"/>
  </si>
  <si>
    <t>物资供应中心</t>
    <phoneticPr fontId="3" type="noConversion"/>
  </si>
  <si>
    <t>油气销售中心</t>
    <phoneticPr fontId="3" type="noConversion"/>
  </si>
  <si>
    <t>油气销售中心销售管理部</t>
  </si>
  <si>
    <t>油气销售中心骨干</t>
  </si>
  <si>
    <t>油气销售中心基层副职</t>
  </si>
  <si>
    <t>油气销售中心基层正职</t>
  </si>
  <si>
    <t>油气销售中心中层副职</t>
  </si>
  <si>
    <t>石油工程监督中心</t>
    <phoneticPr fontId="3" type="noConversion"/>
  </si>
  <si>
    <t>石油工程监督中心骨干（其他）</t>
  </si>
  <si>
    <t>石油工程监督中心基层副职（其他）</t>
  </si>
  <si>
    <t>石油工程监督中心基层正职（其他）</t>
  </si>
  <si>
    <t>石油工程监督中心中层副职</t>
  </si>
  <si>
    <t>石油工程监督中心监督部</t>
    <phoneticPr fontId="3" type="noConversion"/>
  </si>
  <si>
    <t>石油工程监督中心骨干（从事石油工程作业监督）</t>
  </si>
  <si>
    <t>石油工程监督中心基层副职（从事石油工程作业监督）</t>
  </si>
  <si>
    <t>石油工程监督中心基层正职（从事石油工程作业监督）</t>
  </si>
  <si>
    <t>采油气工程服务中心基层队（从事应急抢险、供电管理）</t>
  </si>
  <si>
    <t>采油气工程服务中心基层队（其他）</t>
  </si>
  <si>
    <t>采油气工程服务中心骨干（从事应急抢险、供电管理）</t>
  </si>
  <si>
    <t>采油气工程服务中心骨干（其他）</t>
  </si>
  <si>
    <t>采油气工程服务中心基层副职（从事应急抢险、供电管理）</t>
  </si>
  <si>
    <t>采油气工程服务中心基层副职（其他）</t>
  </si>
  <si>
    <t>采油气工程服务中心基层正职（从事应急抢险、供电管理）</t>
  </si>
  <si>
    <t>采油气工程服务中心基层正职（其他）</t>
  </si>
  <si>
    <t>采油气工程服务中心中层副职</t>
  </si>
  <si>
    <t>采油气工程服务中心</t>
    <phoneticPr fontId="3" type="noConversion"/>
  </si>
  <si>
    <t>管理机关</t>
    <phoneticPr fontId="3" type="noConversion"/>
  </si>
  <si>
    <t>管理机关（专业管理）入职</t>
  </si>
  <si>
    <t>管理机关（专业管理）业务主办</t>
  </si>
  <si>
    <t>油气生产单位基层正职</t>
  </si>
  <si>
    <t>科研生产单位基层正职</t>
  </si>
  <si>
    <t>油气生产单位主任师</t>
    <phoneticPr fontId="3" type="noConversion"/>
  </si>
  <si>
    <t>科研生产单位主任师</t>
    <phoneticPr fontId="3" type="noConversion"/>
  </si>
  <si>
    <t>8</t>
    <phoneticPr fontId="5" type="noConversion"/>
  </si>
  <si>
    <t>王国壮</t>
    <phoneticPr fontId="3" type="noConversion"/>
  </si>
  <si>
    <t>科研生产单位研究所</t>
    <phoneticPr fontId="3" type="noConversion"/>
  </si>
  <si>
    <t>油气生产中层副职</t>
    <phoneticPr fontId="3" type="noConversion"/>
  </si>
  <si>
    <t>辅助列</t>
    <phoneticPr fontId="5" type="noConversion"/>
  </si>
  <si>
    <t>部门/单位岗位（填写中层正职、党委书记、中层正职、中层副职）</t>
  </si>
  <si>
    <t>勘探开发研究院中层正职、党委副书记</t>
  </si>
  <si>
    <t>勘探开发研究院党委书记、纪委书记、工会主席、副中层正职</t>
  </si>
  <si>
    <t>勘探开发研究院副中层正职</t>
  </si>
  <si>
    <t>石油工程技术研究院中层正职、党委副书记</t>
  </si>
  <si>
    <t>石油工程技术研究院党委书记、纪委书记、工会主席、副中层正职</t>
  </si>
  <si>
    <t>石油工程技术研究院副中层正职</t>
  </si>
  <si>
    <t>鄂南原油滚动开发方案创新项目组项目长，勘探开发研究院副中层正职</t>
  </si>
  <si>
    <t>采气一厂中层正职、党委副书记</t>
  </si>
  <si>
    <t>采气一厂党委书记、副中层正职，内蒙古华屹天然气管道有限公司执行董事、总经理</t>
  </si>
  <si>
    <t>采气一厂副中层正职（按中层正职管理）</t>
  </si>
  <si>
    <t>采气一厂副中层正职</t>
  </si>
  <si>
    <t>采气二厂中层正职、党委副书记，华北石油局有限公司咸阳三普分公司总经理，内蒙古华胜能源有限公司董事长</t>
  </si>
  <si>
    <t>采气二厂党委书记、副中层正职，华北石油局有限公司咸阳三普分公司副总经理，内蒙古华胜能源有限公司董事、总经理</t>
  </si>
  <si>
    <t>采气二厂副中层正职，内蒙古华胜能源有限公司董事、副总经理（兼）</t>
  </si>
  <si>
    <t>采气二厂副中层正职</t>
  </si>
  <si>
    <t>采油一厂中层正职、党委副书记</t>
  </si>
  <si>
    <t>采油一厂党委书记、副中层正职</t>
  </si>
  <si>
    <t>延安华延天然气有限公司执行董事、总经理、党支部书记兼采油一厂副中层正职</t>
  </si>
  <si>
    <t>部门</t>
    <phoneticPr fontId="3" type="noConversion"/>
  </si>
  <si>
    <t>单位</t>
    <phoneticPr fontId="3" type="noConversion"/>
  </si>
  <si>
    <t>层级</t>
    <phoneticPr fontId="3" type="noConversion"/>
  </si>
  <si>
    <t>采气二厂</t>
    <phoneticPr fontId="5" type="noConversion"/>
  </si>
  <si>
    <t>采油一厂</t>
    <phoneticPr fontId="5" type="noConversion"/>
  </si>
  <si>
    <t>辅助列2</t>
    <phoneticPr fontId="3" type="noConversion"/>
  </si>
  <si>
    <t>张文洪</t>
    <phoneticPr fontId="3" type="noConversion"/>
  </si>
  <si>
    <t>审计部</t>
  </si>
  <si>
    <t>党委组织部</t>
  </si>
  <si>
    <t>人力资源部</t>
  </si>
  <si>
    <t>总经理办公室</t>
  </si>
  <si>
    <t>党委办公室</t>
  </si>
  <si>
    <t>郑州基地管理站</t>
  </si>
  <si>
    <t>对外协调管理</t>
  </si>
  <si>
    <t>土地管理</t>
  </si>
  <si>
    <t>油区保卫和反恐</t>
  </si>
  <si>
    <t>对外合资/合作项目的协调</t>
  </si>
  <si>
    <t>协调新区地方关系</t>
  </si>
  <si>
    <t>内部审计监督</t>
  </si>
  <si>
    <t>审计服务</t>
  </si>
  <si>
    <t>安全生产监管</t>
  </si>
  <si>
    <t>HSSE综合监管</t>
  </si>
  <si>
    <t>环境保护监管</t>
  </si>
  <si>
    <t>职业健康监管</t>
  </si>
  <si>
    <t>消防安全监管</t>
  </si>
  <si>
    <t>生产运行</t>
  </si>
  <si>
    <t>组织管理</t>
  </si>
  <si>
    <t>干部管理</t>
  </si>
  <si>
    <t>机关党建</t>
  </si>
  <si>
    <t>人才队伍管理</t>
  </si>
  <si>
    <t>劳动用工管理</t>
  </si>
  <si>
    <t>人工成本与薪酬管理</t>
  </si>
  <si>
    <t>员工绩效管理</t>
  </si>
  <si>
    <t>社会保险管理</t>
  </si>
  <si>
    <t>产能建设生产运行管理</t>
  </si>
  <si>
    <t>油气生产运行管理</t>
  </si>
  <si>
    <t>生产运行保障系统管理</t>
  </si>
  <si>
    <t>生产综合信息管理</t>
  </si>
  <si>
    <t>碳资产及综合能耗管理</t>
  </si>
  <si>
    <t>重要会议组织及公务接待</t>
  </si>
  <si>
    <t>服务协调</t>
  </si>
  <si>
    <t>参谋督办</t>
  </si>
  <si>
    <t>机要保密、文秘文书管理</t>
  </si>
  <si>
    <t>行政综合管理</t>
  </si>
  <si>
    <t>团工作</t>
  </si>
  <si>
    <t>人事档案及SAP-HR信息管理</t>
  </si>
  <si>
    <t>思想政治工作</t>
  </si>
  <si>
    <t>舆情管理</t>
  </si>
  <si>
    <t>企业文化建设</t>
  </si>
  <si>
    <t>新闻宣传及媒体管理</t>
  </si>
  <si>
    <t>违规违纪问题受理</t>
  </si>
  <si>
    <t>纪检监察</t>
  </si>
  <si>
    <t>公司专项治理</t>
  </si>
  <si>
    <t>公司党委巡察</t>
  </si>
  <si>
    <t>群众性经济技术创新活动</t>
  </si>
  <si>
    <t>职工文化体育活动</t>
  </si>
  <si>
    <t>工会组织建设和女职工工作</t>
  </si>
  <si>
    <t>油气勘探中长期规划与年度计划编制</t>
  </si>
  <si>
    <t>年度勘探投资规模、勘探发现成本、勘探投资使用情况管控</t>
  </si>
  <si>
    <t>探井全过程管理</t>
  </si>
  <si>
    <t>合资合作项目相关业务管理</t>
  </si>
  <si>
    <t>组织物化探采集项目</t>
  </si>
  <si>
    <t>矿权、圈闭、三级储量、勘探信息管理</t>
  </si>
  <si>
    <t>油气勘探开发规划及部署</t>
  </si>
  <si>
    <t>油气勘探开发技术研究</t>
  </si>
  <si>
    <t>油气勘探开发生产支持</t>
  </si>
  <si>
    <t>企业管理</t>
  </si>
  <si>
    <t>油气田开发规划及部署</t>
  </si>
  <si>
    <t>质量管理</t>
  </si>
  <si>
    <t>废弃井工程管理</t>
  </si>
  <si>
    <t>工程技术规划及部署</t>
  </si>
  <si>
    <t>产能建设工程技术管理</t>
  </si>
  <si>
    <t>工程技术科研项目及新工艺、新技术管理</t>
  </si>
  <si>
    <t>储层改造工程技术管理</t>
  </si>
  <si>
    <t>新工艺、新技术引进、应用和推广</t>
  </si>
  <si>
    <t>应急指挥</t>
  </si>
  <si>
    <t>防洪防汛、抗灾减灾</t>
  </si>
  <si>
    <t>体制机制改革</t>
  </si>
  <si>
    <t>绩效管理</t>
  </si>
  <si>
    <t>市场管理</t>
  </si>
  <si>
    <t>法律事务及合同管理</t>
  </si>
  <si>
    <t>内控及风险管理</t>
  </si>
  <si>
    <t>投资计划</t>
  </si>
  <si>
    <t>投资项目优化控制</t>
  </si>
  <si>
    <t>对外合资合作</t>
  </si>
  <si>
    <t>投资项目决策与评价</t>
  </si>
  <si>
    <t>综合统计</t>
  </si>
  <si>
    <t>预算管理</t>
  </si>
  <si>
    <t>成本管理</t>
  </si>
  <si>
    <t>资本管理</t>
  </si>
  <si>
    <t>资产价值管理</t>
  </si>
  <si>
    <t>税务管理</t>
  </si>
  <si>
    <t>社会责任管理</t>
  </si>
  <si>
    <t>科技规划及科技管理</t>
  </si>
  <si>
    <t>科技项目管理</t>
  </si>
  <si>
    <t>知识产权管理</t>
  </si>
  <si>
    <t>科技创新管理及奖项申报</t>
  </si>
  <si>
    <t>科技对外合作交流</t>
  </si>
  <si>
    <t>设备综合管理</t>
  </si>
  <si>
    <t>计量管理</t>
  </si>
  <si>
    <t>指导、监督二级单位的设备管理工作</t>
  </si>
  <si>
    <t>地面工程技术管理</t>
  </si>
  <si>
    <t>工程与服务定额管理</t>
  </si>
  <si>
    <t>价格管理</t>
  </si>
  <si>
    <t>概预算和结算管理</t>
  </si>
  <si>
    <t>信息化发展规划</t>
  </si>
  <si>
    <t>信息化项目管理</t>
  </si>
  <si>
    <t>信息资源</t>
  </si>
  <si>
    <t>信息化技术引进</t>
  </si>
  <si>
    <t>信息化运维</t>
  </si>
  <si>
    <t>档案资料管理</t>
  </si>
  <si>
    <t>档案资料统计上报</t>
  </si>
  <si>
    <t>对各二级单位档案工作进行指导、检查、考核</t>
  </si>
  <si>
    <t>安全环保</t>
  </si>
  <si>
    <t>油气田开发</t>
  </si>
  <si>
    <t>油气藏经营管理</t>
  </si>
  <si>
    <t>地面工程</t>
  </si>
  <si>
    <t>油气藏管理</t>
  </si>
  <si>
    <t>石油工程技术规划</t>
  </si>
  <si>
    <t>油气勘探开发工程工艺技术研究</t>
  </si>
  <si>
    <t>油气勘探开发工程技术支持</t>
  </si>
  <si>
    <t>新工艺、新技术试验及推广应用</t>
  </si>
  <si>
    <t>安全环保科研攻关及技术支持</t>
  </si>
  <si>
    <t>地质、工程实验测试评价及技术服务</t>
  </si>
  <si>
    <t>电力、通讯、网络保障</t>
  </si>
  <si>
    <t>油气田消（气）防</t>
  </si>
  <si>
    <t>应急抢险</t>
  </si>
  <si>
    <t>油气田水、液处理和配送</t>
  </si>
  <si>
    <t>管具检测维修</t>
  </si>
  <si>
    <t>生产基地后勤保障服务、站场维护</t>
  </si>
  <si>
    <t>石油工程施工作业监督管理</t>
  </si>
  <si>
    <t>物资供应管理</t>
  </si>
  <si>
    <t>物资采购管理</t>
  </si>
  <si>
    <t>油气产品销售</t>
  </si>
  <si>
    <t xml:space="preserve">油气产品相关增值业务经营管理 </t>
  </si>
  <si>
    <t>非管道气业务管理</t>
  </si>
  <si>
    <t>油气产品质量、计量监管</t>
  </si>
  <si>
    <t>信访稳定</t>
  </si>
  <si>
    <t>社区管理与服务</t>
  </si>
  <si>
    <t>离退休及非在职人员管理与服务</t>
  </si>
  <si>
    <t>企地联络与协调</t>
  </si>
  <si>
    <t>新乡基地管理站</t>
  </si>
  <si>
    <t>党委宣传部</t>
  </si>
  <si>
    <t>设备管理部</t>
  </si>
  <si>
    <t>外事管理</t>
    <phoneticPr fontId="3" type="noConversion"/>
  </si>
  <si>
    <t>形势任务教育</t>
    <phoneticPr fontId="3" type="noConversion"/>
  </si>
  <si>
    <t>企业民主管理、民主监督</t>
    <phoneticPr fontId="3" type="noConversion"/>
  </si>
  <si>
    <t>维护职工合法权益</t>
    <phoneticPr fontId="3" type="noConversion"/>
  </si>
  <si>
    <t>开发井过程管控</t>
    <phoneticPr fontId="3" type="noConversion"/>
  </si>
  <si>
    <t>油气田开发管理</t>
    <phoneticPr fontId="3" type="noConversion"/>
  </si>
  <si>
    <t>合资合作项目开发方案审批</t>
    <phoneticPr fontId="3" type="noConversion"/>
  </si>
  <si>
    <t>油气田开发信息管理</t>
    <phoneticPr fontId="3" type="noConversion"/>
  </si>
  <si>
    <t>投资计划管理</t>
    <phoneticPr fontId="3" type="noConversion"/>
  </si>
  <si>
    <t>实物资产管理</t>
  </si>
  <si>
    <t>管理机关中层正职</t>
  </si>
  <si>
    <t>油气生产单位中层正职</t>
  </si>
  <si>
    <t>采油气服务中心中层正职</t>
  </si>
  <si>
    <t>石油工程监督中心中层正职</t>
  </si>
  <si>
    <t>物资供应中心中层正职</t>
  </si>
  <si>
    <t>油气销售中心中层正职</t>
  </si>
  <si>
    <t>管理机关中层副职</t>
  </si>
  <si>
    <t>采油气服务中心中层副职</t>
  </si>
  <si>
    <t>满分</t>
    <phoneticPr fontId="3" type="noConversion"/>
  </si>
  <si>
    <t>个人信息</t>
    <phoneticPr fontId="3" type="noConversion"/>
  </si>
  <si>
    <t>绩效得分（原始）</t>
    <phoneticPr fontId="3" type="noConversion"/>
  </si>
  <si>
    <t>班子总人数</t>
    <phoneticPr fontId="3" type="noConversion"/>
  </si>
  <si>
    <t>排名</t>
    <phoneticPr fontId="3" type="noConversion"/>
  </si>
  <si>
    <t>排名位置</t>
    <phoneticPr fontId="3" type="noConversion"/>
  </si>
  <si>
    <t>档位</t>
    <phoneticPr fontId="3" type="noConversion"/>
  </si>
  <si>
    <t>绩效赋分</t>
    <phoneticPr fontId="3" type="noConversion"/>
  </si>
  <si>
    <t>Excel表名称</t>
    <phoneticPr fontId="3" type="noConversion"/>
  </si>
  <si>
    <t>链接</t>
    <phoneticPr fontId="3" type="noConversion"/>
  </si>
  <si>
    <t>使用说明</t>
    <phoneticPr fontId="3" type="noConversion"/>
  </si>
  <si>
    <t>1-1 基本信息</t>
    <phoneticPr fontId="3" type="noConversion"/>
  </si>
  <si>
    <t>1-2-1 绩效原始数据</t>
    <phoneticPr fontId="3" type="noConversion"/>
  </si>
  <si>
    <t>1-2-2 关键绩效</t>
    <phoneticPr fontId="3" type="noConversion"/>
  </si>
  <si>
    <t>1-4 关键专业</t>
    <phoneticPr fontId="3" type="noConversion"/>
  </si>
  <si>
    <t>1-5-1 关键经历积分对应表</t>
    <phoneticPr fontId="3" type="noConversion"/>
  </si>
  <si>
    <t>1-6 风险因素</t>
    <phoneticPr fontId="3" type="noConversion"/>
  </si>
  <si>
    <t>1-3 关键能力得分</t>
    <phoneticPr fontId="3" type="noConversion"/>
  </si>
  <si>
    <t>2-个人报告</t>
    <phoneticPr fontId="3" type="noConversion"/>
  </si>
  <si>
    <t>3-团队报告</t>
    <phoneticPr fontId="3" type="noConversion"/>
  </si>
  <si>
    <r>
      <t>◆ 标题为</t>
    </r>
    <r>
      <rPr>
        <b/>
        <sz val="11"/>
        <color theme="1"/>
        <rFont val="微软雅黑"/>
        <family val="2"/>
        <charset val="134"/>
      </rPr>
      <t>蓝色</t>
    </r>
    <r>
      <rPr>
        <sz val="11"/>
        <color theme="1"/>
        <rFont val="微软雅黑"/>
        <family val="2"/>
        <charset val="134"/>
      </rPr>
      <t>的部分为</t>
    </r>
    <r>
      <rPr>
        <b/>
        <sz val="11"/>
        <color theme="1"/>
        <rFont val="微软雅黑"/>
        <family val="2"/>
        <charset val="134"/>
      </rPr>
      <t>填写部分</t>
    </r>
    <r>
      <rPr>
        <sz val="11"/>
        <color theme="1"/>
        <rFont val="微软雅黑"/>
        <family val="2"/>
        <charset val="134"/>
      </rPr>
      <t>，标题为</t>
    </r>
    <r>
      <rPr>
        <b/>
        <sz val="11"/>
        <color theme="1"/>
        <rFont val="微软雅黑"/>
        <family val="2"/>
        <charset val="134"/>
      </rPr>
      <t>灰色</t>
    </r>
    <r>
      <rPr>
        <sz val="11"/>
        <color theme="1"/>
        <rFont val="微软雅黑"/>
        <family val="2"/>
        <charset val="134"/>
      </rPr>
      <t>的为公式</t>
    </r>
    <r>
      <rPr>
        <b/>
        <sz val="11"/>
        <color theme="1"/>
        <rFont val="微软雅黑"/>
        <family val="2"/>
        <charset val="134"/>
      </rPr>
      <t>自动生成</t>
    </r>
    <phoneticPr fontId="3" type="noConversion"/>
  </si>
  <si>
    <r>
      <t>◆ 按照提示填写中层领导</t>
    </r>
    <r>
      <rPr>
        <b/>
        <sz val="11"/>
        <color theme="1"/>
        <rFont val="微软雅黑"/>
        <family val="2"/>
        <charset val="134"/>
      </rPr>
      <t>姓名、单位及当年绩效得分</t>
    </r>
    <phoneticPr fontId="3" type="noConversion"/>
  </si>
  <si>
    <r>
      <t>◆ 只需填写中层领导</t>
    </r>
    <r>
      <rPr>
        <b/>
        <sz val="11"/>
        <color theme="1"/>
        <rFont val="微软雅黑"/>
        <family val="2"/>
        <charset val="134"/>
      </rPr>
      <t>姓名</t>
    </r>
    <r>
      <rPr>
        <sz val="11"/>
        <color theme="1"/>
        <rFont val="微软雅黑"/>
        <family val="2"/>
        <charset val="134"/>
      </rPr>
      <t>即可，其他项均为公式自动生成</t>
    </r>
    <phoneticPr fontId="3" type="noConversion"/>
  </si>
  <si>
    <r>
      <t>◆ 填写中层领导</t>
    </r>
    <r>
      <rPr>
        <b/>
        <sz val="11"/>
        <color theme="1"/>
        <rFont val="微软雅黑"/>
        <family val="2"/>
        <charset val="134"/>
      </rPr>
      <t>姓名、部门、层级以及各素质项得分</t>
    </r>
    <r>
      <rPr>
        <sz val="11"/>
        <color theme="1"/>
        <rFont val="微软雅黑"/>
        <family val="2"/>
        <charset val="134"/>
      </rPr>
      <t>，</t>
    </r>
    <r>
      <rPr>
        <b/>
        <sz val="11"/>
        <color theme="1"/>
        <rFont val="微软雅黑"/>
        <family val="2"/>
        <charset val="134"/>
      </rPr>
      <t>灰色</t>
    </r>
    <r>
      <rPr>
        <sz val="11"/>
        <color theme="1"/>
        <rFont val="微软雅黑"/>
        <family val="2"/>
        <charset val="134"/>
      </rPr>
      <t>部分均分为公式</t>
    </r>
    <r>
      <rPr>
        <b/>
        <sz val="11"/>
        <color theme="1"/>
        <rFont val="微软雅黑"/>
        <family val="2"/>
        <charset val="134"/>
      </rPr>
      <t>自动生成</t>
    </r>
    <phoneticPr fontId="3" type="noConversion"/>
  </si>
  <si>
    <t>◆ 无需填写</t>
    <phoneticPr fontId="3" type="noConversion"/>
  </si>
  <si>
    <r>
      <t>◆ 标题为</t>
    </r>
    <r>
      <rPr>
        <b/>
        <sz val="11"/>
        <color theme="1"/>
        <rFont val="微软雅黑"/>
        <family val="2"/>
        <charset val="134"/>
      </rPr>
      <t>蓝色</t>
    </r>
    <r>
      <rPr>
        <sz val="11"/>
        <color theme="1"/>
        <rFont val="微软雅黑"/>
        <family val="2"/>
        <charset val="134"/>
      </rPr>
      <t>的部分为</t>
    </r>
    <r>
      <rPr>
        <b/>
        <sz val="11"/>
        <color theme="1"/>
        <rFont val="微软雅黑"/>
        <family val="2"/>
        <charset val="134"/>
      </rPr>
      <t>填写部分</t>
    </r>
    <r>
      <rPr>
        <sz val="11"/>
        <color theme="1"/>
        <rFont val="微软雅黑"/>
        <family val="2"/>
        <charset val="134"/>
      </rPr>
      <t>，标题为</t>
    </r>
    <r>
      <rPr>
        <b/>
        <sz val="11"/>
        <color theme="1"/>
        <rFont val="微软雅黑"/>
        <family val="2"/>
        <charset val="134"/>
      </rPr>
      <t>灰色</t>
    </r>
    <r>
      <rPr>
        <sz val="11"/>
        <color theme="1"/>
        <rFont val="微软雅黑"/>
        <family val="2"/>
        <charset val="134"/>
      </rPr>
      <t>的为公式</t>
    </r>
    <r>
      <rPr>
        <b/>
        <sz val="11"/>
        <color theme="1"/>
        <rFont val="微软雅黑"/>
        <family val="2"/>
        <charset val="134"/>
      </rPr>
      <t>自动生成</t>
    </r>
    <r>
      <rPr>
        <sz val="11"/>
        <color theme="1"/>
        <rFont val="微软雅黑"/>
        <family val="2"/>
        <charset val="134"/>
      </rPr>
      <t xml:space="preserve">
◆ 经历赋分</t>
    </r>
    <r>
      <rPr>
        <b/>
        <sz val="11"/>
        <color theme="1"/>
        <rFont val="微软雅黑"/>
        <family val="2"/>
        <charset val="134"/>
      </rPr>
      <t>对应表1-5-1填写</t>
    </r>
    <phoneticPr fontId="3" type="noConversion"/>
  </si>
  <si>
    <r>
      <t xml:space="preserve">◆ 填写中层领导部门、层级、姓名及当前所管业务
◆ </t>
    </r>
    <r>
      <rPr>
        <b/>
        <sz val="11"/>
        <color theme="1"/>
        <rFont val="微软雅黑"/>
        <family val="2"/>
        <charset val="134"/>
      </rPr>
      <t>每列顺序请勿变动</t>
    </r>
    <phoneticPr fontId="3" type="noConversion"/>
  </si>
  <si>
    <r>
      <t>◆ 只需在下拉菜单中选择</t>
    </r>
    <r>
      <rPr>
        <b/>
        <sz val="11"/>
        <color theme="1"/>
        <rFont val="微软雅黑"/>
        <family val="2"/>
        <charset val="134"/>
      </rPr>
      <t>单位/部门名称</t>
    </r>
    <r>
      <rPr>
        <sz val="11"/>
        <color theme="1"/>
        <rFont val="微软雅黑"/>
        <family val="2"/>
        <charset val="134"/>
      </rPr>
      <t>即可，其他项均为公式自动生成</t>
    </r>
    <phoneticPr fontId="3" type="noConversion"/>
  </si>
  <si>
    <t>年龄</t>
    <phoneticPr fontId="3" type="noConversion"/>
  </si>
  <si>
    <t>政治素养</t>
    <phoneticPr fontId="3" type="noConversion"/>
  </si>
  <si>
    <t>姓名</t>
    <phoneticPr fontId="5" type="noConversion"/>
  </si>
  <si>
    <t>赋分</t>
    <phoneticPr fontId="3" type="noConversion"/>
  </si>
  <si>
    <t>任职年龄</t>
    <phoneticPr fontId="3" type="noConversion"/>
  </si>
  <si>
    <t>辅助列1</t>
    <phoneticPr fontId="3" type="noConversion"/>
  </si>
  <si>
    <t>1-5-2 关键经历得分表</t>
    <phoneticPr fontId="3" type="noConversion"/>
  </si>
  <si>
    <t>1-5-1 关键经历积分对应表</t>
    <phoneticPr fontId="3" type="noConversion"/>
  </si>
  <si>
    <t>1-5-2 关键经历得分表</t>
    <phoneticPr fontId="3" type="noConversion"/>
  </si>
  <si>
    <t>1-2-1 绩效数据</t>
    <phoneticPr fontId="3" type="noConversion"/>
  </si>
  <si>
    <t>返回使用说明</t>
    <phoneticPr fontId="3" type="noConversion"/>
  </si>
  <si>
    <t>秦军民</t>
    <phoneticPr fontId="3" type="noConversion"/>
  </si>
  <si>
    <t>偏离因素</t>
    <phoneticPr fontId="3" type="noConversion"/>
  </si>
  <si>
    <t>能力素质项得分</t>
    <phoneticPr fontId="3" type="noConversion"/>
  </si>
  <si>
    <t>管理机关党委书记</t>
  </si>
  <si>
    <t>油气生产单位党委书记</t>
  </si>
  <si>
    <t>采油气服务中心党委书记</t>
  </si>
  <si>
    <t>石油工程监督中心党委书记</t>
  </si>
  <si>
    <t>物资供应中心党委书记</t>
  </si>
  <si>
    <t>油气销售中心党委书记</t>
  </si>
  <si>
    <t>勘探开发研究院中层正职</t>
  </si>
  <si>
    <t>勘探开发研究院中层副职</t>
  </si>
  <si>
    <t>勘探开发研究院党委书记</t>
  </si>
  <si>
    <t>学生</t>
    <phoneticPr fontId="3" type="noConversion"/>
  </si>
  <si>
    <t xml:space="preserve">助理工程师 </t>
    <phoneticPr fontId="3" type="noConversion"/>
  </si>
  <si>
    <t>普通员工</t>
    <phoneticPr fontId="3" type="noConversion"/>
  </si>
  <si>
    <t xml:space="preserve">副主任 </t>
    <phoneticPr fontId="3" type="noConversion"/>
  </si>
  <si>
    <t>骨干员工</t>
    <phoneticPr fontId="3" type="noConversion"/>
  </si>
  <si>
    <t>主任</t>
    <phoneticPr fontId="3" type="noConversion"/>
  </si>
  <si>
    <t xml:space="preserve">副所长 </t>
    <phoneticPr fontId="3" type="noConversion"/>
  </si>
  <si>
    <t>基层副职</t>
    <phoneticPr fontId="3" type="noConversion"/>
  </si>
  <si>
    <t>科研生产单位基层副职</t>
    <phoneticPr fontId="3" type="noConversion"/>
  </si>
  <si>
    <t>副总地质师</t>
    <phoneticPr fontId="3" type="noConversion"/>
  </si>
  <si>
    <t>基层正职</t>
    <phoneticPr fontId="3" type="noConversion"/>
  </si>
  <si>
    <t xml:space="preserve">副总地质师兼地质所所长 </t>
    <phoneticPr fontId="3" type="noConversion"/>
  </si>
  <si>
    <t>油气生产基层正职</t>
    <phoneticPr fontId="3" type="noConversion"/>
  </si>
  <si>
    <t>首席专家</t>
    <phoneticPr fontId="3" type="noConversion"/>
  </si>
  <si>
    <t>主任工程师 （参照高级主管）</t>
    <phoneticPr fontId="3" type="noConversion"/>
  </si>
  <si>
    <t>副处长、副厂长</t>
    <phoneticPr fontId="3" type="noConversion"/>
  </si>
  <si>
    <t xml:space="preserve">副厂长（主持工作）、党总支副书记 </t>
    <phoneticPr fontId="3" type="noConversion"/>
  </si>
  <si>
    <t>勘探开发研究院</t>
    <phoneticPr fontId="3" type="noConversion"/>
  </si>
  <si>
    <t xml:space="preserve">技术员  技术负责 </t>
    <phoneticPr fontId="3" type="noConversion"/>
  </si>
  <si>
    <t>科员</t>
    <phoneticPr fontId="3" type="noConversion"/>
  </si>
  <si>
    <t>技术负责、副队长</t>
    <phoneticPr fontId="3" type="noConversion"/>
  </si>
  <si>
    <t>油气生产单位基层副职/副主任师</t>
    <phoneticPr fontId="3" type="noConversion"/>
  </si>
  <si>
    <t xml:space="preserve">技术负责、队长 </t>
    <phoneticPr fontId="3" type="noConversion"/>
  </si>
  <si>
    <t>油气生产基层正职/主任师</t>
    <phoneticPr fontId="3" type="noConversion"/>
  </si>
  <si>
    <t>科长、副主任</t>
    <phoneticPr fontId="3" type="noConversion"/>
  </si>
  <si>
    <t xml:space="preserve">副总、所长 </t>
    <phoneticPr fontId="3" type="noConversion"/>
  </si>
  <si>
    <t>总工程师</t>
    <phoneticPr fontId="3" type="noConversion"/>
  </si>
  <si>
    <t>副厂长、总工程师</t>
    <phoneticPr fontId="3" type="noConversion"/>
  </si>
  <si>
    <t xml:space="preserve">副处长 </t>
    <phoneticPr fontId="3" type="noConversion"/>
  </si>
  <si>
    <t>管理机关（专业管理）中层副职</t>
    <phoneticPr fontId="3" type="noConversion"/>
  </si>
  <si>
    <t>党委副书记（主持工作）兼副厂长、副主任</t>
    <phoneticPr fontId="3" type="noConversion"/>
  </si>
  <si>
    <t>梁承春</t>
    <phoneticPr fontId="3" type="noConversion"/>
  </si>
  <si>
    <t>鄂南原油创新项目组</t>
    <phoneticPr fontId="3" type="noConversion"/>
  </si>
  <si>
    <t xml:space="preserve">作业工 </t>
    <phoneticPr fontId="3" type="noConversion"/>
  </si>
  <si>
    <t>科研生产单位研究所/机关职能管理部门/油气生产单位基层队/机关职能管理部门</t>
    <phoneticPr fontId="3" type="noConversion"/>
  </si>
  <si>
    <t>技术员</t>
    <phoneticPr fontId="3" type="noConversion"/>
  </si>
  <si>
    <t>科研生产单位科研骨干/业务骨干/油气生产单位技术骨干/业务骨干</t>
    <phoneticPr fontId="3" type="noConversion"/>
  </si>
  <si>
    <t>科研生产单位基层副职/副主任师</t>
    <phoneticPr fontId="3" type="noConversion"/>
  </si>
  <si>
    <t xml:space="preserve">支部书记兼副所长 </t>
    <phoneticPr fontId="3" type="noConversion"/>
  </si>
  <si>
    <t>科研生产基层正职/主任师</t>
    <phoneticPr fontId="3" type="noConversion"/>
  </si>
  <si>
    <t>队长兼支部副书记</t>
    <phoneticPr fontId="3" type="noConversion"/>
  </si>
  <si>
    <t>厂长助理</t>
    <phoneticPr fontId="3" type="noConversion"/>
  </si>
  <si>
    <t xml:space="preserve">副厂长 </t>
    <phoneticPr fontId="3" type="noConversion"/>
  </si>
  <si>
    <t>油气生产中层副职/专家</t>
    <phoneticPr fontId="3" type="noConversion"/>
  </si>
  <si>
    <t xml:space="preserve">副院长 </t>
    <phoneticPr fontId="3" type="noConversion"/>
  </si>
  <si>
    <t>科研生产中层副职/专家</t>
    <phoneticPr fontId="3" type="noConversion"/>
  </si>
  <si>
    <t>陈奎</t>
    <phoneticPr fontId="3" type="noConversion"/>
  </si>
  <si>
    <t>准备考研</t>
    <phoneticPr fontId="3" type="noConversion"/>
  </si>
  <si>
    <t xml:space="preserve">技术负责 </t>
    <phoneticPr fontId="3" type="noConversion"/>
  </si>
  <si>
    <t>副所长（主持工作）兼第三党支部副书记</t>
    <phoneticPr fontId="3" type="noConversion"/>
  </si>
  <si>
    <t>所长兼第三党支部副书记</t>
    <phoneticPr fontId="3" type="noConversion"/>
  </si>
  <si>
    <t>所长兼规划计算信息党支部副书记</t>
    <phoneticPr fontId="3" type="noConversion"/>
  </si>
  <si>
    <t>雷涛</t>
    <phoneticPr fontId="3" type="noConversion"/>
  </si>
  <si>
    <t>副所长（主持工作）兼第二党支部副书记</t>
    <phoneticPr fontId="3" type="noConversion"/>
  </si>
  <si>
    <t>所长兼第二党支部副书记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</si>
</sst>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_);[Red]\(0\)"/>
    <numFmt numFmtId="178" formatCode="yyyy&quot;年&quot;m&quot;月&quot;;@"/>
    <numFmt numFmtId="179" formatCode="0.0"/>
    <numFmt numFmtId="180" formatCode="0.0_);[Red]\(0.0\)"/>
  </numFmts>
  <fonts count="31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0"/>
      <color theme="0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1"/>
      <color theme="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2"/>
      <color rgb="FF000000"/>
      <name val="微软雅黑"/>
      <family val="2"/>
      <charset val="134"/>
    </font>
    <font>
      <b/>
      <sz val="14"/>
      <color rgb="FFFFFFFF"/>
      <name val="微软雅黑"/>
      <family val="2"/>
      <charset val="134"/>
    </font>
    <font>
      <sz val="14"/>
      <color rgb="FF00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2"/>
      <name val="微软雅黑"/>
      <family val="2"/>
      <charset val="134"/>
    </font>
    <font>
      <sz val="12"/>
      <name val="微软雅黑"/>
      <family val="2"/>
      <charset val="134"/>
    </font>
    <font>
      <sz val="10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2"/>
      <color theme="0"/>
      <name val="微软雅黑"/>
      <family val="2"/>
      <charset val="134"/>
    </font>
    <font>
      <b/>
      <u/>
      <sz val="12"/>
      <color theme="8"/>
      <name val="微软雅黑"/>
      <family val="2"/>
      <charset val="134"/>
    </font>
    <font>
      <b/>
      <sz val="11"/>
      <name val="微软雅黑"/>
      <family val="2"/>
      <charset val="134"/>
    </font>
    <font>
      <u/>
      <sz val="11"/>
      <color theme="8"/>
      <name val="微软雅黑"/>
      <family val="2"/>
      <charset val="134"/>
    </font>
    <font>
      <b/>
      <sz val="11"/>
      <color rgb="FFFF0000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 diagonalDown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 diagonalDown="1">
      <left/>
      <right/>
      <top style="thin">
        <color rgb="FF000000"/>
      </top>
      <bottom style="thin">
        <color rgb="FF000000"/>
      </bottom>
      <diagonal style="thin">
        <color rgb="FF000000"/>
      </diagonal>
    </border>
    <border diagonalDown="1">
      <left/>
      <right style="thin">
        <color rgb="FF000000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2" fillId="0" borderId="0">
      <alignment vertical="center"/>
    </xf>
    <xf numFmtId="0" fontId="25" fillId="0" borderId="0" applyNumberFormat="0" applyFill="0" applyBorder="0" applyAlignment="0" applyProtection="0"/>
  </cellStyleXfs>
  <cellXfs count="2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14" fontId="8" fillId="0" borderId="0" xfId="0" applyNumberFormat="1" applyFont="1" applyAlignment="1">
      <alignment horizontal="center"/>
    </xf>
    <xf numFmtId="177" fontId="8" fillId="0" borderId="0" xfId="0" applyNumberFormat="1" applyFont="1" applyAlignment="1">
      <alignment horizontal="center"/>
    </xf>
    <xf numFmtId="0" fontId="8" fillId="0" borderId="1" xfId="0" applyFont="1" applyBorder="1" applyAlignment="1">
      <alignment horizontal="center"/>
    </xf>
    <xf numFmtId="14" fontId="8" fillId="0" borderId="1" xfId="0" applyNumberFormat="1" applyFont="1" applyBorder="1" applyAlignment="1">
      <alignment horizontal="center"/>
    </xf>
    <xf numFmtId="177" fontId="8" fillId="0" borderId="1" xfId="0" applyNumberFormat="1" applyFont="1" applyBorder="1" applyAlignment="1">
      <alignment horizontal="center"/>
    </xf>
    <xf numFmtId="0" fontId="8" fillId="0" borderId="1" xfId="2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2" applyFont="1" applyBorder="1" applyAlignment="1">
      <alignment horizontal="center" vertical="center" wrapText="1" shrinkToFit="1"/>
    </xf>
    <xf numFmtId="0" fontId="6" fillId="3" borderId="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1"/>
    </xf>
    <xf numFmtId="0" fontId="15" fillId="0" borderId="5" xfId="0" applyFont="1" applyBorder="1" applyAlignment="1">
      <alignment horizontal="center" vertical="center" wrapText="1" readingOrder="1"/>
    </xf>
    <xf numFmtId="0" fontId="16" fillId="5" borderId="5" xfId="0" applyFont="1" applyFill="1" applyBorder="1" applyAlignment="1">
      <alignment horizontal="center" vertical="center" wrapText="1" readingOrder="1"/>
    </xf>
    <xf numFmtId="0" fontId="12" fillId="6" borderId="5" xfId="0" applyFont="1" applyFill="1" applyBorder="1" applyAlignment="1">
      <alignment horizontal="center" vertical="center" wrapText="1" readingOrder="1"/>
    </xf>
    <xf numFmtId="0" fontId="13" fillId="7" borderId="5" xfId="0" applyFont="1" applyFill="1" applyBorder="1" applyAlignment="1">
      <alignment horizontal="center" vertical="center" wrapText="1" readingOrder="1"/>
    </xf>
    <xf numFmtId="0" fontId="13" fillId="0" borderId="5" xfId="0" applyFont="1" applyBorder="1" applyAlignment="1">
      <alignment horizontal="center" vertical="center" wrapText="1" readingOrder="1"/>
    </xf>
    <xf numFmtId="0" fontId="6" fillId="2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 wrapText="1" readingOrder="1"/>
    </xf>
    <xf numFmtId="0" fontId="16" fillId="5" borderId="13" xfId="0" applyFont="1" applyFill="1" applyBorder="1" applyAlignment="1">
      <alignment horizontal="center" vertical="center" wrapText="1" readingOrder="1"/>
    </xf>
    <xf numFmtId="0" fontId="10" fillId="13" borderId="1" xfId="0" applyFont="1" applyFill="1" applyBorder="1" applyAlignment="1">
      <alignment horizontal="center" vertical="center" wrapText="1" readingOrder="1"/>
    </xf>
    <xf numFmtId="0" fontId="10" fillId="15" borderId="1" xfId="0" applyFont="1" applyFill="1" applyBorder="1" applyAlignment="1">
      <alignment horizontal="center" vertical="center" wrapText="1" readingOrder="1"/>
    </xf>
    <xf numFmtId="0" fontId="10" fillId="14" borderId="1" xfId="0" applyFont="1" applyFill="1" applyBorder="1" applyAlignment="1">
      <alignment horizontal="center" vertical="center" wrapText="1" readingOrder="1"/>
    </xf>
    <xf numFmtId="0" fontId="7" fillId="16" borderId="1" xfId="2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2" fontId="15" fillId="0" borderId="5" xfId="0" applyNumberFormat="1" applyFont="1" applyBorder="1" applyAlignment="1">
      <alignment horizontal="center" vertical="center" wrapText="1" readingOrder="1"/>
    </xf>
    <xf numFmtId="14" fontId="6" fillId="2" borderId="1" xfId="0" applyNumberFormat="1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0" fontId="21" fillId="0" borderId="0" xfId="2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2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 shrinkToFit="1"/>
    </xf>
    <xf numFmtId="0" fontId="21" fillId="0" borderId="0" xfId="2" applyFont="1" applyBorder="1" applyAlignment="1">
      <alignment horizontal="center" vertical="center" shrinkToFit="1"/>
    </xf>
    <xf numFmtId="0" fontId="6" fillId="11" borderId="2" xfId="0" applyFont="1" applyFill="1" applyBorder="1" applyAlignment="1">
      <alignment horizontal="center" vertical="center"/>
    </xf>
    <xf numFmtId="0" fontId="8" fillId="0" borderId="1" xfId="0" applyFont="1" applyBorder="1"/>
    <xf numFmtId="0" fontId="21" fillId="0" borderId="0" xfId="0" applyFont="1" applyBorder="1"/>
    <xf numFmtId="0" fontId="21" fillId="0" borderId="0" xfId="0" applyFont="1" applyBorder="1" applyAlignment="1"/>
    <xf numFmtId="0" fontId="13" fillId="6" borderId="13" xfId="0" applyFont="1" applyFill="1" applyBorder="1" applyAlignment="1">
      <alignment horizontal="center" vertical="center" wrapText="1" readingOrder="1"/>
    </xf>
    <xf numFmtId="0" fontId="12" fillId="0" borderId="1" xfId="0" applyFont="1" applyBorder="1" applyAlignment="1">
      <alignment horizontal="center" vertical="center" wrapText="1" readingOrder="1"/>
    </xf>
    <xf numFmtId="9" fontId="12" fillId="17" borderId="6" xfId="0" applyNumberFormat="1" applyFont="1" applyFill="1" applyBorder="1" applyAlignment="1">
      <alignment horizontal="center" vertical="center" wrapText="1" readingOrder="1"/>
    </xf>
    <xf numFmtId="0" fontId="8" fillId="0" borderId="0" xfId="0" applyFont="1" applyAlignment="1">
      <alignment horizontal="center"/>
    </xf>
    <xf numFmtId="178" fontId="8" fillId="0" borderId="1" xfId="0" applyNumberFormat="1" applyFont="1" applyBorder="1" applyAlignment="1">
      <alignment horizontal="center" vertical="center"/>
    </xf>
    <xf numFmtId="178" fontId="8" fillId="0" borderId="1" xfId="0" applyNumberFormat="1" applyFont="1" applyBorder="1" applyAlignment="1">
      <alignment horizontal="center"/>
    </xf>
    <xf numFmtId="0" fontId="9" fillId="0" borderId="0" xfId="2" applyFont="1" applyBorder="1" applyAlignment="1">
      <alignment vertical="center"/>
    </xf>
    <xf numFmtId="0" fontId="9" fillId="0" borderId="0" xfId="0" applyFont="1" applyBorder="1"/>
    <xf numFmtId="176" fontId="8" fillId="0" borderId="1" xfId="0" applyNumberFormat="1" applyFont="1" applyBorder="1" applyAlignment="1">
      <alignment horizontal="center"/>
    </xf>
    <xf numFmtId="9" fontId="8" fillId="0" borderId="1" xfId="1" applyFont="1" applyBorder="1" applyAlignment="1">
      <alignment horizontal="center"/>
    </xf>
    <xf numFmtId="176" fontId="8" fillId="0" borderId="0" xfId="0" applyNumberFormat="1" applyFont="1" applyAlignment="1">
      <alignment horizontal="center"/>
    </xf>
    <xf numFmtId="9" fontId="8" fillId="0" borderId="0" xfId="1" applyFont="1" applyAlignment="1">
      <alignment horizontal="center"/>
    </xf>
    <xf numFmtId="0" fontId="7" fillId="12" borderId="1" xfId="0" applyFont="1" applyFill="1" applyBorder="1" applyAlignment="1">
      <alignment horizontal="center"/>
    </xf>
    <xf numFmtId="176" fontId="22" fillId="12" borderId="1" xfId="0" applyNumberFormat="1" applyFont="1" applyFill="1" applyBorder="1" applyAlignment="1">
      <alignment horizontal="center" vertical="center"/>
    </xf>
    <xf numFmtId="176" fontId="23" fillId="0" borderId="1" xfId="0" applyNumberFormat="1" applyFont="1" applyBorder="1" applyAlignment="1">
      <alignment horizontal="center" vertical="center" wrapText="1"/>
    </xf>
    <xf numFmtId="2" fontId="8" fillId="0" borderId="1" xfId="0" applyNumberFormat="1" applyFont="1" applyBorder="1" applyAlignment="1">
      <alignment horizontal="center"/>
    </xf>
    <xf numFmtId="176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 vertical="center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/>
    </xf>
    <xf numFmtId="179" fontId="20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2" fillId="0" borderId="7" xfId="0" applyFont="1" applyBorder="1" applyAlignment="1">
      <alignment vertical="center" wrapText="1" readingOrder="1"/>
    </xf>
    <xf numFmtId="0" fontId="12" fillId="0" borderId="13" xfId="0" applyFont="1" applyBorder="1" applyAlignment="1">
      <alignment horizontal="center" vertical="center" wrapText="1" readingOrder="1"/>
    </xf>
    <xf numFmtId="180" fontId="12" fillId="17" borderId="6" xfId="0" applyNumberFormat="1" applyFont="1" applyFill="1" applyBorder="1" applyAlignment="1">
      <alignment horizontal="center" vertical="center" wrapText="1" readingOrder="1"/>
    </xf>
    <xf numFmtId="180" fontId="12" fillId="0" borderId="6" xfId="0" applyNumberFormat="1" applyFont="1" applyBorder="1" applyAlignment="1">
      <alignment horizontal="center" vertical="center" wrapText="1" readingOrder="1"/>
    </xf>
    <xf numFmtId="0" fontId="12" fillId="8" borderId="13" xfId="0" applyFont="1" applyFill="1" applyBorder="1" applyAlignment="1">
      <alignment horizontal="center" vertical="center" wrapText="1" readingOrder="1"/>
    </xf>
    <xf numFmtId="0" fontId="12" fillId="0" borderId="13" xfId="0" applyFont="1" applyBorder="1" applyAlignment="1">
      <alignment horizontal="center" vertical="center" readingOrder="1"/>
    </xf>
    <xf numFmtId="0" fontId="12" fillId="8" borderId="13" xfId="0" applyFont="1" applyFill="1" applyBorder="1" applyAlignment="1">
      <alignment horizontal="center" vertical="center" readingOrder="1"/>
    </xf>
    <xf numFmtId="0" fontId="21" fillId="0" borderId="0" xfId="2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/>
    </xf>
    <xf numFmtId="0" fontId="6" fillId="9" borderId="1" xfId="0" applyFont="1" applyFill="1" applyBorder="1" applyAlignment="1">
      <alignment horizontal="center" vertical="center"/>
    </xf>
    <xf numFmtId="0" fontId="6" fillId="11" borderId="24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/>
    </xf>
    <xf numFmtId="0" fontId="8" fillId="0" borderId="25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20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 shrinkToFit="1"/>
    </xf>
    <xf numFmtId="178" fontId="20" fillId="0" borderId="1" xfId="0" applyNumberFormat="1" applyFont="1" applyBorder="1" applyAlignment="1">
      <alignment horizontal="center"/>
    </xf>
    <xf numFmtId="178" fontId="24" fillId="0" borderId="1" xfId="0" applyNumberFormat="1" applyFont="1" applyBorder="1" applyAlignment="1">
      <alignment horizontal="center" vertical="center" shrinkToFit="1"/>
    </xf>
    <xf numFmtId="178" fontId="20" fillId="0" borderId="1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readingOrder="1"/>
    </xf>
    <xf numFmtId="176" fontId="6" fillId="2" borderId="1" xfId="0" applyNumberFormat="1" applyFont="1" applyFill="1" applyBorder="1" applyAlignment="1">
      <alignment horizontal="centerContinuous" vertical="center" wrapText="1"/>
    </xf>
    <xf numFmtId="176" fontId="6" fillId="9" borderId="1" xfId="0" applyNumberFormat="1" applyFont="1" applyFill="1" applyBorder="1" applyAlignment="1">
      <alignment horizontal="centerContinuous" vertical="center" wrapText="1"/>
    </xf>
    <xf numFmtId="176" fontId="6" fillId="10" borderId="1" xfId="0" applyNumberFormat="1" applyFont="1" applyFill="1" applyBorder="1" applyAlignment="1">
      <alignment horizontal="centerContinuous" vertical="center" wrapText="1"/>
    </xf>
    <xf numFmtId="0" fontId="6" fillId="11" borderId="1" xfId="0" applyFont="1" applyFill="1" applyBorder="1" applyAlignment="1">
      <alignment horizontal="centerContinuous" vertical="center"/>
    </xf>
    <xf numFmtId="0" fontId="6" fillId="10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Continuous" vertical="center" wrapText="1"/>
    </xf>
    <xf numFmtId="0" fontId="6" fillId="9" borderId="1" xfId="0" applyFont="1" applyFill="1" applyBorder="1" applyAlignment="1">
      <alignment horizontal="centerContinuous" vertical="center" wrapText="1"/>
    </xf>
    <xf numFmtId="0" fontId="6" fillId="10" borderId="1" xfId="0" applyFont="1" applyFill="1" applyBorder="1" applyAlignment="1">
      <alignment horizontal="centerContinuous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4" fontId="8" fillId="0" borderId="1" xfId="0" applyNumberFormat="1" applyFont="1" applyBorder="1" applyAlignment="1">
      <alignment horizontal="left" vertical="center"/>
    </xf>
    <xf numFmtId="0" fontId="26" fillId="0" borderId="0" xfId="0" applyFont="1"/>
    <xf numFmtId="0" fontId="27" fillId="0" borderId="0" xfId="4" quotePrefix="1" applyNumberFormat="1" applyFont="1" applyAlignment="1">
      <alignment horizontal="center" vertical="center" wrapText="1"/>
    </xf>
    <xf numFmtId="14" fontId="28" fillId="0" borderId="1" xfId="0" applyNumberFormat="1" applyFont="1" applyFill="1" applyBorder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7" fillId="0" borderId="1" xfId="0" applyFont="1" applyBorder="1" applyAlignment="1">
      <alignment horizontal="centerContinuous" vertical="center"/>
    </xf>
    <xf numFmtId="0" fontId="8" fillId="0" borderId="1" xfId="0" applyFont="1" applyBorder="1" applyAlignment="1">
      <alignment horizontal="centerContinuous"/>
    </xf>
    <xf numFmtId="0" fontId="8" fillId="0" borderId="1" xfId="0" applyFont="1" applyBorder="1" applyAlignment="1">
      <alignment horizontal="centerContinuous" vertical="center"/>
    </xf>
    <xf numFmtId="0" fontId="29" fillId="0" borderId="1" xfId="4" quotePrefix="1" applyNumberFormat="1" applyFont="1" applyBorder="1" applyAlignment="1">
      <alignment horizontal="left" vertical="center" wrapText="1"/>
    </xf>
    <xf numFmtId="0" fontId="29" fillId="0" borderId="1" xfId="4" quotePrefix="1" applyNumberFormat="1" applyFont="1" applyBorder="1" applyAlignment="1">
      <alignment horizontal="left" vertical="top" wrapText="1"/>
    </xf>
    <xf numFmtId="0" fontId="30" fillId="0" borderId="1" xfId="0" applyFont="1" applyBorder="1" applyAlignment="1">
      <alignment vertical="center"/>
    </xf>
    <xf numFmtId="0" fontId="8" fillId="0" borderId="0" xfId="0" applyFont="1" applyAlignment="1">
      <alignment horizontal="left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 wrapText="1" readingOrder="1"/>
    </xf>
    <xf numFmtId="0" fontId="16" fillId="0" borderId="8" xfId="0" applyFont="1" applyBorder="1" applyAlignment="1">
      <alignment horizontal="center" vertical="center" wrapText="1" readingOrder="1"/>
    </xf>
    <xf numFmtId="0" fontId="15" fillId="0" borderId="6" xfId="0" applyFont="1" applyBorder="1" applyAlignment="1">
      <alignment horizontal="center" vertical="center" wrapText="1" readingOrder="1"/>
    </xf>
    <xf numFmtId="0" fontId="15" fillId="0" borderId="7" xfId="0" applyFont="1" applyBorder="1" applyAlignment="1">
      <alignment horizontal="center" vertical="center" wrapText="1" readingOrder="1"/>
    </xf>
    <xf numFmtId="0" fontId="15" fillId="0" borderId="8" xfId="0" applyFont="1" applyBorder="1" applyAlignment="1">
      <alignment horizontal="center" vertical="center" wrapText="1" readingOrder="1"/>
    </xf>
    <xf numFmtId="0" fontId="15" fillId="0" borderId="6" xfId="0" applyFont="1" applyBorder="1" applyAlignment="1">
      <alignment horizontal="left" vertical="center" wrapText="1" readingOrder="1"/>
    </xf>
    <xf numFmtId="0" fontId="15" fillId="0" borderId="7" xfId="0" applyFont="1" applyBorder="1" applyAlignment="1">
      <alignment horizontal="left" vertical="center" wrapText="1" readingOrder="1"/>
    </xf>
    <xf numFmtId="0" fontId="15" fillId="0" borderId="8" xfId="0" applyFont="1" applyBorder="1" applyAlignment="1">
      <alignment horizontal="left" vertical="center" wrapText="1" readingOrder="1"/>
    </xf>
    <xf numFmtId="0" fontId="14" fillId="4" borderId="6" xfId="0" applyFont="1" applyFill="1" applyBorder="1" applyAlignment="1">
      <alignment horizontal="left" vertical="center" wrapText="1" readingOrder="1"/>
    </xf>
    <xf numFmtId="0" fontId="14" fillId="4" borderId="7" xfId="0" applyFont="1" applyFill="1" applyBorder="1" applyAlignment="1">
      <alignment horizontal="left" vertical="center" wrapText="1" readingOrder="1"/>
    </xf>
    <xf numFmtId="0" fontId="14" fillId="4" borderId="8" xfId="0" applyFont="1" applyFill="1" applyBorder="1" applyAlignment="1">
      <alignment horizontal="left" vertical="center" wrapText="1" readingOrder="1"/>
    </xf>
    <xf numFmtId="0" fontId="16" fillId="0" borderId="7" xfId="0" applyFont="1" applyBorder="1" applyAlignment="1">
      <alignment horizontal="center" vertical="center" wrapText="1" readingOrder="1"/>
    </xf>
    <xf numFmtId="177" fontId="15" fillId="0" borderId="6" xfId="0" applyNumberFormat="1" applyFont="1" applyBorder="1" applyAlignment="1">
      <alignment horizontal="center" vertical="center" wrapText="1" readingOrder="1"/>
    </xf>
    <xf numFmtId="177" fontId="15" fillId="0" borderId="8" xfId="0" applyNumberFormat="1" applyFont="1" applyBorder="1" applyAlignment="1">
      <alignment horizontal="center" vertical="center" wrapText="1" readingOrder="1"/>
    </xf>
    <xf numFmtId="0" fontId="15" fillId="0" borderId="1" xfId="0" applyFont="1" applyBorder="1" applyAlignment="1">
      <alignment horizontal="center" vertical="center" wrapText="1" readingOrder="1"/>
    </xf>
    <xf numFmtId="0" fontId="15" fillId="0" borderId="2" xfId="0" applyFont="1" applyBorder="1" applyAlignment="1">
      <alignment horizontal="center" vertical="center" wrapText="1" readingOrder="1"/>
    </xf>
    <xf numFmtId="0" fontId="15" fillId="0" borderId="3" xfId="0" applyFont="1" applyBorder="1" applyAlignment="1">
      <alignment horizontal="center" vertical="center" wrapText="1" readingOrder="1"/>
    </xf>
    <xf numFmtId="0" fontId="15" fillId="0" borderId="4" xfId="0" applyFont="1" applyBorder="1" applyAlignment="1">
      <alignment horizontal="center" vertical="center" wrapText="1" readingOrder="1"/>
    </xf>
    <xf numFmtId="0" fontId="15" fillId="0" borderId="13" xfId="0" applyFont="1" applyBorder="1" applyAlignment="1">
      <alignment horizontal="center" vertical="center" wrapText="1" readingOrder="1"/>
    </xf>
    <xf numFmtId="0" fontId="15" fillId="0" borderId="15" xfId="0" applyFont="1" applyBorder="1" applyAlignment="1">
      <alignment horizontal="center" vertical="center" wrapText="1" readingOrder="1"/>
    </xf>
    <xf numFmtId="0" fontId="15" fillId="0" borderId="14" xfId="0" applyFont="1" applyBorder="1" applyAlignment="1">
      <alignment horizontal="center" vertical="center" wrapText="1" readingOrder="1"/>
    </xf>
    <xf numFmtId="0" fontId="16" fillId="5" borderId="9" xfId="0" applyFont="1" applyFill="1" applyBorder="1" applyAlignment="1">
      <alignment horizontal="center" vertical="center" wrapText="1" readingOrder="1"/>
    </xf>
    <xf numFmtId="0" fontId="16" fillId="5" borderId="10" xfId="0" applyFont="1" applyFill="1" applyBorder="1" applyAlignment="1">
      <alignment horizontal="center" vertical="center" wrapText="1" readingOrder="1"/>
    </xf>
    <xf numFmtId="0" fontId="16" fillId="5" borderId="11" xfId="0" applyFont="1" applyFill="1" applyBorder="1" applyAlignment="1">
      <alignment horizontal="center" vertical="center" wrapText="1" readingOrder="1"/>
    </xf>
    <xf numFmtId="0" fontId="16" fillId="5" borderId="12" xfId="0" applyFont="1" applyFill="1" applyBorder="1" applyAlignment="1">
      <alignment horizontal="center" vertical="center" wrapText="1" readingOrder="1"/>
    </xf>
    <xf numFmtId="0" fontId="16" fillId="5" borderId="13" xfId="0" applyFont="1" applyFill="1" applyBorder="1" applyAlignment="1">
      <alignment horizontal="center" vertical="center" wrapText="1" readingOrder="1"/>
    </xf>
    <xf numFmtId="0" fontId="16" fillId="5" borderId="14" xfId="0" applyFont="1" applyFill="1" applyBorder="1" applyAlignment="1">
      <alignment horizontal="center" vertical="center" wrapText="1" readingOrder="1"/>
    </xf>
    <xf numFmtId="0" fontId="16" fillId="5" borderId="6" xfId="0" applyFont="1" applyFill="1" applyBorder="1" applyAlignment="1">
      <alignment horizontal="center" vertical="center" wrapText="1" readingOrder="1"/>
    </xf>
    <xf numFmtId="0" fontId="16" fillId="5" borderId="8" xfId="0" applyFont="1" applyFill="1" applyBorder="1" applyAlignment="1">
      <alignment horizontal="center" vertical="center" wrapText="1" readingOrder="1"/>
    </xf>
    <xf numFmtId="2" fontId="15" fillId="0" borderId="6" xfId="0" applyNumberFormat="1" applyFont="1" applyBorder="1" applyAlignment="1">
      <alignment horizontal="center" vertical="center" wrapText="1" readingOrder="1"/>
    </xf>
    <xf numFmtId="2" fontId="15" fillId="0" borderId="8" xfId="0" applyNumberFormat="1" applyFont="1" applyBorder="1" applyAlignment="1">
      <alignment horizontal="center" vertical="center" wrapText="1" readingOrder="1"/>
    </xf>
    <xf numFmtId="2" fontId="15" fillId="0" borderId="13" xfId="0" applyNumberFormat="1" applyFont="1" applyBorder="1" applyAlignment="1">
      <alignment horizontal="center" vertical="center" wrapText="1" readingOrder="1"/>
    </xf>
    <xf numFmtId="2" fontId="15" fillId="0" borderId="15" xfId="0" applyNumberFormat="1" applyFont="1" applyBorder="1" applyAlignment="1">
      <alignment horizontal="center" vertical="center" wrapText="1" readingOrder="1"/>
    </xf>
    <xf numFmtId="2" fontId="15" fillId="0" borderId="14" xfId="0" applyNumberFormat="1" applyFont="1" applyBorder="1" applyAlignment="1">
      <alignment horizontal="center" vertical="center" wrapText="1" readingOrder="1"/>
    </xf>
    <xf numFmtId="0" fontId="15" fillId="0" borderId="23" xfId="0" applyFont="1" applyBorder="1" applyAlignment="1">
      <alignment horizontal="center" vertical="center" wrapText="1" readingOrder="1"/>
    </xf>
    <xf numFmtId="0" fontId="12" fillId="6" borderId="1" xfId="0" applyFont="1" applyFill="1" applyBorder="1" applyAlignment="1">
      <alignment horizontal="center" vertical="center" wrapText="1" readingOrder="1"/>
    </xf>
    <xf numFmtId="0" fontId="12" fillId="0" borderId="1" xfId="0" applyFont="1" applyBorder="1" applyAlignment="1">
      <alignment horizontal="left" vertical="center" wrapText="1" readingOrder="1"/>
    </xf>
    <xf numFmtId="0" fontId="13" fillId="6" borderId="1" xfId="0" applyFont="1" applyFill="1" applyBorder="1" applyAlignment="1">
      <alignment horizontal="left" vertical="center" wrapText="1" readingOrder="1"/>
    </xf>
    <xf numFmtId="0" fontId="12" fillId="0" borderId="7" xfId="0" applyFont="1" applyFill="1" applyBorder="1" applyAlignment="1">
      <alignment vertical="center" wrapText="1" readingOrder="1"/>
    </xf>
    <xf numFmtId="0" fontId="12" fillId="0" borderId="8" xfId="0" applyFont="1" applyFill="1" applyBorder="1" applyAlignment="1">
      <alignment vertical="center" wrapText="1" readingOrder="1"/>
    </xf>
    <xf numFmtId="0" fontId="13" fillId="0" borderId="6" xfId="0" applyFont="1" applyBorder="1" applyAlignment="1">
      <alignment horizontal="center" vertical="center" wrapText="1" readingOrder="1"/>
    </xf>
    <xf numFmtId="0" fontId="13" fillId="0" borderId="7" xfId="0" applyFont="1" applyBorder="1" applyAlignment="1">
      <alignment horizontal="center" vertical="center" wrapText="1" readingOrder="1"/>
    </xf>
    <xf numFmtId="0" fontId="13" fillId="0" borderId="8" xfId="0" applyFont="1" applyBorder="1" applyAlignment="1">
      <alignment horizontal="center" vertical="center" wrapText="1" readingOrder="1"/>
    </xf>
    <xf numFmtId="0" fontId="12" fillId="8" borderId="9" xfId="0" applyFont="1" applyFill="1" applyBorder="1" applyAlignment="1">
      <alignment horizontal="center" vertical="center" wrapText="1" readingOrder="1"/>
    </xf>
    <xf numFmtId="0" fontId="12" fillId="8" borderId="10" xfId="0" applyFont="1" applyFill="1" applyBorder="1" applyAlignment="1">
      <alignment horizontal="center" vertical="center" wrapText="1" readingOrder="1"/>
    </xf>
    <xf numFmtId="0" fontId="13" fillId="0" borderId="9" xfId="0" applyFont="1" applyBorder="1" applyAlignment="1">
      <alignment horizontal="center" vertical="center" wrapText="1" readingOrder="1"/>
    </xf>
    <xf numFmtId="0" fontId="13" fillId="0" borderId="18" xfId="0" applyFont="1" applyBorder="1" applyAlignment="1">
      <alignment horizontal="center" vertical="center" wrapText="1" readingOrder="1"/>
    </xf>
    <xf numFmtId="0" fontId="13" fillId="0" borderId="16" xfId="0" applyFont="1" applyBorder="1" applyAlignment="1">
      <alignment horizontal="center" vertical="center" wrapText="1" readingOrder="1"/>
    </xf>
    <xf numFmtId="0" fontId="13" fillId="0" borderId="0" xfId="0" applyFont="1" applyBorder="1" applyAlignment="1">
      <alignment horizontal="center" vertical="center" wrapText="1" readingOrder="1"/>
    </xf>
    <xf numFmtId="0" fontId="13" fillId="0" borderId="11" xfId="0" applyFont="1" applyBorder="1" applyAlignment="1">
      <alignment horizontal="center" vertical="center" wrapText="1" readingOrder="1"/>
    </xf>
    <xf numFmtId="0" fontId="13" fillId="0" borderId="19" xfId="0" applyFont="1" applyBorder="1" applyAlignment="1">
      <alignment horizontal="center" vertical="center" wrapText="1" readingOrder="1"/>
    </xf>
    <xf numFmtId="0" fontId="12" fillId="0" borderId="20" xfId="0" applyFont="1" applyBorder="1" applyAlignment="1">
      <alignment horizontal="left" vertical="center" wrapText="1" readingOrder="1"/>
    </xf>
    <xf numFmtId="0" fontId="12" fillId="0" borderId="21" xfId="0" applyFont="1" applyBorder="1" applyAlignment="1">
      <alignment horizontal="left" vertical="center" wrapText="1" readingOrder="1"/>
    </xf>
    <xf numFmtId="0" fontId="12" fillId="0" borderId="22" xfId="0" applyFont="1" applyBorder="1" applyAlignment="1">
      <alignment horizontal="left" vertical="center" wrapText="1" readingOrder="1"/>
    </xf>
    <xf numFmtId="0" fontId="12" fillId="0" borderId="9" xfId="0" applyFont="1" applyBorder="1" applyAlignment="1">
      <alignment horizontal="center" vertical="center" readingOrder="1"/>
    </xf>
    <xf numFmtId="0" fontId="12" fillId="0" borderId="10" xfId="0" applyFont="1" applyBorder="1" applyAlignment="1">
      <alignment horizontal="center" vertical="center" readingOrder="1"/>
    </xf>
    <xf numFmtId="176" fontId="12" fillId="0" borderId="1" xfId="0" applyNumberFormat="1" applyFont="1" applyBorder="1" applyAlignment="1">
      <alignment horizontal="center" vertical="center" wrapText="1" readingOrder="1"/>
    </xf>
    <xf numFmtId="0" fontId="11" fillId="4" borderId="11" xfId="0" applyFont="1" applyFill="1" applyBorder="1" applyAlignment="1">
      <alignment horizontal="center" vertical="center" wrapText="1" readingOrder="1"/>
    </xf>
    <xf numFmtId="0" fontId="11" fillId="4" borderId="19" xfId="0" applyFont="1" applyFill="1" applyBorder="1" applyAlignment="1">
      <alignment horizontal="center" vertical="center" wrapText="1" readingOrder="1"/>
    </xf>
    <xf numFmtId="0" fontId="11" fillId="4" borderId="8" xfId="0" applyFont="1" applyFill="1" applyBorder="1" applyAlignment="1">
      <alignment horizontal="center" vertical="center" wrapText="1" readingOrder="1"/>
    </xf>
    <xf numFmtId="0" fontId="11" fillId="4" borderId="7" xfId="0" applyFont="1" applyFill="1" applyBorder="1" applyAlignment="1">
      <alignment horizontal="center" vertical="center" wrapText="1" readingOrder="1"/>
    </xf>
    <xf numFmtId="0" fontId="13" fillId="6" borderId="9" xfId="0" applyFont="1" applyFill="1" applyBorder="1" applyAlignment="1">
      <alignment horizontal="center" vertical="center" wrapText="1" readingOrder="1"/>
    </xf>
    <xf numFmtId="0" fontId="13" fillId="6" borderId="18" xfId="0" applyFont="1" applyFill="1" applyBorder="1" applyAlignment="1">
      <alignment horizontal="center" vertical="center" wrapText="1" readingOrder="1"/>
    </xf>
    <xf numFmtId="0" fontId="13" fillId="6" borderId="10" xfId="0" applyFont="1" applyFill="1" applyBorder="1" applyAlignment="1">
      <alignment horizontal="center" vertical="center" wrapText="1" readingOrder="1"/>
    </xf>
    <xf numFmtId="0" fontId="12" fillId="0" borderId="1" xfId="0" applyFont="1" applyBorder="1" applyAlignment="1">
      <alignment horizontal="center" vertical="center" wrapText="1" readingOrder="1"/>
    </xf>
    <xf numFmtId="0" fontId="12" fillId="0" borderId="6" xfId="0" applyFont="1" applyBorder="1" applyAlignment="1">
      <alignment horizontal="center" vertical="center" wrapText="1" readingOrder="1"/>
    </xf>
    <xf numFmtId="0" fontId="12" fillId="0" borderId="8" xfId="0" applyFont="1" applyBorder="1" applyAlignment="1">
      <alignment horizontal="center" vertical="center" wrapText="1" readingOrder="1"/>
    </xf>
    <xf numFmtId="0" fontId="12" fillId="0" borderId="7" xfId="0" applyFont="1" applyBorder="1" applyAlignment="1">
      <alignment horizontal="center" vertical="center" wrapText="1" readingOrder="1"/>
    </xf>
    <xf numFmtId="0" fontId="11" fillId="4" borderId="0" xfId="0" applyFont="1" applyFill="1" applyBorder="1" applyAlignment="1">
      <alignment horizontal="center" vertical="center" wrapText="1" readingOrder="1"/>
    </xf>
    <xf numFmtId="0" fontId="11" fillId="4" borderId="12" xfId="0" applyFont="1" applyFill="1" applyBorder="1" applyAlignment="1">
      <alignment horizontal="center" vertical="center" wrapText="1" readingOrder="1"/>
    </xf>
    <xf numFmtId="0" fontId="13" fillId="7" borderId="6" xfId="0" applyFont="1" applyFill="1" applyBorder="1" applyAlignment="1">
      <alignment horizontal="center" vertical="center" wrapText="1" readingOrder="1"/>
    </xf>
    <xf numFmtId="0" fontId="13" fillId="7" borderId="7" xfId="0" applyFont="1" applyFill="1" applyBorder="1" applyAlignment="1">
      <alignment horizontal="center" vertical="center" wrapText="1" readingOrder="1"/>
    </xf>
    <xf numFmtId="0" fontId="13" fillId="7" borderId="8" xfId="0" applyFont="1" applyFill="1" applyBorder="1" applyAlignment="1">
      <alignment horizontal="center" vertical="center" wrapText="1" readingOrder="1"/>
    </xf>
    <xf numFmtId="0" fontId="11" fillId="4" borderId="9" xfId="0" applyFont="1" applyFill="1" applyBorder="1" applyAlignment="1">
      <alignment horizontal="center" vertical="center" wrapText="1" readingOrder="1"/>
    </xf>
    <xf numFmtId="0" fontId="11" fillId="4" borderId="18" xfId="0" applyFont="1" applyFill="1" applyBorder="1" applyAlignment="1">
      <alignment horizontal="center" vertical="center" wrapText="1" readingOrder="1"/>
    </xf>
    <xf numFmtId="177" fontId="12" fillId="0" borderId="7" xfId="0" applyNumberFormat="1" applyFont="1" applyBorder="1" applyAlignment="1">
      <alignment horizontal="center" vertical="center" wrapText="1" readingOrder="1"/>
    </xf>
    <xf numFmtId="177" fontId="12" fillId="0" borderId="8" xfId="0" applyNumberFormat="1" applyFont="1" applyBorder="1" applyAlignment="1">
      <alignment horizontal="center" vertical="center" wrapText="1" readingOrder="1"/>
    </xf>
    <xf numFmtId="0" fontId="17" fillId="0" borderId="1" xfId="0" applyFont="1" applyBorder="1" applyAlignment="1">
      <alignment vertical="center" wrapText="1"/>
    </xf>
    <xf numFmtId="0" fontId="12" fillId="0" borderId="9" xfId="0" applyFont="1" applyBorder="1" applyAlignment="1">
      <alignment horizontal="center" vertical="center" wrapText="1" readingOrder="1"/>
    </xf>
    <xf numFmtId="0" fontId="12" fillId="0" borderId="18" xfId="0" applyFont="1" applyBorder="1" applyAlignment="1">
      <alignment horizontal="center" vertical="center" wrapText="1" readingOrder="1"/>
    </xf>
    <xf numFmtId="0" fontId="12" fillId="0" borderId="10" xfId="0" applyFont="1" applyBorder="1" applyAlignment="1">
      <alignment horizontal="center" vertical="center" wrapText="1" readingOrder="1"/>
    </xf>
    <xf numFmtId="0" fontId="12" fillId="0" borderId="16" xfId="0" applyFont="1" applyBorder="1" applyAlignment="1">
      <alignment horizontal="center" vertical="center" wrapText="1" readingOrder="1"/>
    </xf>
    <xf numFmtId="0" fontId="12" fillId="0" borderId="0" xfId="0" applyFont="1" applyBorder="1" applyAlignment="1">
      <alignment horizontal="center" vertical="center" wrapText="1" readingOrder="1"/>
    </xf>
    <xf numFmtId="0" fontId="12" fillId="0" borderId="17" xfId="0" applyFont="1" applyBorder="1" applyAlignment="1">
      <alignment horizontal="center" vertical="center" wrapText="1" readingOrder="1"/>
    </xf>
    <xf numFmtId="0" fontId="12" fillId="0" borderId="11" xfId="0" applyFont="1" applyBorder="1" applyAlignment="1">
      <alignment horizontal="center" vertical="center" wrapText="1" readingOrder="1"/>
    </xf>
    <xf numFmtId="0" fontId="12" fillId="0" borderId="19" xfId="0" applyFont="1" applyBorder="1" applyAlignment="1">
      <alignment horizontal="center" vertical="center" wrapText="1" readingOrder="1"/>
    </xf>
    <xf numFmtId="0" fontId="12" fillId="0" borderId="12" xfId="0" applyFont="1" applyBorder="1" applyAlignment="1">
      <alignment horizontal="center" vertical="center" wrapText="1" readingOrder="1"/>
    </xf>
  </cellXfs>
  <cellStyles count="5">
    <cellStyle name="百分比" xfId="1" builtinId="5"/>
    <cellStyle name="常规" xfId="0" builtinId="0"/>
    <cellStyle name="常规 2" xfId="2" xr:uid="{B1141589-8328-408A-BF77-D321971643F9}"/>
    <cellStyle name="常规 3" xfId="3" xr:uid="{4E9F7B32-6275-4380-A65C-3E825B0438B1}"/>
    <cellStyle name="超链接" xfId="4" builtin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942C4-408E-4897-B708-E0E5B9A84375}">
  <sheetPr codeName="Sheet1"/>
  <dimension ref="A1:D11"/>
  <sheetViews>
    <sheetView showGridLines="0" workbookViewId="0">
      <selection activeCell="B10" sqref="B10"/>
    </sheetView>
  </sheetViews>
  <sheetFormatPr defaultRowHeight="16.5" x14ac:dyDescent="0.3"/>
  <cols>
    <col min="1" max="1" width="25.375" style="38" bestFit="1" customWidth="1"/>
    <col min="2" max="2" width="27" style="38" customWidth="1"/>
    <col min="3" max="3" width="77.5" style="38" bestFit="1" customWidth="1"/>
    <col min="4" max="16384" width="9" style="38"/>
  </cols>
  <sheetData>
    <row r="1" spans="1:4" ht="17.25" x14ac:dyDescent="0.3">
      <c r="A1" s="13" t="s">
        <v>867</v>
      </c>
      <c r="B1" s="13" t="s">
        <v>868</v>
      </c>
      <c r="C1" s="13" t="s">
        <v>869</v>
      </c>
      <c r="D1" s="115">
        <f>XET1</f>
        <v>0</v>
      </c>
    </row>
    <row r="2" spans="1:4" x14ac:dyDescent="0.3">
      <c r="A2" s="71" t="s">
        <v>870</v>
      </c>
      <c r="B2" s="122" t="s">
        <v>870</v>
      </c>
      <c r="C2" s="12" t="s">
        <v>879</v>
      </c>
    </row>
    <row r="3" spans="1:4" x14ac:dyDescent="0.3">
      <c r="A3" s="71" t="s">
        <v>871</v>
      </c>
      <c r="B3" s="123" t="s">
        <v>896</v>
      </c>
      <c r="C3" s="12" t="s">
        <v>880</v>
      </c>
    </row>
    <row r="4" spans="1:4" x14ac:dyDescent="0.3">
      <c r="A4" s="71" t="s">
        <v>872</v>
      </c>
      <c r="B4" s="122" t="s">
        <v>872</v>
      </c>
      <c r="C4" s="12" t="s">
        <v>881</v>
      </c>
    </row>
    <row r="5" spans="1:4" x14ac:dyDescent="0.3">
      <c r="A5" s="71" t="s">
        <v>876</v>
      </c>
      <c r="B5" s="122" t="s">
        <v>876</v>
      </c>
      <c r="C5" s="12" t="s">
        <v>882</v>
      </c>
    </row>
    <row r="6" spans="1:4" ht="33" x14ac:dyDescent="0.3">
      <c r="A6" s="71" t="s">
        <v>873</v>
      </c>
      <c r="B6" s="122" t="s">
        <v>873</v>
      </c>
      <c r="C6" s="4" t="s">
        <v>885</v>
      </c>
      <c r="D6" s="111"/>
    </row>
    <row r="7" spans="1:4" x14ac:dyDescent="0.3">
      <c r="A7" s="71" t="s">
        <v>874</v>
      </c>
      <c r="B7" s="123" t="s">
        <v>894</v>
      </c>
      <c r="C7" s="124" t="s">
        <v>883</v>
      </c>
    </row>
    <row r="8" spans="1:4" ht="33" x14ac:dyDescent="0.3">
      <c r="A8" s="114" t="s">
        <v>893</v>
      </c>
      <c r="B8" s="122" t="s">
        <v>895</v>
      </c>
      <c r="C8" s="4" t="s">
        <v>884</v>
      </c>
    </row>
    <row r="9" spans="1:4" x14ac:dyDescent="0.3">
      <c r="A9" s="71" t="s">
        <v>875</v>
      </c>
      <c r="B9" s="122" t="s">
        <v>875</v>
      </c>
      <c r="C9" s="12" t="s">
        <v>879</v>
      </c>
    </row>
    <row r="10" spans="1:4" x14ac:dyDescent="0.3">
      <c r="A10" s="71" t="s">
        <v>877</v>
      </c>
      <c r="B10" s="122" t="s">
        <v>877</v>
      </c>
      <c r="C10" s="12" t="s">
        <v>881</v>
      </c>
    </row>
    <row r="11" spans="1:4" x14ac:dyDescent="0.3">
      <c r="A11" s="71" t="s">
        <v>878</v>
      </c>
      <c r="B11" s="122" t="s">
        <v>878</v>
      </c>
      <c r="C11" s="12" t="s">
        <v>886</v>
      </c>
    </row>
  </sheetData>
  <phoneticPr fontId="3" type="noConversion"/>
  <hyperlinks>
    <hyperlink ref="B10" location="'2-个人报告'!D2" display="'2-个人报告'!D2" xr:uid="{6EF1699D-6AFF-411E-8DD3-1CDAE6DF528C}"/>
    <hyperlink ref="B4" location="'1-2-2 关键绩效'!J3:J418" display="'1-2-2 关键绩效'!J3:J418" xr:uid="{95C01674-C980-4C9B-9461-EBF1CD22F491}"/>
    <hyperlink ref="B9" location="'1-6 风险因素'!E2:E489" display="'1-6 风险因素'!E2:E489" xr:uid="{54616C68-DAEA-41A6-8973-89EC01BD1E41}"/>
    <hyperlink ref="B11" location="'3-团队报告'!F2" display="'3-团队报告'!F2" xr:uid="{0FF053F2-95A8-4A19-89A8-3E7ADB8E5F4C}"/>
    <hyperlink ref="B2" location="'1-1 基本信息'!L2:P86" display="'1-1 基本信息'!L2:P86" xr:uid="{EFB37CE9-385D-450D-9E5D-E0C354D24A21}"/>
    <hyperlink ref="B5" location="'1-3 关键能力得分'!B2:C444" display="'1-3 关键能力得分'!B2:C444" xr:uid="{503123F4-54AB-449F-8A0E-2AA3096CB51F}"/>
    <hyperlink ref="B6" location="'1-4 关键专业'!J15:J558" display="'1-4 关键专业'!J15:J558" xr:uid="{6ACB980B-19FE-4710-8A44-8CFD3655DADD}"/>
    <hyperlink ref="B3" location="'1-2-1 绩效数据'!J1" display="'1-2-1 绩效数据'!J1" xr:uid="{8B733B61-7B57-4AD6-8FE6-3F06D7A264FD}"/>
    <hyperlink ref="B7" location="'1-5-1 关键经历积分对应表'!I1" display="'1-5-1 关键经历积分对应表'!I1" xr:uid="{3D042D11-55FF-489B-AF2D-1F318111CF8A}"/>
    <hyperlink ref="B8" location="'1-5-2 关键经历得分表'!K1" display="'1-5-2 关键经历得分表'!K1" xr:uid="{5626FDB6-7FF2-4156-BD57-E0508560741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239"/>
  <sheetViews>
    <sheetView workbookViewId="0">
      <selection activeCell="C3" sqref="C3"/>
    </sheetView>
  </sheetViews>
  <sheetFormatPr defaultRowHeight="16.5" x14ac:dyDescent="0.3"/>
  <cols>
    <col min="1" max="1" width="9" style="52"/>
    <col min="2" max="2" width="9" style="6"/>
    <col min="3" max="3" width="12.5" style="7" bestFit="1" customWidth="1"/>
    <col min="4" max="4" width="11.25" style="7" bestFit="1" customWidth="1"/>
    <col min="5" max="5" width="12.5" style="7" bestFit="1" customWidth="1"/>
    <col min="6" max="6" width="11.25" style="7" customWidth="1"/>
    <col min="7" max="7" width="22.875" style="52" customWidth="1"/>
    <col min="8" max="8" width="15.75" style="52" customWidth="1"/>
    <col min="9" max="10" width="9" style="52"/>
    <col min="11" max="11" width="18" style="52" customWidth="1"/>
    <col min="12" max="16" width="0" style="52" hidden="1" customWidth="1"/>
    <col min="17" max="17" width="9" style="38"/>
    <col min="18" max="16384" width="9" style="52"/>
  </cols>
  <sheetData>
    <row r="1" spans="1:17" ht="36" x14ac:dyDescent="0.3">
      <c r="A1" s="116" t="s">
        <v>897</v>
      </c>
      <c r="B1" s="12" t="s">
        <v>879</v>
      </c>
      <c r="C1" s="117"/>
      <c r="D1" s="117"/>
      <c r="E1" s="117"/>
      <c r="F1" s="117"/>
      <c r="G1" s="117"/>
      <c r="H1" s="117"/>
      <c r="I1" s="117"/>
      <c r="J1" s="117"/>
      <c r="K1" s="117"/>
      <c r="L1" s="119" t="s">
        <v>899</v>
      </c>
      <c r="M1" s="120"/>
      <c r="N1" s="120"/>
      <c r="O1" s="120"/>
      <c r="P1" s="120"/>
    </row>
    <row r="2" spans="1:17" s="37" customFormat="1" ht="75" x14ac:dyDescent="0.2">
      <c r="A2" s="13" t="s">
        <v>1</v>
      </c>
      <c r="B2" s="13" t="s">
        <v>143</v>
      </c>
      <c r="C2" s="35" t="s">
        <v>2</v>
      </c>
      <c r="D2" s="36" t="s">
        <v>887</v>
      </c>
      <c r="E2" s="13" t="s">
        <v>467</v>
      </c>
      <c r="F2" s="13" t="s">
        <v>400</v>
      </c>
      <c r="G2" s="24" t="s">
        <v>3</v>
      </c>
      <c r="H2" s="24" t="s">
        <v>678</v>
      </c>
      <c r="I2" s="13" t="s">
        <v>28</v>
      </c>
      <c r="J2" s="13" t="s">
        <v>529</v>
      </c>
      <c r="K2" s="13" t="s">
        <v>402</v>
      </c>
      <c r="L2" s="17" t="s">
        <v>22</v>
      </c>
      <c r="M2" s="17" t="s">
        <v>23</v>
      </c>
      <c r="N2" s="17" t="s">
        <v>24</v>
      </c>
      <c r="O2" s="17" t="s">
        <v>25</v>
      </c>
      <c r="P2" s="17" t="s">
        <v>26</v>
      </c>
    </row>
    <row r="3" spans="1:17" x14ac:dyDescent="0.3">
      <c r="A3" s="8" t="s">
        <v>92</v>
      </c>
      <c r="B3" s="3" t="s">
        <v>42</v>
      </c>
      <c r="C3" s="53">
        <v>25934</v>
      </c>
      <c r="D3" s="10">
        <f ca="1">(TODAY()-C3)/365</f>
        <v>50.983561643835614</v>
      </c>
      <c r="E3" s="54">
        <v>40940</v>
      </c>
      <c r="F3" s="10" t="s">
        <v>569</v>
      </c>
      <c r="G3" s="8" t="s">
        <v>469</v>
      </c>
      <c r="H3" s="8" t="s">
        <v>564</v>
      </c>
      <c r="I3" s="8" t="s">
        <v>533</v>
      </c>
      <c r="J3" s="8" t="s">
        <v>530</v>
      </c>
      <c r="K3" s="8" t="s">
        <v>559</v>
      </c>
      <c r="L3" s="8" t="str">
        <f>IFERROR((IF(VLOOKUP($A3,'1-6 风险因素'!$A$3:$J$104,5,0)&gt;8,"高风险","")),"")</f>
        <v>高风险</v>
      </c>
      <c r="M3" s="8" t="str">
        <f>IFERROR((IF(VLOOKUP($A3,'1-6 风险因素'!$A$3:$J$104,6,0)&gt;8,"高风险","")),"")</f>
        <v/>
      </c>
      <c r="N3" s="8" t="str">
        <f>IFERROR((IF(VLOOKUP($A3,'1-6 风险因素'!$A$3:$J$104,7,0)&gt;8,"高风险","")),"")</f>
        <v/>
      </c>
      <c r="O3" s="8" t="str">
        <f>IFERROR((IF(VLOOKUP($A3,'1-6 风险因素'!$A$3:$J$104,8,0)&gt;8,"高风险","")),"")</f>
        <v/>
      </c>
      <c r="P3" s="8" t="str">
        <f>IFERROR((IF(VLOOKUP($A3,'1-6 风险因素'!$A$3:$J$104,9,0)&gt;8,"高风险","")),"")</f>
        <v/>
      </c>
      <c r="Q3" s="52"/>
    </row>
    <row r="4" spans="1:17" x14ac:dyDescent="0.3">
      <c r="A4" s="8" t="s">
        <v>88</v>
      </c>
      <c r="B4" s="3" t="s">
        <v>42</v>
      </c>
      <c r="C4" s="53">
        <v>26146</v>
      </c>
      <c r="D4" s="10">
        <f t="shared" ref="D4:D67" ca="1" si="0">(TODAY()-C4)/365</f>
        <v>50.402739726027399</v>
      </c>
      <c r="E4" s="54">
        <v>41365</v>
      </c>
      <c r="F4" s="10" t="s">
        <v>570</v>
      </c>
      <c r="G4" s="8" t="s">
        <v>470</v>
      </c>
      <c r="H4" s="8" t="s">
        <v>564</v>
      </c>
      <c r="I4" s="8" t="s">
        <v>533</v>
      </c>
      <c r="J4" s="8" t="s">
        <v>530</v>
      </c>
      <c r="K4" s="8" t="s">
        <v>560</v>
      </c>
      <c r="L4" s="8" t="str">
        <f>IFERROR((IF(VLOOKUP($A4,'1-6 风险因素'!$A$3:$J$104,5,0)&gt;8,"高风险","")),"")</f>
        <v>高风险</v>
      </c>
      <c r="M4" s="8" t="str">
        <f>IFERROR((IF(VLOOKUP($A4,'1-6 风险因素'!$A$3:$J$104,6,0)&gt;8,"高风险","")),"")</f>
        <v/>
      </c>
      <c r="N4" s="8" t="str">
        <f>IFERROR((IF(VLOOKUP($A4,'1-6 风险因素'!$A$3:$J$104,7,0)&gt;8,"高风险","")),"")</f>
        <v/>
      </c>
      <c r="O4" s="8" t="str">
        <f>IFERROR((IF(VLOOKUP($A4,'1-6 风险因素'!$A$3:$J$104,8,0)&gt;8,"高风险","")),"")</f>
        <v/>
      </c>
      <c r="P4" s="8" t="str">
        <f>IFERROR((IF(VLOOKUP($A4,'1-6 风险因素'!$A$3:$J$104,9,0)&gt;8,"高风险","")),"")</f>
        <v/>
      </c>
      <c r="Q4" s="52"/>
    </row>
    <row r="5" spans="1:17" x14ac:dyDescent="0.3">
      <c r="A5" s="8" t="s">
        <v>103</v>
      </c>
      <c r="B5" s="3" t="s">
        <v>42</v>
      </c>
      <c r="C5" s="53">
        <v>27181</v>
      </c>
      <c r="D5" s="10">
        <f t="shared" ca="1" si="0"/>
        <v>47.56712328767123</v>
      </c>
      <c r="E5" s="54">
        <v>42339</v>
      </c>
      <c r="F5" s="10" t="s">
        <v>571</v>
      </c>
      <c r="G5" s="8" t="s">
        <v>471</v>
      </c>
      <c r="H5" s="8" t="s">
        <v>564</v>
      </c>
      <c r="I5" s="8" t="s">
        <v>533</v>
      </c>
      <c r="J5" s="8" t="s">
        <v>530</v>
      </c>
      <c r="K5" s="8" t="s">
        <v>561</v>
      </c>
      <c r="L5" s="8" t="str">
        <f>IFERROR((IF(VLOOKUP($A5,'1-6 风险因素'!$A$3:$J$104,5,0)&gt;8,"高风险","")),"")</f>
        <v>高风险</v>
      </c>
      <c r="M5" s="8" t="str">
        <f>IFERROR((IF(VLOOKUP($A5,'1-6 风险因素'!$A$3:$J$104,6,0)&gt;8,"高风险","")),"")</f>
        <v/>
      </c>
      <c r="N5" s="8" t="str">
        <f>IFERROR((IF(VLOOKUP($A5,'1-6 风险因素'!$A$3:$J$104,7,0)&gt;8,"高风险","")),"")</f>
        <v/>
      </c>
      <c r="O5" s="8" t="str">
        <f>IFERROR((IF(VLOOKUP($A5,'1-6 风险因素'!$A$3:$J$104,8,0)&gt;8,"高风险","")),"")</f>
        <v/>
      </c>
      <c r="P5" s="8" t="str">
        <f>IFERROR((IF(VLOOKUP($A5,'1-6 风险因素'!$A$3:$J$104,9,0)&gt;8,"高风险","")),"")</f>
        <v/>
      </c>
      <c r="Q5" s="52"/>
    </row>
    <row r="6" spans="1:17" x14ac:dyDescent="0.3">
      <c r="A6" s="8" t="s">
        <v>112</v>
      </c>
      <c r="B6" s="3" t="s">
        <v>42</v>
      </c>
      <c r="C6" s="53">
        <v>25263</v>
      </c>
      <c r="D6" s="10">
        <f t="shared" ca="1" si="0"/>
        <v>52.821917808219176</v>
      </c>
      <c r="E6" s="54">
        <v>43160</v>
      </c>
      <c r="F6" s="10" t="s">
        <v>569</v>
      </c>
      <c r="G6" s="8" t="s">
        <v>472</v>
      </c>
      <c r="H6" s="8" t="s">
        <v>564</v>
      </c>
      <c r="I6" s="8" t="s">
        <v>533</v>
      </c>
      <c r="J6" s="8" t="s">
        <v>530</v>
      </c>
      <c r="K6" s="8" t="s">
        <v>537</v>
      </c>
      <c r="L6" s="8" t="str">
        <f>IFERROR((IF(VLOOKUP($A6,'1-6 风险因素'!$A$3:$J$104,5,0)&gt;8,"高风险","")),"")</f>
        <v>高风险</v>
      </c>
      <c r="M6" s="8" t="str">
        <f>IFERROR((IF(VLOOKUP($A6,'1-6 风险因素'!$A$3:$J$104,6,0)&gt;8,"高风险","")),"")</f>
        <v/>
      </c>
      <c r="N6" s="8" t="str">
        <f>IFERROR((IF(VLOOKUP($A6,'1-6 风险因素'!$A$3:$J$104,7,0)&gt;8,"高风险","")),"")</f>
        <v/>
      </c>
      <c r="O6" s="8" t="str">
        <f>IFERROR((IF(VLOOKUP($A6,'1-6 风险因素'!$A$3:$J$104,8,0)&gt;8,"高风险","")),"")</f>
        <v/>
      </c>
      <c r="P6" s="8" t="str">
        <f>IFERROR((IF(VLOOKUP($A6,'1-6 风险因素'!$A$3:$J$104,9,0)&gt;8,"高风险","")),"")</f>
        <v/>
      </c>
      <c r="Q6" s="52"/>
    </row>
    <row r="7" spans="1:17" x14ac:dyDescent="0.3">
      <c r="A7" s="8" t="s">
        <v>109</v>
      </c>
      <c r="B7" s="3" t="s">
        <v>42</v>
      </c>
      <c r="C7" s="53">
        <v>25355</v>
      </c>
      <c r="D7" s="10">
        <f t="shared" ca="1" si="0"/>
        <v>52.56986301369863</v>
      </c>
      <c r="E7" s="54">
        <v>43466</v>
      </c>
      <c r="F7" s="10" t="s">
        <v>569</v>
      </c>
      <c r="G7" s="8" t="s">
        <v>473</v>
      </c>
      <c r="H7" s="8" t="s">
        <v>564</v>
      </c>
      <c r="I7" s="8" t="s">
        <v>533</v>
      </c>
      <c r="J7" s="8" t="s">
        <v>530</v>
      </c>
      <c r="K7" s="8" t="s">
        <v>557</v>
      </c>
      <c r="L7" s="8" t="str">
        <f>IFERROR((IF(VLOOKUP($A7,'1-6 风险因素'!$A$3:$J$104,5,0)&gt;8,"高风险","")),"")</f>
        <v>高风险</v>
      </c>
      <c r="M7" s="8" t="str">
        <f>IFERROR((IF(VLOOKUP($A7,'1-6 风险因素'!$A$3:$J$104,6,0)&gt;8,"高风险","")),"")</f>
        <v>高风险</v>
      </c>
      <c r="N7" s="8" t="str">
        <f>IFERROR((IF(VLOOKUP($A7,'1-6 风险因素'!$A$3:$J$104,7,0)&gt;8,"高风险","")),"")</f>
        <v>高风险</v>
      </c>
      <c r="O7" s="8" t="str">
        <f>IFERROR((IF(VLOOKUP($A7,'1-6 风险因素'!$A$3:$J$104,8,0)&gt;8,"高风险","")),"")</f>
        <v/>
      </c>
      <c r="P7" s="8" t="str">
        <f>IFERROR((IF(VLOOKUP($A7,'1-6 风险因素'!$A$3:$J$104,9,0)&gt;8,"高风险","")),"")</f>
        <v>高风险</v>
      </c>
      <c r="Q7" s="52"/>
    </row>
    <row r="8" spans="1:17" x14ac:dyDescent="0.3">
      <c r="A8" s="8" t="s">
        <v>410</v>
      </c>
      <c r="B8" s="3" t="s">
        <v>42</v>
      </c>
      <c r="C8" s="53">
        <v>24685</v>
      </c>
      <c r="D8" s="10">
        <f t="shared" ca="1" si="0"/>
        <v>54.405479452054792</v>
      </c>
      <c r="E8" s="54">
        <v>43466</v>
      </c>
      <c r="F8" s="10" t="s">
        <v>570</v>
      </c>
      <c r="G8" s="8" t="s">
        <v>474</v>
      </c>
      <c r="H8" s="8" t="s">
        <v>564</v>
      </c>
      <c r="I8" s="8" t="s">
        <v>533</v>
      </c>
      <c r="J8" s="8" t="s">
        <v>530</v>
      </c>
      <c r="K8" s="8" t="s">
        <v>562</v>
      </c>
      <c r="L8" s="8" t="str">
        <f>IFERROR((IF(VLOOKUP($A8,'1-6 风险因素'!$A$3:$J$104,5,0)&gt;8,"高风险","")),"")</f>
        <v/>
      </c>
      <c r="M8" s="8" t="str">
        <f>IFERROR((IF(VLOOKUP($A8,'1-6 风险因素'!$A$3:$J$104,6,0)&gt;8,"高风险","")),"")</f>
        <v/>
      </c>
      <c r="N8" s="8" t="str">
        <f>IFERROR((IF(VLOOKUP($A8,'1-6 风险因素'!$A$3:$J$104,7,0)&gt;8,"高风险","")),"")</f>
        <v/>
      </c>
      <c r="O8" s="8" t="str">
        <f>IFERROR((IF(VLOOKUP($A8,'1-6 风险因素'!$A$3:$J$104,8,0)&gt;8,"高风险","")),"")</f>
        <v/>
      </c>
      <c r="P8" s="8" t="str">
        <f>IFERROR((IF(VLOOKUP($A8,'1-6 风险因素'!$A$3:$J$104,9,0)&gt;8,"高风险","")),"")</f>
        <v/>
      </c>
      <c r="Q8" s="52"/>
    </row>
    <row r="9" spans="1:17" x14ac:dyDescent="0.3">
      <c r="A9" s="8" t="s">
        <v>407</v>
      </c>
      <c r="B9" s="3" t="s">
        <v>42</v>
      </c>
      <c r="C9" s="53">
        <v>24807</v>
      </c>
      <c r="D9" s="10">
        <f t="shared" ca="1" si="0"/>
        <v>54.07123287671233</v>
      </c>
      <c r="E9" s="54">
        <v>43466</v>
      </c>
      <c r="F9" s="10" t="s">
        <v>570</v>
      </c>
      <c r="G9" s="8" t="s">
        <v>475</v>
      </c>
      <c r="H9" s="8" t="s">
        <v>564</v>
      </c>
      <c r="I9" s="8" t="s">
        <v>533</v>
      </c>
      <c r="J9" s="8" t="s">
        <v>530</v>
      </c>
      <c r="K9" s="8" t="s">
        <v>563</v>
      </c>
      <c r="L9" s="8" t="str">
        <f>IFERROR((IF(VLOOKUP($A9,'1-6 风险因素'!$A$3:$J$104,5,0)&gt;8,"高风险","")),"")</f>
        <v/>
      </c>
      <c r="M9" s="8" t="str">
        <f>IFERROR((IF(VLOOKUP($A9,'1-6 风险因素'!$A$3:$J$104,6,0)&gt;8,"高风险","")),"")</f>
        <v/>
      </c>
      <c r="N9" s="8" t="str">
        <f>IFERROR((IF(VLOOKUP($A9,'1-6 风险因素'!$A$3:$J$104,7,0)&gt;8,"高风险","")),"")</f>
        <v/>
      </c>
      <c r="O9" s="8" t="str">
        <f>IFERROR((IF(VLOOKUP($A9,'1-6 风险因素'!$A$3:$J$104,8,0)&gt;8,"高风险","")),"")</f>
        <v/>
      </c>
      <c r="P9" s="8" t="str">
        <f>IFERROR((IF(VLOOKUP($A9,'1-6 风险因素'!$A$3:$J$104,9,0)&gt;8,"高风险","")),"")</f>
        <v/>
      </c>
      <c r="Q9" s="52"/>
    </row>
    <row r="10" spans="1:17" x14ac:dyDescent="0.3">
      <c r="A10" s="8" t="s">
        <v>134</v>
      </c>
      <c r="B10" s="3" t="s">
        <v>42</v>
      </c>
      <c r="C10" s="53">
        <v>27364</v>
      </c>
      <c r="D10" s="10">
        <f t="shared" ca="1" si="0"/>
        <v>47.065753424657537</v>
      </c>
      <c r="E10" s="54">
        <v>44440</v>
      </c>
      <c r="F10" s="10" t="s">
        <v>569</v>
      </c>
      <c r="G10" s="8" t="s">
        <v>476</v>
      </c>
      <c r="H10" s="8" t="s">
        <v>564</v>
      </c>
      <c r="I10" s="8" t="s">
        <v>533</v>
      </c>
      <c r="J10" s="8" t="s">
        <v>530</v>
      </c>
      <c r="K10" s="8" t="s">
        <v>555</v>
      </c>
      <c r="L10" s="8" t="str">
        <f>IFERROR((IF(VLOOKUP($A10,'1-6 风险因素'!$A$3:$J$104,5,0)&gt;8,"高风险","")),"")</f>
        <v>高风险</v>
      </c>
      <c r="M10" s="8" t="str">
        <f>IFERROR((IF(VLOOKUP($A10,'1-6 风险因素'!$A$3:$J$104,6,0)&gt;8,"高风险","")),"")</f>
        <v/>
      </c>
      <c r="N10" s="8" t="str">
        <f>IFERROR((IF(VLOOKUP($A10,'1-6 风险因素'!$A$3:$J$104,7,0)&gt;8,"高风险","")),"")</f>
        <v/>
      </c>
      <c r="O10" s="8" t="str">
        <f>IFERROR((IF(VLOOKUP($A10,'1-6 风险因素'!$A$3:$J$104,8,0)&gt;8,"高风险","")),"")</f>
        <v/>
      </c>
      <c r="P10" s="8" t="str">
        <f>IFERROR((IF(VLOOKUP($A10,'1-6 风险因素'!$A$3:$J$104,9,0)&gt;8,"高风险","")),"")</f>
        <v/>
      </c>
      <c r="Q10" s="52"/>
    </row>
    <row r="11" spans="1:17" x14ac:dyDescent="0.3">
      <c r="A11" s="8" t="s">
        <v>74</v>
      </c>
      <c r="B11" s="3" t="s">
        <v>42</v>
      </c>
      <c r="C11" s="53">
        <v>30072</v>
      </c>
      <c r="D11" s="10">
        <f t="shared" ca="1" si="0"/>
        <v>39.646575342465752</v>
      </c>
      <c r="E11" s="54">
        <v>44440</v>
      </c>
      <c r="F11" s="10" t="s">
        <v>569</v>
      </c>
      <c r="G11" s="8" t="s">
        <v>477</v>
      </c>
      <c r="H11" s="8" t="s">
        <v>565</v>
      </c>
      <c r="I11" s="8" t="s">
        <v>534</v>
      </c>
      <c r="J11" s="8" t="s">
        <v>530</v>
      </c>
      <c r="K11" s="8" t="s">
        <v>555</v>
      </c>
      <c r="L11" s="8" t="str">
        <f>IFERROR((IF(VLOOKUP($A11,'1-6 风险因素'!$A$3:$J$104,5,0)&gt;8,"高风险","")),"")</f>
        <v>高风险</v>
      </c>
      <c r="M11" s="8" t="str">
        <f>IFERROR((IF(VLOOKUP($A11,'1-6 风险因素'!$A$3:$J$104,6,0)&gt;8,"高风险","")),"")</f>
        <v/>
      </c>
      <c r="N11" s="8" t="str">
        <f>IFERROR((IF(VLOOKUP($A11,'1-6 风险因素'!$A$3:$J$104,7,0)&gt;8,"高风险","")),"")</f>
        <v>高风险</v>
      </c>
      <c r="O11" s="8" t="str">
        <f>IFERROR((IF(VLOOKUP($A11,'1-6 风险因素'!$A$3:$J$104,8,0)&gt;8,"高风险","")),"")</f>
        <v/>
      </c>
      <c r="P11" s="8" t="str">
        <f>IFERROR((IF(VLOOKUP($A11,'1-6 风险因素'!$A$3:$J$104,9,0)&gt;8,"高风险","")),"")</f>
        <v/>
      </c>
      <c r="Q11" s="52"/>
    </row>
    <row r="12" spans="1:17" x14ac:dyDescent="0.3">
      <c r="A12" s="8" t="s">
        <v>46</v>
      </c>
      <c r="B12" s="3" t="s">
        <v>42</v>
      </c>
      <c r="C12" s="53">
        <v>29677</v>
      </c>
      <c r="D12" s="10">
        <f t="shared" ca="1" si="0"/>
        <v>40.728767123287675</v>
      </c>
      <c r="E12" s="54">
        <v>44440</v>
      </c>
      <c r="F12" s="10" t="s">
        <v>569</v>
      </c>
      <c r="G12" s="8" t="s">
        <v>478</v>
      </c>
      <c r="H12" s="8" t="s">
        <v>565</v>
      </c>
      <c r="I12" s="8" t="s">
        <v>534</v>
      </c>
      <c r="J12" s="8" t="s">
        <v>530</v>
      </c>
      <c r="K12" s="8" t="s">
        <v>555</v>
      </c>
      <c r="L12" s="8" t="str">
        <f>IFERROR((IF(VLOOKUP($A12,'1-6 风险因素'!$A$3:$J$104,5,0)&gt;8,"高风险","")),"")</f>
        <v>高风险</v>
      </c>
      <c r="M12" s="8" t="str">
        <f>IFERROR((IF(VLOOKUP($A12,'1-6 风险因素'!$A$3:$J$104,6,0)&gt;8,"高风险","")),"")</f>
        <v/>
      </c>
      <c r="N12" s="8" t="str">
        <f>IFERROR((IF(VLOOKUP($A12,'1-6 风险因素'!$A$3:$J$104,7,0)&gt;8,"高风险","")),"")</f>
        <v/>
      </c>
      <c r="O12" s="8" t="str">
        <f>IFERROR((IF(VLOOKUP($A12,'1-6 风险因素'!$A$3:$J$104,8,0)&gt;8,"高风险","")),"")</f>
        <v/>
      </c>
      <c r="P12" s="8" t="str">
        <f>IFERROR((IF(VLOOKUP($A12,'1-6 风险因素'!$A$3:$J$104,9,0)&gt;8,"高风险","")),"")</f>
        <v/>
      </c>
      <c r="Q12" s="52"/>
    </row>
    <row r="13" spans="1:17" x14ac:dyDescent="0.3">
      <c r="A13" s="8" t="s">
        <v>58</v>
      </c>
      <c r="B13" s="3" t="s">
        <v>42</v>
      </c>
      <c r="C13" s="53">
        <v>26908</v>
      </c>
      <c r="D13" s="10">
        <f t="shared" ca="1" si="0"/>
        <v>48.315068493150683</v>
      </c>
      <c r="E13" s="54">
        <v>44440</v>
      </c>
      <c r="F13" s="10" t="s">
        <v>570</v>
      </c>
      <c r="G13" s="8" t="s">
        <v>479</v>
      </c>
      <c r="H13" s="8" t="s">
        <v>565</v>
      </c>
      <c r="I13" s="8" t="s">
        <v>534</v>
      </c>
      <c r="J13" s="8" t="s">
        <v>530</v>
      </c>
      <c r="K13" s="8" t="s">
        <v>557</v>
      </c>
      <c r="L13" s="8" t="str">
        <f>IFERROR((IF(VLOOKUP($A13,'1-6 风险因素'!$A$3:$J$104,5,0)&gt;8,"高风险","")),"")</f>
        <v>高风险</v>
      </c>
      <c r="M13" s="8" t="str">
        <f>IFERROR((IF(VLOOKUP($A13,'1-6 风险因素'!$A$3:$J$104,6,0)&gt;8,"高风险","")),"")</f>
        <v/>
      </c>
      <c r="N13" s="8" t="str">
        <f>IFERROR((IF(VLOOKUP($A13,'1-6 风险因素'!$A$3:$J$104,7,0)&gt;8,"高风险","")),"")</f>
        <v/>
      </c>
      <c r="O13" s="8" t="str">
        <f>IFERROR((IF(VLOOKUP($A13,'1-6 风险因素'!$A$3:$J$104,8,0)&gt;8,"高风险","")),"")</f>
        <v/>
      </c>
      <c r="P13" s="8" t="str">
        <f>IFERROR((IF(VLOOKUP($A13,'1-6 风险因素'!$A$3:$J$104,9,0)&gt;8,"高风险","")),"")</f>
        <v/>
      </c>
      <c r="Q13" s="52"/>
    </row>
    <row r="14" spans="1:17" x14ac:dyDescent="0.3">
      <c r="A14" s="8" t="s">
        <v>104</v>
      </c>
      <c r="B14" s="3" t="s">
        <v>42</v>
      </c>
      <c r="C14" s="53">
        <v>29921</v>
      </c>
      <c r="D14" s="10">
        <f t="shared" ca="1" si="0"/>
        <v>40.060273972602737</v>
      </c>
      <c r="E14" s="54">
        <v>44440</v>
      </c>
      <c r="F14" s="10" t="s">
        <v>570</v>
      </c>
      <c r="G14" s="8" t="s">
        <v>479</v>
      </c>
      <c r="H14" s="8" t="s">
        <v>565</v>
      </c>
      <c r="I14" s="8" t="s">
        <v>534</v>
      </c>
      <c r="J14" s="8" t="s">
        <v>530</v>
      </c>
      <c r="K14" s="8" t="s">
        <v>538</v>
      </c>
      <c r="L14" s="8" t="str">
        <f>IFERROR((IF(VLOOKUP($A14,'1-6 风险因素'!$A$3:$J$104,5,0)&gt;8,"高风险","")),"")</f>
        <v>高风险</v>
      </c>
      <c r="M14" s="8" t="str">
        <f>IFERROR((IF(VLOOKUP($A14,'1-6 风险因素'!$A$3:$J$104,6,0)&gt;8,"高风险","")),"")</f>
        <v/>
      </c>
      <c r="N14" s="8" t="str">
        <f>IFERROR((IF(VLOOKUP($A14,'1-6 风险因素'!$A$3:$J$104,7,0)&gt;8,"高风险","")),"")</f>
        <v/>
      </c>
      <c r="O14" s="8" t="str">
        <f>IFERROR((IF(VLOOKUP($A14,'1-6 风险因素'!$A$3:$J$104,8,0)&gt;8,"高风险","")),"")</f>
        <v/>
      </c>
      <c r="P14" s="8" t="str">
        <f>IFERROR((IF(VLOOKUP($A14,'1-6 风险因素'!$A$3:$J$104,9,0)&gt;8,"高风险","")),"")</f>
        <v/>
      </c>
      <c r="Q14" s="52"/>
    </row>
    <row r="15" spans="1:17" x14ac:dyDescent="0.3">
      <c r="A15" s="8" t="s">
        <v>108</v>
      </c>
      <c r="B15" s="3" t="s">
        <v>42</v>
      </c>
      <c r="C15" s="53">
        <v>25569</v>
      </c>
      <c r="D15" s="10">
        <f t="shared" ca="1" si="0"/>
        <v>51.983561643835614</v>
      </c>
      <c r="E15" s="54">
        <v>42186</v>
      </c>
      <c r="F15" s="10" t="s">
        <v>569</v>
      </c>
      <c r="G15" s="8" t="s">
        <v>480</v>
      </c>
      <c r="H15" s="8" t="s">
        <v>564</v>
      </c>
      <c r="I15" s="8" t="s">
        <v>533</v>
      </c>
      <c r="J15" s="8" t="s">
        <v>530</v>
      </c>
      <c r="K15" s="8" t="s">
        <v>556</v>
      </c>
      <c r="L15" s="8" t="str">
        <f>IFERROR((IF(VLOOKUP($A15,'1-6 风险因素'!$A$3:$J$104,5,0)&gt;8,"高风险","")),"")</f>
        <v>高风险</v>
      </c>
      <c r="M15" s="8" t="str">
        <f>IFERROR((IF(VLOOKUP($A15,'1-6 风险因素'!$A$3:$J$104,6,0)&gt;8,"高风险","")),"")</f>
        <v/>
      </c>
      <c r="N15" s="8" t="str">
        <f>IFERROR((IF(VLOOKUP($A15,'1-6 风险因素'!$A$3:$J$104,7,0)&gt;8,"高风险","")),"")</f>
        <v/>
      </c>
      <c r="O15" s="8" t="str">
        <f>IFERROR((IF(VLOOKUP($A15,'1-6 风险因素'!$A$3:$J$104,8,0)&gt;8,"高风险","")),"")</f>
        <v/>
      </c>
      <c r="P15" s="8" t="str">
        <f>IFERROR((IF(VLOOKUP($A15,'1-6 风险因素'!$A$3:$J$104,9,0)&gt;8,"高风险","")),"")</f>
        <v>高风险</v>
      </c>
      <c r="Q15" s="52"/>
    </row>
    <row r="16" spans="1:17" x14ac:dyDescent="0.3">
      <c r="A16" s="8" t="s">
        <v>115</v>
      </c>
      <c r="B16" s="3" t="s">
        <v>42</v>
      </c>
      <c r="C16" s="53">
        <v>25689</v>
      </c>
      <c r="D16" s="10">
        <f t="shared" ca="1" si="0"/>
        <v>51.654794520547945</v>
      </c>
      <c r="E16" s="54">
        <v>42705</v>
      </c>
      <c r="F16" s="10" t="s">
        <v>570</v>
      </c>
      <c r="G16" s="8" t="s">
        <v>481</v>
      </c>
      <c r="H16" s="8" t="s">
        <v>564</v>
      </c>
      <c r="I16" s="8" t="s">
        <v>533</v>
      </c>
      <c r="J16" s="8" t="s">
        <v>530</v>
      </c>
      <c r="K16" s="8" t="s">
        <v>539</v>
      </c>
      <c r="L16" s="8" t="str">
        <f>IFERROR((IF(VLOOKUP($A16,'1-6 风险因素'!$A$3:$J$104,5,0)&gt;8,"高风险","")),"")</f>
        <v>高风险</v>
      </c>
      <c r="M16" s="8" t="str">
        <f>IFERROR((IF(VLOOKUP($A16,'1-6 风险因素'!$A$3:$J$104,6,0)&gt;8,"高风险","")),"")</f>
        <v/>
      </c>
      <c r="N16" s="8" t="str">
        <f>IFERROR((IF(VLOOKUP($A16,'1-6 风险因素'!$A$3:$J$104,7,0)&gt;8,"高风险","")),"")</f>
        <v/>
      </c>
      <c r="O16" s="8" t="str">
        <f>IFERROR((IF(VLOOKUP($A16,'1-6 风险因素'!$A$3:$J$104,8,0)&gt;8,"高风险","")),"")</f>
        <v/>
      </c>
      <c r="P16" s="8" t="str">
        <f>IFERROR((IF(VLOOKUP($A16,'1-6 风险因素'!$A$3:$J$104,9,0)&gt;8,"高风险","")),"")</f>
        <v/>
      </c>
      <c r="Q16" s="52"/>
    </row>
    <row r="17" spans="1:17" x14ac:dyDescent="0.3">
      <c r="A17" s="8" t="s">
        <v>100</v>
      </c>
      <c r="B17" s="3" t="s">
        <v>42</v>
      </c>
      <c r="C17" s="53">
        <v>26969</v>
      </c>
      <c r="D17" s="10">
        <f t="shared" ca="1" si="0"/>
        <v>48.147945205479452</v>
      </c>
      <c r="E17" s="54">
        <v>43678</v>
      </c>
      <c r="F17" s="10" t="s">
        <v>570</v>
      </c>
      <c r="G17" s="8" t="s">
        <v>482</v>
      </c>
      <c r="H17" s="8" t="s">
        <v>565</v>
      </c>
      <c r="I17" s="8" t="s">
        <v>534</v>
      </c>
      <c r="J17" s="8" t="s">
        <v>530</v>
      </c>
      <c r="K17" s="8" t="s">
        <v>539</v>
      </c>
      <c r="L17" s="8" t="str">
        <f>IFERROR((IF(VLOOKUP($A17,'1-6 风险因素'!$A$3:$J$104,5,0)&gt;8,"高风险","")),"")</f>
        <v>高风险</v>
      </c>
      <c r="M17" s="8" t="str">
        <f>IFERROR((IF(VLOOKUP($A17,'1-6 风险因素'!$A$3:$J$104,6,0)&gt;8,"高风险","")),"")</f>
        <v/>
      </c>
      <c r="N17" s="8" t="str">
        <f>IFERROR((IF(VLOOKUP($A17,'1-6 风险因素'!$A$3:$J$104,7,0)&gt;8,"高风险","")),"")</f>
        <v/>
      </c>
      <c r="O17" s="8" t="str">
        <f>IFERROR((IF(VLOOKUP($A17,'1-6 风险因素'!$A$3:$J$104,8,0)&gt;8,"高风险","")),"")</f>
        <v/>
      </c>
      <c r="P17" s="8" t="str">
        <f>IFERROR((IF(VLOOKUP($A17,'1-6 风险因素'!$A$3:$J$104,9,0)&gt;8,"高风险","")),"")</f>
        <v/>
      </c>
      <c r="Q17" s="52"/>
    </row>
    <row r="18" spans="1:17" x14ac:dyDescent="0.3">
      <c r="A18" s="8" t="s">
        <v>47</v>
      </c>
      <c r="B18" s="3" t="s">
        <v>42</v>
      </c>
      <c r="C18" s="53">
        <v>25173</v>
      </c>
      <c r="D18" s="10">
        <f t="shared" ca="1" si="0"/>
        <v>53.06849315068493</v>
      </c>
      <c r="E18" s="54">
        <v>43983</v>
      </c>
      <c r="F18" s="10" t="s">
        <v>570</v>
      </c>
      <c r="G18" s="8" t="s">
        <v>483</v>
      </c>
      <c r="H18" s="8" t="s">
        <v>564</v>
      </c>
      <c r="I18" s="8" t="s">
        <v>533</v>
      </c>
      <c r="J18" s="8" t="s">
        <v>530</v>
      </c>
      <c r="K18" s="8" t="s">
        <v>540</v>
      </c>
      <c r="L18" s="8" t="str">
        <f>IFERROR((IF(VLOOKUP($A18,'1-6 风险因素'!$A$3:$J$104,5,0)&gt;8,"高风险","")),"")</f>
        <v>高风险</v>
      </c>
      <c r="M18" s="8" t="str">
        <f>IFERROR((IF(VLOOKUP($A18,'1-6 风险因素'!$A$3:$J$104,6,0)&gt;8,"高风险","")),"")</f>
        <v/>
      </c>
      <c r="N18" s="8" t="str">
        <f>IFERROR((IF(VLOOKUP($A18,'1-6 风险因素'!$A$3:$J$104,7,0)&gt;8,"高风险","")),"")</f>
        <v/>
      </c>
      <c r="O18" s="8" t="str">
        <f>IFERROR((IF(VLOOKUP($A18,'1-6 风险因素'!$A$3:$J$104,8,0)&gt;8,"高风险","")),"")</f>
        <v/>
      </c>
      <c r="P18" s="8" t="str">
        <f>IFERROR((IF(VLOOKUP($A18,'1-6 风险因素'!$A$3:$J$104,9,0)&gt;8,"高风险","")),"")</f>
        <v>高风险</v>
      </c>
      <c r="Q18" s="52"/>
    </row>
    <row r="19" spans="1:17" x14ac:dyDescent="0.3">
      <c r="A19" s="8" t="s">
        <v>76</v>
      </c>
      <c r="B19" s="3" t="s">
        <v>42</v>
      </c>
      <c r="C19" s="53">
        <v>26877</v>
      </c>
      <c r="D19" s="10">
        <f t="shared" ca="1" si="0"/>
        <v>48.4</v>
      </c>
      <c r="E19" s="54">
        <v>43983</v>
      </c>
      <c r="F19" s="10" t="s">
        <v>570</v>
      </c>
      <c r="G19" s="8" t="s">
        <v>484</v>
      </c>
      <c r="H19" s="8" t="s">
        <v>564</v>
      </c>
      <c r="I19" s="8" t="s">
        <v>533</v>
      </c>
      <c r="J19" s="8" t="s">
        <v>530</v>
      </c>
      <c r="K19" s="8" t="s">
        <v>541</v>
      </c>
      <c r="L19" s="8" t="str">
        <f>IFERROR((IF(VLOOKUP($A19,'1-6 风险因素'!$A$3:$J$104,5,0)&gt;8,"高风险","")),"")</f>
        <v>高风险</v>
      </c>
      <c r="M19" s="8" t="str">
        <f>IFERROR((IF(VLOOKUP($A19,'1-6 风险因素'!$A$3:$J$104,6,0)&gt;8,"高风险","")),"")</f>
        <v/>
      </c>
      <c r="N19" s="8" t="str">
        <f>IFERROR((IF(VLOOKUP($A19,'1-6 风险因素'!$A$3:$J$104,7,0)&gt;8,"高风险","")),"")</f>
        <v/>
      </c>
      <c r="O19" s="8" t="str">
        <f>IFERROR((IF(VLOOKUP($A19,'1-6 风险因素'!$A$3:$J$104,8,0)&gt;8,"高风险","")),"")</f>
        <v/>
      </c>
      <c r="P19" s="8" t="str">
        <f>IFERROR((IF(VLOOKUP($A19,'1-6 风险因素'!$A$3:$J$104,9,0)&gt;8,"高风险","")),"")</f>
        <v/>
      </c>
      <c r="Q19" s="52"/>
    </row>
    <row r="20" spans="1:17" x14ac:dyDescent="0.3">
      <c r="A20" s="8" t="s">
        <v>125</v>
      </c>
      <c r="B20" s="3" t="s">
        <v>42</v>
      </c>
      <c r="C20" s="53">
        <v>30317</v>
      </c>
      <c r="D20" s="10">
        <f t="shared" ca="1" si="0"/>
        <v>38.975342465753428</v>
      </c>
      <c r="E20" s="54">
        <v>43678</v>
      </c>
      <c r="F20" s="10" t="s">
        <v>569</v>
      </c>
      <c r="G20" s="8" t="s">
        <v>485</v>
      </c>
      <c r="H20" s="8" t="s">
        <v>565</v>
      </c>
      <c r="I20" s="8" t="s">
        <v>534</v>
      </c>
      <c r="J20" s="8" t="s">
        <v>530</v>
      </c>
      <c r="K20" s="8" t="s">
        <v>541</v>
      </c>
      <c r="L20" s="8" t="str">
        <f>IFERROR((IF(VLOOKUP($A20,'1-6 风险因素'!$A$3:$J$104,5,0)&gt;8,"高风险","")),"")</f>
        <v>高风险</v>
      </c>
      <c r="M20" s="8" t="str">
        <f>IFERROR((IF(VLOOKUP($A20,'1-6 风险因素'!$A$3:$J$104,6,0)&gt;8,"高风险","")),"")</f>
        <v/>
      </c>
      <c r="N20" s="8" t="str">
        <f>IFERROR((IF(VLOOKUP($A20,'1-6 风险因素'!$A$3:$J$104,7,0)&gt;8,"高风险","")),"")</f>
        <v/>
      </c>
      <c r="O20" s="8" t="str">
        <f>IFERROR((IF(VLOOKUP($A20,'1-6 风险因素'!$A$3:$J$104,8,0)&gt;8,"高风险","")),"")</f>
        <v/>
      </c>
      <c r="P20" s="8" t="str">
        <f>IFERROR((IF(VLOOKUP($A20,'1-6 风险因素'!$A$3:$J$104,9,0)&gt;8,"高风险","")),"")</f>
        <v/>
      </c>
      <c r="Q20" s="52"/>
    </row>
    <row r="21" spans="1:17" x14ac:dyDescent="0.3">
      <c r="A21" s="8" t="s">
        <v>94</v>
      </c>
      <c r="B21" s="3" t="s">
        <v>42</v>
      </c>
      <c r="C21" s="53">
        <v>25659</v>
      </c>
      <c r="D21" s="10">
        <f t="shared" ca="1" si="0"/>
        <v>51.736986301369861</v>
      </c>
      <c r="E21" s="54">
        <v>43435</v>
      </c>
      <c r="F21" s="10" t="s">
        <v>570</v>
      </c>
      <c r="G21" s="8" t="s">
        <v>486</v>
      </c>
      <c r="H21" s="8" t="s">
        <v>564</v>
      </c>
      <c r="I21" s="8" t="s">
        <v>533</v>
      </c>
      <c r="J21" s="8" t="s">
        <v>530</v>
      </c>
      <c r="K21" s="8" t="s">
        <v>542</v>
      </c>
      <c r="L21" s="8" t="str">
        <f>IFERROR((IF(VLOOKUP($A21,'1-6 风险因素'!$A$3:$J$104,5,0)&gt;8,"高风险","")),"")</f>
        <v>高风险</v>
      </c>
      <c r="M21" s="8" t="str">
        <f>IFERROR((IF(VLOOKUP($A21,'1-6 风险因素'!$A$3:$J$104,6,0)&gt;8,"高风险","")),"")</f>
        <v/>
      </c>
      <c r="N21" s="8" t="str">
        <f>IFERROR((IF(VLOOKUP($A21,'1-6 风险因素'!$A$3:$J$104,7,0)&gt;8,"高风险","")),"")</f>
        <v/>
      </c>
      <c r="O21" s="8" t="str">
        <f>IFERROR((IF(VLOOKUP($A21,'1-6 风险因素'!$A$3:$J$104,8,0)&gt;8,"高风险","")),"")</f>
        <v/>
      </c>
      <c r="P21" s="8" t="str">
        <f>IFERROR((IF(VLOOKUP($A21,'1-6 风险因素'!$A$3:$J$104,9,0)&gt;8,"高风险","")),"")</f>
        <v/>
      </c>
      <c r="Q21" s="52"/>
    </row>
    <row r="22" spans="1:17" x14ac:dyDescent="0.3">
      <c r="A22" s="8" t="s">
        <v>138</v>
      </c>
      <c r="B22" s="3" t="s">
        <v>42</v>
      </c>
      <c r="C22" s="53">
        <v>26177</v>
      </c>
      <c r="D22" s="10">
        <f t="shared" ca="1" si="0"/>
        <v>50.317808219178083</v>
      </c>
      <c r="E22" s="54">
        <v>42005</v>
      </c>
      <c r="F22" s="10" t="s">
        <v>570</v>
      </c>
      <c r="G22" s="8" t="s">
        <v>487</v>
      </c>
      <c r="H22" s="8" t="s">
        <v>565</v>
      </c>
      <c r="I22" s="8" t="s">
        <v>534</v>
      </c>
      <c r="J22" s="8" t="s">
        <v>530</v>
      </c>
      <c r="K22" s="8" t="s">
        <v>542</v>
      </c>
      <c r="L22" s="8" t="str">
        <f>IFERROR((IF(VLOOKUP($A22,'1-6 风险因素'!$A$3:$J$104,5,0)&gt;8,"高风险","")),"")</f>
        <v>高风险</v>
      </c>
      <c r="M22" s="8" t="str">
        <f>IFERROR((IF(VLOOKUP($A22,'1-6 风险因素'!$A$3:$J$104,6,0)&gt;8,"高风险","")),"")</f>
        <v/>
      </c>
      <c r="N22" s="8" t="str">
        <f>IFERROR((IF(VLOOKUP($A22,'1-6 风险因素'!$A$3:$J$104,7,0)&gt;8,"高风险","")),"")</f>
        <v/>
      </c>
      <c r="O22" s="8" t="str">
        <f>IFERROR((IF(VLOOKUP($A22,'1-6 风险因素'!$A$3:$J$104,8,0)&gt;8,"高风险","")),"")</f>
        <v/>
      </c>
      <c r="P22" s="8" t="str">
        <f>IFERROR((IF(VLOOKUP($A22,'1-6 风险因素'!$A$3:$J$104,9,0)&gt;8,"高风险","")),"")</f>
        <v/>
      </c>
      <c r="Q22" s="52"/>
    </row>
    <row r="23" spans="1:17" x14ac:dyDescent="0.3">
      <c r="A23" s="8" t="s">
        <v>117</v>
      </c>
      <c r="B23" s="3" t="s">
        <v>42</v>
      </c>
      <c r="C23" s="53">
        <v>26696</v>
      </c>
      <c r="D23" s="10">
        <f t="shared" ca="1" si="0"/>
        <v>48.895890410958906</v>
      </c>
      <c r="E23" s="54">
        <v>43678</v>
      </c>
      <c r="F23" s="10" t="s">
        <v>570</v>
      </c>
      <c r="G23" s="8" t="s">
        <v>487</v>
      </c>
      <c r="H23" s="8" t="s">
        <v>565</v>
      </c>
      <c r="I23" s="8" t="s">
        <v>534</v>
      </c>
      <c r="J23" s="8" t="s">
        <v>530</v>
      </c>
      <c r="K23" s="8" t="s">
        <v>542</v>
      </c>
      <c r="L23" s="8" t="str">
        <f>IFERROR((IF(VLOOKUP($A23,'1-6 风险因素'!$A$3:$J$104,5,0)&gt;8,"高风险","")),"")</f>
        <v>高风险</v>
      </c>
      <c r="M23" s="8" t="str">
        <f>IFERROR((IF(VLOOKUP($A23,'1-6 风险因素'!$A$3:$J$104,6,0)&gt;8,"高风险","")),"")</f>
        <v/>
      </c>
      <c r="N23" s="8" t="str">
        <f>IFERROR((IF(VLOOKUP($A23,'1-6 风险因素'!$A$3:$J$104,7,0)&gt;8,"高风险","")),"")</f>
        <v/>
      </c>
      <c r="O23" s="8" t="str">
        <f>IFERROR((IF(VLOOKUP($A23,'1-6 风险因素'!$A$3:$J$104,8,0)&gt;8,"高风险","")),"")</f>
        <v/>
      </c>
      <c r="P23" s="8" t="str">
        <f>IFERROR((IF(VLOOKUP($A23,'1-6 风险因素'!$A$3:$J$104,9,0)&gt;8,"高风险","")),"")</f>
        <v/>
      </c>
      <c r="Q23" s="52"/>
    </row>
    <row r="24" spans="1:17" x14ac:dyDescent="0.3">
      <c r="A24" s="8" t="s">
        <v>118</v>
      </c>
      <c r="B24" s="3" t="s">
        <v>42</v>
      </c>
      <c r="C24" s="53">
        <v>27454</v>
      </c>
      <c r="D24" s="10">
        <f t="shared" ca="1" si="0"/>
        <v>46.819178082191783</v>
      </c>
      <c r="E24" s="54">
        <v>44440</v>
      </c>
      <c r="F24" s="10" t="s">
        <v>569</v>
      </c>
      <c r="G24" s="8" t="s">
        <v>488</v>
      </c>
      <c r="H24" s="8" t="s">
        <v>564</v>
      </c>
      <c r="I24" s="8" t="s">
        <v>533</v>
      </c>
      <c r="J24" s="8" t="s">
        <v>530</v>
      </c>
      <c r="K24" s="8" t="s">
        <v>543</v>
      </c>
      <c r="L24" s="8" t="str">
        <f>IFERROR((IF(VLOOKUP($A24,'1-6 风险因素'!$A$3:$J$104,5,0)&gt;8,"高风险","")),"")</f>
        <v>高风险</v>
      </c>
      <c r="M24" s="8" t="str">
        <f>IFERROR((IF(VLOOKUP($A24,'1-6 风险因素'!$A$3:$J$104,6,0)&gt;8,"高风险","")),"")</f>
        <v/>
      </c>
      <c r="N24" s="8" t="str">
        <f>IFERROR((IF(VLOOKUP($A24,'1-6 风险因素'!$A$3:$J$104,7,0)&gt;8,"高风险","")),"")</f>
        <v/>
      </c>
      <c r="O24" s="8" t="str">
        <f>IFERROR((IF(VLOOKUP($A24,'1-6 风险因素'!$A$3:$J$104,8,0)&gt;8,"高风险","")),"")</f>
        <v>高风险</v>
      </c>
      <c r="P24" s="8" t="str">
        <f>IFERROR((IF(VLOOKUP($A24,'1-6 风险因素'!$A$3:$J$104,9,0)&gt;8,"高风险","")),"")</f>
        <v/>
      </c>
      <c r="Q24" s="52"/>
    </row>
    <row r="25" spans="1:17" x14ac:dyDescent="0.3">
      <c r="A25" s="8" t="s">
        <v>466</v>
      </c>
      <c r="B25" s="3" t="s">
        <v>42</v>
      </c>
      <c r="C25" s="53">
        <v>26359</v>
      </c>
      <c r="D25" s="10">
        <f t="shared" ca="1" si="0"/>
        <v>49.819178082191783</v>
      </c>
      <c r="E25" s="54">
        <v>44440</v>
      </c>
      <c r="F25" s="10" t="s">
        <v>570</v>
      </c>
      <c r="G25" s="8" t="s">
        <v>489</v>
      </c>
      <c r="H25" s="8" t="s">
        <v>565</v>
      </c>
      <c r="I25" s="8" t="s">
        <v>534</v>
      </c>
      <c r="J25" s="8" t="s">
        <v>530</v>
      </c>
      <c r="K25" s="8" t="s">
        <v>543</v>
      </c>
      <c r="L25" s="8" t="str">
        <f>IFERROR((IF(VLOOKUP($A25,'1-6 风险因素'!$A$3:$J$104,5,0)&gt;8,"高风险","")),"")</f>
        <v/>
      </c>
      <c r="M25" s="8" t="str">
        <f>IFERROR((IF(VLOOKUP($A25,'1-6 风险因素'!$A$3:$J$104,6,0)&gt;8,"高风险","")),"")</f>
        <v/>
      </c>
      <c r="N25" s="8" t="str">
        <f>IFERROR((IF(VLOOKUP($A25,'1-6 风险因素'!$A$3:$J$104,7,0)&gt;8,"高风险","")),"")</f>
        <v/>
      </c>
      <c r="O25" s="8" t="str">
        <f>IFERROR((IF(VLOOKUP($A25,'1-6 风险因素'!$A$3:$J$104,8,0)&gt;8,"高风险","")),"")</f>
        <v/>
      </c>
      <c r="P25" s="8" t="str">
        <f>IFERROR((IF(VLOOKUP($A25,'1-6 风险因素'!$A$3:$J$104,9,0)&gt;8,"高风险","")),"")</f>
        <v/>
      </c>
      <c r="Q25" s="52"/>
    </row>
    <row r="26" spans="1:17" x14ac:dyDescent="0.3">
      <c r="A26" s="8" t="s">
        <v>61</v>
      </c>
      <c r="B26" s="3" t="s">
        <v>42</v>
      </c>
      <c r="C26" s="53">
        <v>26146</v>
      </c>
      <c r="D26" s="10">
        <f t="shared" ca="1" si="0"/>
        <v>50.402739726027399</v>
      </c>
      <c r="E26" s="54">
        <v>42005</v>
      </c>
      <c r="F26" s="10" t="s">
        <v>570</v>
      </c>
      <c r="G26" s="8" t="s">
        <v>490</v>
      </c>
      <c r="H26" s="8" t="s">
        <v>565</v>
      </c>
      <c r="I26" s="8" t="s">
        <v>534</v>
      </c>
      <c r="J26" s="8" t="s">
        <v>530</v>
      </c>
      <c r="K26" s="8" t="s">
        <v>544</v>
      </c>
      <c r="L26" s="8" t="str">
        <f>IFERROR((IF(VLOOKUP($A26,'1-6 风险因素'!$A$3:$J$104,5,0)&gt;8,"高风险","")),"")</f>
        <v>高风险</v>
      </c>
      <c r="M26" s="8" t="str">
        <f>IFERROR((IF(VLOOKUP($A26,'1-6 风险因素'!$A$3:$J$104,6,0)&gt;8,"高风险","")),"")</f>
        <v/>
      </c>
      <c r="N26" s="8" t="str">
        <f>IFERROR((IF(VLOOKUP($A26,'1-6 风险因素'!$A$3:$J$104,7,0)&gt;8,"高风险","")),"")</f>
        <v/>
      </c>
      <c r="O26" s="8" t="str">
        <f>IFERROR((IF(VLOOKUP($A26,'1-6 风险因素'!$A$3:$J$104,8,0)&gt;8,"高风险","")),"")</f>
        <v/>
      </c>
      <c r="P26" s="8" t="str">
        <f>IFERROR((IF(VLOOKUP($A26,'1-6 风险因素'!$A$3:$J$104,9,0)&gt;8,"高风险","")),"")</f>
        <v/>
      </c>
      <c r="Q26" s="52"/>
    </row>
    <row r="27" spans="1:17" x14ac:dyDescent="0.3">
      <c r="A27" s="8" t="s">
        <v>49</v>
      </c>
      <c r="B27" s="3" t="s">
        <v>42</v>
      </c>
      <c r="C27" s="53">
        <v>25965</v>
      </c>
      <c r="D27" s="10">
        <f t="shared" ca="1" si="0"/>
        <v>50.898630136986299</v>
      </c>
      <c r="E27" s="54">
        <v>43983</v>
      </c>
      <c r="F27" s="10" t="s">
        <v>570</v>
      </c>
      <c r="G27" s="8" t="s">
        <v>490</v>
      </c>
      <c r="H27" s="8" t="s">
        <v>565</v>
      </c>
      <c r="I27" s="8" t="s">
        <v>534</v>
      </c>
      <c r="J27" s="8" t="s">
        <v>530</v>
      </c>
      <c r="K27" s="8" t="s">
        <v>544</v>
      </c>
      <c r="L27" s="8" t="str">
        <f>IFERROR((IF(VLOOKUP($A27,'1-6 风险因素'!$A$3:$J$104,5,0)&gt;8,"高风险","")),"")</f>
        <v>高风险</v>
      </c>
      <c r="M27" s="8" t="str">
        <f>IFERROR((IF(VLOOKUP($A27,'1-6 风险因素'!$A$3:$J$104,6,0)&gt;8,"高风险","")),"")</f>
        <v/>
      </c>
      <c r="N27" s="8" t="str">
        <f>IFERROR((IF(VLOOKUP($A27,'1-6 风险因素'!$A$3:$J$104,7,0)&gt;8,"高风险","")),"")</f>
        <v/>
      </c>
      <c r="O27" s="8" t="str">
        <f>IFERROR((IF(VLOOKUP($A27,'1-6 风险因素'!$A$3:$J$104,8,0)&gt;8,"高风险","")),"")</f>
        <v/>
      </c>
      <c r="P27" s="8" t="str">
        <f>IFERROR((IF(VLOOKUP($A27,'1-6 风险因素'!$A$3:$J$104,9,0)&gt;8,"高风险","")),"")</f>
        <v/>
      </c>
      <c r="Q27" s="52"/>
    </row>
    <row r="28" spans="1:17" x14ac:dyDescent="0.3">
      <c r="A28" s="8" t="s">
        <v>116</v>
      </c>
      <c r="B28" s="3" t="s">
        <v>42</v>
      </c>
      <c r="C28" s="53">
        <v>31107</v>
      </c>
      <c r="D28" s="10">
        <f t="shared" ca="1" si="0"/>
        <v>36.81095890410959</v>
      </c>
      <c r="E28" s="54">
        <v>43678</v>
      </c>
      <c r="F28" s="10" t="s">
        <v>570</v>
      </c>
      <c r="G28" s="8" t="s">
        <v>491</v>
      </c>
      <c r="H28" s="8" t="s">
        <v>565</v>
      </c>
      <c r="I28" s="8" t="s">
        <v>534</v>
      </c>
      <c r="J28" s="8" t="s">
        <v>530</v>
      </c>
      <c r="K28" s="8" t="s">
        <v>545</v>
      </c>
      <c r="L28" s="8" t="str">
        <f>IFERROR((IF(VLOOKUP($A28,'1-6 风险因素'!$A$3:$J$104,5,0)&gt;8,"高风险","")),"")</f>
        <v>高风险</v>
      </c>
      <c r="M28" s="8" t="str">
        <f>IFERROR((IF(VLOOKUP($A28,'1-6 风险因素'!$A$3:$J$104,6,0)&gt;8,"高风险","")),"")</f>
        <v/>
      </c>
      <c r="N28" s="8" t="str">
        <f>IFERROR((IF(VLOOKUP($A28,'1-6 风险因素'!$A$3:$J$104,7,0)&gt;8,"高风险","")),"")</f>
        <v/>
      </c>
      <c r="O28" s="8" t="str">
        <f>IFERROR((IF(VLOOKUP($A28,'1-6 风险因素'!$A$3:$J$104,8,0)&gt;8,"高风险","")),"")</f>
        <v/>
      </c>
      <c r="P28" s="8" t="str">
        <f>IFERROR((IF(VLOOKUP($A28,'1-6 风险因素'!$A$3:$J$104,9,0)&gt;8,"高风险","")),"")</f>
        <v/>
      </c>
      <c r="Q28" s="52"/>
    </row>
    <row r="29" spans="1:17" x14ac:dyDescent="0.3">
      <c r="A29" s="8" t="s">
        <v>132</v>
      </c>
      <c r="B29" s="3" t="s">
        <v>42</v>
      </c>
      <c r="C29" s="53">
        <v>26359</v>
      </c>
      <c r="D29" s="10">
        <f t="shared" ca="1" si="0"/>
        <v>49.819178082191783</v>
      </c>
      <c r="E29" s="54">
        <v>43435</v>
      </c>
      <c r="F29" s="10" t="s">
        <v>570</v>
      </c>
      <c r="G29" s="8" t="s">
        <v>492</v>
      </c>
      <c r="H29" s="8" t="s">
        <v>564</v>
      </c>
      <c r="I29" s="8" t="s">
        <v>533</v>
      </c>
      <c r="J29" s="8" t="s">
        <v>530</v>
      </c>
      <c r="K29" s="8" t="s">
        <v>546</v>
      </c>
      <c r="L29" s="8" t="str">
        <f>IFERROR((IF(VLOOKUP($A29,'1-6 风险因素'!$A$3:$J$104,5,0)&gt;8,"高风险","")),"")</f>
        <v>高风险</v>
      </c>
      <c r="M29" s="8" t="str">
        <f>IFERROR((IF(VLOOKUP($A29,'1-6 风险因素'!$A$3:$J$104,6,0)&gt;8,"高风险","")),"")</f>
        <v>高风险</v>
      </c>
      <c r="N29" s="8" t="str">
        <f>IFERROR((IF(VLOOKUP($A29,'1-6 风险因素'!$A$3:$J$104,7,0)&gt;8,"高风险","")),"")</f>
        <v/>
      </c>
      <c r="O29" s="8" t="str">
        <f>IFERROR((IF(VLOOKUP($A29,'1-6 风险因素'!$A$3:$J$104,8,0)&gt;8,"高风险","")),"")</f>
        <v/>
      </c>
      <c r="P29" s="8" t="str">
        <f>IFERROR((IF(VLOOKUP($A29,'1-6 风险因素'!$A$3:$J$104,9,0)&gt;8,"高风险","")),"")</f>
        <v>高风险</v>
      </c>
      <c r="Q29" s="52"/>
    </row>
    <row r="30" spans="1:17" x14ac:dyDescent="0.3">
      <c r="A30" s="8" t="s">
        <v>90</v>
      </c>
      <c r="B30" s="3" t="s">
        <v>42</v>
      </c>
      <c r="C30" s="53">
        <v>27973</v>
      </c>
      <c r="D30" s="10">
        <f t="shared" ca="1" si="0"/>
        <v>45.397260273972606</v>
      </c>
      <c r="E30" s="54">
        <v>43040</v>
      </c>
      <c r="F30" s="10" t="s">
        <v>569</v>
      </c>
      <c r="G30" s="8" t="s">
        <v>493</v>
      </c>
      <c r="H30" s="8" t="s">
        <v>565</v>
      </c>
      <c r="I30" s="8" t="s">
        <v>534</v>
      </c>
      <c r="J30" s="8" t="s">
        <v>530</v>
      </c>
      <c r="K30" s="8" t="s">
        <v>546</v>
      </c>
      <c r="L30" s="8" t="str">
        <f>IFERROR((IF(VLOOKUP($A30,'1-6 风险因素'!$A$3:$J$104,5,0)&gt;8,"高风险","")),"")</f>
        <v>高风险</v>
      </c>
      <c r="M30" s="8" t="str">
        <f>IFERROR((IF(VLOOKUP($A30,'1-6 风险因素'!$A$3:$J$104,6,0)&gt;8,"高风险","")),"")</f>
        <v/>
      </c>
      <c r="N30" s="8" t="str">
        <f>IFERROR((IF(VLOOKUP($A30,'1-6 风险因素'!$A$3:$J$104,7,0)&gt;8,"高风险","")),"")</f>
        <v/>
      </c>
      <c r="O30" s="8" t="str">
        <f>IFERROR((IF(VLOOKUP($A30,'1-6 风险因素'!$A$3:$J$104,8,0)&gt;8,"高风险","")),"")</f>
        <v/>
      </c>
      <c r="P30" s="8" t="str">
        <f>IFERROR((IF(VLOOKUP($A30,'1-6 风险因素'!$A$3:$J$104,9,0)&gt;8,"高风险","")),"")</f>
        <v/>
      </c>
      <c r="Q30" s="52"/>
    </row>
    <row r="31" spans="1:17" x14ac:dyDescent="0.3">
      <c r="A31" s="8" t="s">
        <v>126</v>
      </c>
      <c r="B31" s="3" t="s">
        <v>42</v>
      </c>
      <c r="C31" s="53">
        <v>26724</v>
      </c>
      <c r="D31" s="10">
        <f t="shared" ca="1" si="0"/>
        <v>48.819178082191783</v>
      </c>
      <c r="E31" s="54">
        <v>43983</v>
      </c>
      <c r="F31" s="10" t="s">
        <v>570</v>
      </c>
      <c r="G31" s="8" t="s">
        <v>494</v>
      </c>
      <c r="H31" s="8" t="s">
        <v>564</v>
      </c>
      <c r="I31" s="8" t="s">
        <v>533</v>
      </c>
      <c r="J31" s="8" t="s">
        <v>530</v>
      </c>
      <c r="K31" s="8" t="s">
        <v>547</v>
      </c>
      <c r="L31" s="8" t="str">
        <f>IFERROR((IF(VLOOKUP($A31,'1-6 风险因素'!$A$3:$J$104,5,0)&gt;8,"高风险","")),"")</f>
        <v>高风险</v>
      </c>
      <c r="M31" s="8" t="str">
        <f>IFERROR((IF(VLOOKUP($A31,'1-6 风险因素'!$A$3:$J$104,6,0)&gt;8,"高风险","")),"")</f>
        <v/>
      </c>
      <c r="N31" s="8" t="str">
        <f>IFERROR((IF(VLOOKUP($A31,'1-6 风险因素'!$A$3:$J$104,7,0)&gt;8,"高风险","")),"")</f>
        <v/>
      </c>
      <c r="O31" s="8" t="str">
        <f>IFERROR((IF(VLOOKUP($A31,'1-6 风险因素'!$A$3:$J$104,8,0)&gt;8,"高风险","")),"")</f>
        <v/>
      </c>
      <c r="P31" s="8" t="str">
        <f>IFERROR((IF(VLOOKUP($A31,'1-6 风险因素'!$A$3:$J$104,9,0)&gt;8,"高风险","")),"")</f>
        <v/>
      </c>
      <c r="Q31" s="52"/>
    </row>
    <row r="32" spans="1:17" x14ac:dyDescent="0.3">
      <c r="A32" s="8" t="s">
        <v>70</v>
      </c>
      <c r="B32" s="3" t="s">
        <v>42</v>
      </c>
      <c r="C32" s="53">
        <v>31017</v>
      </c>
      <c r="D32" s="10">
        <f t="shared" ca="1" si="0"/>
        <v>37.057534246575344</v>
      </c>
      <c r="E32" s="54">
        <v>43678</v>
      </c>
      <c r="F32" s="10" t="s">
        <v>570</v>
      </c>
      <c r="G32" s="8" t="s">
        <v>495</v>
      </c>
      <c r="H32" s="8" t="s">
        <v>565</v>
      </c>
      <c r="I32" s="8" t="s">
        <v>534</v>
      </c>
      <c r="J32" s="8" t="s">
        <v>530</v>
      </c>
      <c r="K32" s="8" t="s">
        <v>547</v>
      </c>
      <c r="L32" s="8" t="str">
        <f>IFERROR((IF(VLOOKUP($A32,'1-6 风险因素'!$A$3:$J$104,5,0)&gt;8,"高风险","")),"")</f>
        <v>高风险</v>
      </c>
      <c r="M32" s="8" t="str">
        <f>IFERROR((IF(VLOOKUP($A32,'1-6 风险因素'!$A$3:$J$104,6,0)&gt;8,"高风险","")),"")</f>
        <v/>
      </c>
      <c r="N32" s="8" t="str">
        <f>IFERROR((IF(VLOOKUP($A32,'1-6 风险因素'!$A$3:$J$104,7,0)&gt;8,"高风险","")),"")</f>
        <v/>
      </c>
      <c r="O32" s="8" t="str">
        <f>IFERROR((IF(VLOOKUP($A32,'1-6 风险因素'!$A$3:$J$104,8,0)&gt;8,"高风险","")),"")</f>
        <v/>
      </c>
      <c r="P32" s="8" t="str">
        <f>IFERROR((IF(VLOOKUP($A32,'1-6 风险因素'!$A$3:$J$104,9,0)&gt;8,"高风险","")),"")</f>
        <v/>
      </c>
      <c r="Q32" s="52"/>
    </row>
    <row r="33" spans="1:17" x14ac:dyDescent="0.3">
      <c r="A33" s="8" t="s">
        <v>60</v>
      </c>
      <c r="B33" s="3" t="s">
        <v>42</v>
      </c>
      <c r="C33" s="53">
        <v>27061</v>
      </c>
      <c r="D33" s="10">
        <f t="shared" ca="1" si="0"/>
        <v>47.895890410958906</v>
      </c>
      <c r="E33" s="54">
        <v>42461</v>
      </c>
      <c r="F33" s="10" t="s">
        <v>569</v>
      </c>
      <c r="G33" s="8" t="s">
        <v>496</v>
      </c>
      <c r="H33" s="8" t="s">
        <v>565</v>
      </c>
      <c r="I33" s="8" t="s">
        <v>534</v>
      </c>
      <c r="J33" s="8" t="s">
        <v>530</v>
      </c>
      <c r="K33" s="8" t="s">
        <v>548</v>
      </c>
      <c r="L33" s="8" t="str">
        <f>IFERROR((IF(VLOOKUP($A33,'1-6 风险因素'!$A$3:$J$104,5,0)&gt;8,"高风险","")),"")</f>
        <v>高风险</v>
      </c>
      <c r="M33" s="8" t="str">
        <f>IFERROR((IF(VLOOKUP($A33,'1-6 风险因素'!$A$3:$J$104,6,0)&gt;8,"高风险","")),"")</f>
        <v/>
      </c>
      <c r="N33" s="8" t="str">
        <f>IFERROR((IF(VLOOKUP($A33,'1-6 风险因素'!$A$3:$J$104,7,0)&gt;8,"高风险","")),"")</f>
        <v/>
      </c>
      <c r="O33" s="8" t="str">
        <f>IFERROR((IF(VLOOKUP($A33,'1-6 风险因素'!$A$3:$J$104,8,0)&gt;8,"高风险","")),"")</f>
        <v/>
      </c>
      <c r="P33" s="8" t="str">
        <f>IFERROR((IF(VLOOKUP($A33,'1-6 风险因素'!$A$3:$J$104,9,0)&gt;8,"高风险","")),"")</f>
        <v>高风险</v>
      </c>
      <c r="Q33" s="52"/>
    </row>
    <row r="34" spans="1:17" x14ac:dyDescent="0.3">
      <c r="A34" s="8" t="s">
        <v>86</v>
      </c>
      <c r="B34" s="3" t="s">
        <v>42</v>
      </c>
      <c r="C34" s="53">
        <v>27851</v>
      </c>
      <c r="D34" s="10">
        <f t="shared" ca="1" si="0"/>
        <v>45.731506849315068</v>
      </c>
      <c r="E34" s="54">
        <v>43435</v>
      </c>
      <c r="F34" s="10" t="s">
        <v>570</v>
      </c>
      <c r="G34" s="8" t="s">
        <v>497</v>
      </c>
      <c r="H34" s="8" t="s">
        <v>565</v>
      </c>
      <c r="I34" s="8" t="s">
        <v>534</v>
      </c>
      <c r="J34" s="8" t="s">
        <v>530</v>
      </c>
      <c r="K34" s="8" t="s">
        <v>549</v>
      </c>
      <c r="L34" s="8" t="str">
        <f>IFERROR((IF(VLOOKUP($A34,'1-6 风险因素'!$A$3:$J$104,5,0)&gt;8,"高风险","")),"")</f>
        <v>高风险</v>
      </c>
      <c r="M34" s="8" t="str">
        <f>IFERROR((IF(VLOOKUP($A34,'1-6 风险因素'!$A$3:$J$104,6,0)&gt;8,"高风险","")),"")</f>
        <v/>
      </c>
      <c r="N34" s="8" t="str">
        <f>IFERROR((IF(VLOOKUP($A34,'1-6 风险因素'!$A$3:$J$104,7,0)&gt;8,"高风险","")),"")</f>
        <v/>
      </c>
      <c r="O34" s="8" t="str">
        <f>IFERROR((IF(VLOOKUP($A34,'1-6 风险因素'!$A$3:$J$104,8,0)&gt;8,"高风险","")),"")</f>
        <v/>
      </c>
      <c r="P34" s="8" t="str">
        <f>IFERROR((IF(VLOOKUP($A34,'1-6 风险因素'!$A$3:$J$104,9,0)&gt;8,"高风险","")),"")</f>
        <v/>
      </c>
      <c r="Q34" s="52"/>
    </row>
    <row r="35" spans="1:17" x14ac:dyDescent="0.3">
      <c r="A35" s="8" t="s">
        <v>71</v>
      </c>
      <c r="B35" s="3" t="s">
        <v>42</v>
      </c>
      <c r="C35" s="53">
        <v>26604</v>
      </c>
      <c r="D35" s="10">
        <f t="shared" ca="1" si="0"/>
        <v>49.147945205479452</v>
      </c>
      <c r="E35" s="54">
        <v>43983</v>
      </c>
      <c r="F35" s="10" t="s">
        <v>570</v>
      </c>
      <c r="G35" s="8" t="s">
        <v>498</v>
      </c>
      <c r="H35" s="8" t="s">
        <v>564</v>
      </c>
      <c r="I35" s="8" t="s">
        <v>533</v>
      </c>
      <c r="J35" s="8" t="s">
        <v>530</v>
      </c>
      <c r="K35" s="8" t="s">
        <v>550</v>
      </c>
      <c r="L35" s="8" t="str">
        <f>IFERROR((IF(VLOOKUP($A35,'1-6 风险因素'!$A$3:$J$104,5,0)&gt;8,"高风险","")),"")</f>
        <v>高风险</v>
      </c>
      <c r="M35" s="8" t="str">
        <f>IFERROR((IF(VLOOKUP($A35,'1-6 风险因素'!$A$3:$J$104,6,0)&gt;8,"高风险","")),"")</f>
        <v>高风险</v>
      </c>
      <c r="N35" s="8" t="str">
        <f>IFERROR((IF(VLOOKUP($A35,'1-6 风险因素'!$A$3:$J$104,7,0)&gt;8,"高风险","")),"")</f>
        <v/>
      </c>
      <c r="O35" s="8" t="str">
        <f>IFERROR((IF(VLOOKUP($A35,'1-6 风险因素'!$A$3:$J$104,8,0)&gt;8,"高风险","")),"")</f>
        <v/>
      </c>
      <c r="P35" s="8" t="str">
        <f>IFERROR((IF(VLOOKUP($A35,'1-6 风险因素'!$A$3:$J$104,9,0)&gt;8,"高风险","")),"")</f>
        <v/>
      </c>
      <c r="Q35" s="52"/>
    </row>
    <row r="36" spans="1:17" x14ac:dyDescent="0.3">
      <c r="A36" s="8" t="s">
        <v>56</v>
      </c>
      <c r="B36" s="3" t="s">
        <v>42</v>
      </c>
      <c r="C36" s="53">
        <v>30195</v>
      </c>
      <c r="D36" s="10">
        <f t="shared" ca="1" si="0"/>
        <v>39.30958904109589</v>
      </c>
      <c r="E36" s="54">
        <v>44440</v>
      </c>
      <c r="F36" s="10" t="s">
        <v>570</v>
      </c>
      <c r="G36" s="8" t="s">
        <v>499</v>
      </c>
      <c r="H36" s="8" t="s">
        <v>564</v>
      </c>
      <c r="I36" s="8" t="s">
        <v>533</v>
      </c>
      <c r="J36" s="8" t="s">
        <v>530</v>
      </c>
      <c r="K36" s="8" t="s">
        <v>551</v>
      </c>
      <c r="L36" s="8" t="str">
        <f>IFERROR((IF(VLOOKUP($A36,'1-6 风险因素'!$A$3:$J$104,5,0)&gt;8,"高风险","")),"")</f>
        <v>高风险</v>
      </c>
      <c r="M36" s="8" t="str">
        <f>IFERROR((IF(VLOOKUP($A36,'1-6 风险因素'!$A$3:$J$104,6,0)&gt;8,"高风险","")),"")</f>
        <v>高风险</v>
      </c>
      <c r="N36" s="8" t="str">
        <f>IFERROR((IF(VLOOKUP($A36,'1-6 风险因素'!$A$3:$J$104,7,0)&gt;8,"高风险","")),"")</f>
        <v/>
      </c>
      <c r="O36" s="8" t="str">
        <f>IFERROR((IF(VLOOKUP($A36,'1-6 风险因素'!$A$3:$J$104,8,0)&gt;8,"高风险","")),"")</f>
        <v/>
      </c>
      <c r="P36" s="8" t="str">
        <f>IFERROR((IF(VLOOKUP($A36,'1-6 风险因素'!$A$3:$J$104,9,0)&gt;8,"高风险","")),"")</f>
        <v>高风险</v>
      </c>
      <c r="Q36" s="52"/>
    </row>
    <row r="37" spans="1:17" x14ac:dyDescent="0.3">
      <c r="A37" s="8" t="s">
        <v>51</v>
      </c>
      <c r="B37" s="3" t="s">
        <v>42</v>
      </c>
      <c r="C37" s="53">
        <v>28887</v>
      </c>
      <c r="D37" s="10">
        <f t="shared" ca="1" si="0"/>
        <v>42.893150684931506</v>
      </c>
      <c r="E37" s="54">
        <v>44440</v>
      </c>
      <c r="F37" s="10" t="s">
        <v>570</v>
      </c>
      <c r="G37" s="8" t="s">
        <v>500</v>
      </c>
      <c r="H37" s="8" t="s">
        <v>565</v>
      </c>
      <c r="I37" s="8" t="s">
        <v>534</v>
      </c>
      <c r="J37" s="8" t="s">
        <v>530</v>
      </c>
      <c r="K37" s="8" t="s">
        <v>551</v>
      </c>
      <c r="L37" s="8" t="str">
        <f>IFERROR((IF(VLOOKUP($A37,'1-6 风险因素'!$A$3:$J$104,5,0)&gt;8,"高风险","")),"")</f>
        <v>高风险</v>
      </c>
      <c r="M37" s="8" t="str">
        <f>IFERROR((IF(VLOOKUP($A37,'1-6 风险因素'!$A$3:$J$104,6,0)&gt;8,"高风险","")),"")</f>
        <v/>
      </c>
      <c r="N37" s="8" t="str">
        <f>IFERROR((IF(VLOOKUP($A37,'1-6 风险因素'!$A$3:$J$104,7,0)&gt;8,"高风险","")),"")</f>
        <v/>
      </c>
      <c r="O37" s="8" t="str">
        <f>IFERROR((IF(VLOOKUP($A37,'1-6 风险因素'!$A$3:$J$104,8,0)&gt;8,"高风险","")),"")</f>
        <v/>
      </c>
      <c r="P37" s="8" t="str">
        <f>IFERROR((IF(VLOOKUP($A37,'1-6 风险因素'!$A$3:$J$104,9,0)&gt;8,"高风险","")),"")</f>
        <v/>
      </c>
      <c r="Q37" s="52"/>
    </row>
    <row r="38" spans="1:17" x14ac:dyDescent="0.3">
      <c r="A38" s="8" t="s">
        <v>57</v>
      </c>
      <c r="B38" s="3" t="s">
        <v>42</v>
      </c>
      <c r="C38" s="53">
        <v>26665</v>
      </c>
      <c r="D38" s="10">
        <f t="shared" ca="1" si="0"/>
        <v>48.980821917808221</v>
      </c>
      <c r="E38" s="54">
        <v>43983</v>
      </c>
      <c r="F38" s="10" t="s">
        <v>570</v>
      </c>
      <c r="G38" s="8" t="s">
        <v>501</v>
      </c>
      <c r="H38" s="8" t="s">
        <v>564</v>
      </c>
      <c r="I38" s="8" t="s">
        <v>533</v>
      </c>
      <c r="J38" s="8" t="s">
        <v>530</v>
      </c>
      <c r="K38" s="8" t="s">
        <v>552</v>
      </c>
      <c r="L38" s="8" t="str">
        <f>IFERROR((IF(VLOOKUP($A38,'1-6 风险因素'!$A$3:$J$104,5,0)&gt;8,"高风险","")),"")</f>
        <v>高风险</v>
      </c>
      <c r="M38" s="8" t="str">
        <f>IFERROR((IF(VLOOKUP($A38,'1-6 风险因素'!$A$3:$J$104,6,0)&gt;8,"高风险","")),"")</f>
        <v/>
      </c>
      <c r="N38" s="8" t="str">
        <f>IFERROR((IF(VLOOKUP($A38,'1-6 风险因素'!$A$3:$J$104,7,0)&gt;8,"高风险","")),"")</f>
        <v/>
      </c>
      <c r="O38" s="8" t="str">
        <f>IFERROR((IF(VLOOKUP($A38,'1-6 风险因素'!$A$3:$J$104,8,0)&gt;8,"高风险","")),"")</f>
        <v/>
      </c>
      <c r="P38" s="8" t="str">
        <f>IFERROR((IF(VLOOKUP($A38,'1-6 风险因素'!$A$3:$J$104,9,0)&gt;8,"高风险","")),"")</f>
        <v/>
      </c>
      <c r="Q38" s="52"/>
    </row>
    <row r="39" spans="1:17" x14ac:dyDescent="0.3">
      <c r="A39" s="8" t="s">
        <v>66</v>
      </c>
      <c r="B39" s="3" t="s">
        <v>42</v>
      </c>
      <c r="C39" s="53">
        <v>28915</v>
      </c>
      <c r="D39" s="10">
        <f t="shared" ca="1" si="0"/>
        <v>42.816438356164383</v>
      </c>
      <c r="E39" s="54">
        <v>42887</v>
      </c>
      <c r="F39" s="10" t="s">
        <v>570</v>
      </c>
      <c r="G39" s="8" t="s">
        <v>502</v>
      </c>
      <c r="H39" s="8" t="s">
        <v>565</v>
      </c>
      <c r="I39" s="8" t="s">
        <v>534</v>
      </c>
      <c r="J39" s="8" t="s">
        <v>530</v>
      </c>
      <c r="K39" s="8" t="s">
        <v>553</v>
      </c>
      <c r="L39" s="8" t="str">
        <f>IFERROR((IF(VLOOKUP($A39,'1-6 风险因素'!$A$3:$J$104,5,0)&gt;8,"高风险","")),"")</f>
        <v>高风险</v>
      </c>
      <c r="M39" s="8" t="str">
        <f>IFERROR((IF(VLOOKUP($A39,'1-6 风险因素'!$A$3:$J$104,6,0)&gt;8,"高风险","")),"")</f>
        <v/>
      </c>
      <c r="N39" s="8" t="str">
        <f>IFERROR((IF(VLOOKUP($A39,'1-6 风险因素'!$A$3:$J$104,7,0)&gt;8,"高风险","")),"")</f>
        <v/>
      </c>
      <c r="O39" s="8" t="str">
        <f>IFERROR((IF(VLOOKUP($A39,'1-6 风险因素'!$A$3:$J$104,8,0)&gt;8,"高风险","")),"")</f>
        <v/>
      </c>
      <c r="P39" s="8" t="str">
        <f>IFERROR((IF(VLOOKUP($A39,'1-6 风险因素'!$A$3:$J$104,9,0)&gt;8,"高风险","")),"")</f>
        <v/>
      </c>
      <c r="Q39" s="52"/>
    </row>
    <row r="40" spans="1:17" x14ac:dyDescent="0.3">
      <c r="A40" s="8" t="s">
        <v>414</v>
      </c>
      <c r="B40" s="3" t="s">
        <v>42</v>
      </c>
      <c r="C40" s="53">
        <v>24412</v>
      </c>
      <c r="D40" s="10">
        <f t="shared" ca="1" si="0"/>
        <v>55.153424657534245</v>
      </c>
      <c r="E40" s="54">
        <v>43983</v>
      </c>
      <c r="F40" s="10" t="s">
        <v>570</v>
      </c>
      <c r="G40" s="8" t="s">
        <v>503</v>
      </c>
      <c r="H40" s="8" t="s">
        <v>564</v>
      </c>
      <c r="I40" s="8" t="s">
        <v>533</v>
      </c>
      <c r="J40" s="8" t="s">
        <v>530</v>
      </c>
      <c r="K40" s="8" t="s">
        <v>554</v>
      </c>
      <c r="L40" s="8" t="str">
        <f>IFERROR((IF(VLOOKUP($A40,'1-6 风险因素'!$A$3:$J$104,5,0)&gt;8,"高风险","")),"")</f>
        <v/>
      </c>
      <c r="M40" s="8" t="str">
        <f>IFERROR((IF(VLOOKUP($A40,'1-6 风险因素'!$A$3:$J$104,6,0)&gt;8,"高风险","")),"")</f>
        <v/>
      </c>
      <c r="N40" s="8" t="str">
        <f>IFERROR((IF(VLOOKUP($A40,'1-6 风险因素'!$A$3:$J$104,7,0)&gt;8,"高风险","")),"")</f>
        <v/>
      </c>
      <c r="O40" s="8" t="str">
        <f>IFERROR((IF(VLOOKUP($A40,'1-6 风险因素'!$A$3:$J$104,8,0)&gt;8,"高风险","")),"")</f>
        <v/>
      </c>
      <c r="P40" s="8" t="str">
        <f>IFERROR((IF(VLOOKUP($A40,'1-6 风险因素'!$A$3:$J$104,9,0)&gt;8,"高风险","")),"")</f>
        <v/>
      </c>
      <c r="Q40" s="52"/>
    </row>
    <row r="41" spans="1:17" x14ac:dyDescent="0.3">
      <c r="A41" s="8" t="s">
        <v>64</v>
      </c>
      <c r="B41" s="3" t="s">
        <v>42</v>
      </c>
      <c r="C41" s="53">
        <v>25965</v>
      </c>
      <c r="D41" s="10">
        <f t="shared" ca="1" si="0"/>
        <v>50.898630136986299</v>
      </c>
      <c r="E41" s="54">
        <v>43983</v>
      </c>
      <c r="F41" s="10" t="s">
        <v>570</v>
      </c>
      <c r="G41" s="8" t="s">
        <v>686</v>
      </c>
      <c r="H41" s="8" t="s">
        <v>535</v>
      </c>
      <c r="I41" s="8" t="s">
        <v>533</v>
      </c>
      <c r="J41" s="8" t="s">
        <v>29</v>
      </c>
      <c r="K41" s="8" t="s">
        <v>29</v>
      </c>
      <c r="L41" s="8" t="str">
        <f>IFERROR((IF(VLOOKUP($A41,'1-6 风险因素'!$A$3:$J$104,5,0)&gt;8,"高风险","")),"")</f>
        <v>高风险</v>
      </c>
      <c r="M41" s="8" t="str">
        <f>IFERROR((IF(VLOOKUP($A41,'1-6 风险因素'!$A$3:$J$104,6,0)&gt;8,"高风险","")),"")</f>
        <v/>
      </c>
      <c r="N41" s="8" t="str">
        <f>IFERROR((IF(VLOOKUP($A41,'1-6 风险因素'!$A$3:$J$104,7,0)&gt;8,"高风险","")),"")</f>
        <v/>
      </c>
      <c r="O41" s="8" t="str">
        <f>IFERROR((IF(VLOOKUP($A41,'1-6 风险因素'!$A$3:$J$104,8,0)&gt;8,"高风险","")),"")</f>
        <v/>
      </c>
      <c r="P41" s="8" t="str">
        <f>IFERROR((IF(VLOOKUP($A41,'1-6 风险因素'!$A$3:$J$104,9,0)&gt;8,"高风险","")),"")</f>
        <v/>
      </c>
      <c r="Q41" s="52"/>
    </row>
    <row r="42" spans="1:17" x14ac:dyDescent="0.3">
      <c r="A42" s="8" t="s">
        <v>84</v>
      </c>
      <c r="B42" s="3" t="s">
        <v>42</v>
      </c>
      <c r="C42" s="53">
        <v>28491</v>
      </c>
      <c r="D42" s="10">
        <f t="shared" ca="1" si="0"/>
        <v>43.978082191780821</v>
      </c>
      <c r="E42" s="54">
        <v>44440</v>
      </c>
      <c r="F42" s="10" t="s">
        <v>569</v>
      </c>
      <c r="G42" s="8" t="s">
        <v>687</v>
      </c>
      <c r="H42" s="8" t="s">
        <v>536</v>
      </c>
      <c r="I42" s="8" t="s">
        <v>533</v>
      </c>
      <c r="J42" s="8" t="s">
        <v>29</v>
      </c>
      <c r="K42" s="8" t="s">
        <v>29</v>
      </c>
      <c r="L42" s="8" t="str">
        <f>IFERROR((IF(VLOOKUP($A42,'1-6 风险因素'!$A$3:$J$104,5,0)&gt;8,"高风险","")),"")</f>
        <v>高风险</v>
      </c>
      <c r="M42" s="8" t="str">
        <f>IFERROR((IF(VLOOKUP($A42,'1-6 风险因素'!$A$3:$J$104,6,0)&gt;8,"高风险","")),"")</f>
        <v/>
      </c>
      <c r="N42" s="8" t="str">
        <f>IFERROR((IF(VLOOKUP($A42,'1-6 风险因素'!$A$3:$J$104,7,0)&gt;8,"高风险","")),"")</f>
        <v/>
      </c>
      <c r="O42" s="8" t="str">
        <f>IFERROR((IF(VLOOKUP($A42,'1-6 风险因素'!$A$3:$J$104,8,0)&gt;8,"高风险","")),"")</f>
        <v/>
      </c>
      <c r="P42" s="8" t="str">
        <f>IFERROR((IF(VLOOKUP($A42,'1-6 风险因素'!$A$3:$J$104,9,0)&gt;8,"高风险","")),"")</f>
        <v/>
      </c>
      <c r="Q42" s="52"/>
    </row>
    <row r="43" spans="1:17" x14ac:dyDescent="0.3">
      <c r="A43" s="8" t="s">
        <v>91</v>
      </c>
      <c r="B43" s="3" t="s">
        <v>42</v>
      </c>
      <c r="C43" s="53">
        <v>29587</v>
      </c>
      <c r="D43" s="10">
        <f t="shared" ca="1" si="0"/>
        <v>40.975342465753428</v>
      </c>
      <c r="E43" s="54">
        <v>43983</v>
      </c>
      <c r="F43" s="10" t="s">
        <v>570</v>
      </c>
      <c r="G43" s="8" t="s">
        <v>688</v>
      </c>
      <c r="H43" s="8" t="s">
        <v>565</v>
      </c>
      <c r="I43" s="8" t="s">
        <v>533</v>
      </c>
      <c r="J43" s="8" t="s">
        <v>29</v>
      </c>
      <c r="K43" s="8" t="s">
        <v>29</v>
      </c>
      <c r="L43" s="8" t="str">
        <f>IFERROR((IF(VLOOKUP($A43,'1-6 风险因素'!$A$3:$J$104,5,0)&gt;8,"高风险","")),"")</f>
        <v>高风险</v>
      </c>
      <c r="M43" s="8" t="str">
        <f>IFERROR((IF(VLOOKUP($A43,'1-6 风险因素'!$A$3:$J$104,6,0)&gt;8,"高风险","")),"")</f>
        <v/>
      </c>
      <c r="N43" s="8" t="str">
        <f>IFERROR((IF(VLOOKUP($A43,'1-6 风险因素'!$A$3:$J$104,7,0)&gt;8,"高风险","")),"")</f>
        <v/>
      </c>
      <c r="O43" s="8" t="str">
        <f>IFERROR((IF(VLOOKUP($A43,'1-6 风险因素'!$A$3:$J$104,8,0)&gt;8,"高风险","")),"")</f>
        <v/>
      </c>
      <c r="P43" s="8" t="str">
        <f>IFERROR((IF(VLOOKUP($A43,'1-6 风险因素'!$A$3:$J$104,9,0)&gt;8,"高风险","")),"")</f>
        <v/>
      </c>
      <c r="Q43" s="52"/>
    </row>
    <row r="44" spans="1:17" x14ac:dyDescent="0.3">
      <c r="A44" s="8" t="s">
        <v>96</v>
      </c>
      <c r="B44" s="3" t="s">
        <v>42</v>
      </c>
      <c r="C44" s="53">
        <v>29830</v>
      </c>
      <c r="D44" s="10">
        <f t="shared" ca="1" si="0"/>
        <v>40.30958904109589</v>
      </c>
      <c r="E44" s="54">
        <v>43983</v>
      </c>
      <c r="F44" s="10" t="s">
        <v>570</v>
      </c>
      <c r="G44" s="8" t="s">
        <v>689</v>
      </c>
      <c r="H44" s="8" t="s">
        <v>565</v>
      </c>
      <c r="I44" s="8" t="s">
        <v>534</v>
      </c>
      <c r="J44" s="8" t="s">
        <v>29</v>
      </c>
      <c r="K44" s="8" t="s">
        <v>29</v>
      </c>
      <c r="L44" s="8" t="str">
        <f>IFERROR((IF(VLOOKUP($A44,'1-6 风险因素'!$A$3:$J$104,5,0)&gt;8,"高风险","")),"")</f>
        <v>高风险</v>
      </c>
      <c r="M44" s="8" t="str">
        <f>IFERROR((IF(VLOOKUP($A44,'1-6 风险因素'!$A$3:$J$104,6,0)&gt;8,"高风险","")),"")</f>
        <v/>
      </c>
      <c r="N44" s="8" t="str">
        <f>IFERROR((IF(VLOOKUP($A44,'1-6 风险因素'!$A$3:$J$104,7,0)&gt;8,"高风险","")),"")</f>
        <v>高风险</v>
      </c>
      <c r="O44" s="8" t="str">
        <f>IFERROR((IF(VLOOKUP($A44,'1-6 风险因素'!$A$3:$J$104,8,0)&gt;8,"高风险","")),"")</f>
        <v>高风险</v>
      </c>
      <c r="P44" s="8" t="str">
        <f>IFERROR((IF(VLOOKUP($A44,'1-6 风险因素'!$A$3:$J$104,9,0)&gt;8,"高风险","")),"")</f>
        <v/>
      </c>
      <c r="Q44" s="52"/>
    </row>
    <row r="45" spans="1:17" x14ac:dyDescent="0.3">
      <c r="A45" s="8" t="s">
        <v>52</v>
      </c>
      <c r="B45" s="3" t="s">
        <v>42</v>
      </c>
      <c r="C45" s="53">
        <v>30348</v>
      </c>
      <c r="D45" s="10">
        <f t="shared" ca="1" si="0"/>
        <v>38.890410958904113</v>
      </c>
      <c r="E45" s="54">
        <v>43983</v>
      </c>
      <c r="F45" s="10" t="s">
        <v>570</v>
      </c>
      <c r="G45" s="8" t="s">
        <v>689</v>
      </c>
      <c r="H45" s="8" t="s">
        <v>565</v>
      </c>
      <c r="I45" s="8" t="s">
        <v>534</v>
      </c>
      <c r="J45" s="8" t="s">
        <v>29</v>
      </c>
      <c r="K45" s="8" t="s">
        <v>29</v>
      </c>
      <c r="L45" s="8" t="str">
        <f>IFERROR((IF(VLOOKUP($A45,'1-6 风险因素'!$A$3:$J$104,5,0)&gt;8,"高风险","")),"")</f>
        <v>高风险</v>
      </c>
      <c r="M45" s="8" t="str">
        <f>IFERROR((IF(VLOOKUP($A45,'1-6 风险因素'!$A$3:$J$104,6,0)&gt;8,"高风险","")),"")</f>
        <v/>
      </c>
      <c r="N45" s="8" t="str">
        <f>IFERROR((IF(VLOOKUP($A45,'1-6 风险因素'!$A$3:$J$104,7,0)&gt;8,"高风险","")),"")</f>
        <v/>
      </c>
      <c r="O45" s="8" t="str">
        <f>IFERROR((IF(VLOOKUP($A45,'1-6 风险因素'!$A$3:$J$104,8,0)&gt;8,"高风险","")),"")</f>
        <v/>
      </c>
      <c r="P45" s="8" t="str">
        <f>IFERROR((IF(VLOOKUP($A45,'1-6 风险因素'!$A$3:$J$104,9,0)&gt;8,"高风险","")),"")</f>
        <v/>
      </c>
      <c r="Q45" s="52"/>
    </row>
    <row r="46" spans="1:17" x14ac:dyDescent="0.3">
      <c r="A46" s="8" t="s">
        <v>124</v>
      </c>
      <c r="B46" s="3" t="s">
        <v>42</v>
      </c>
      <c r="C46" s="53">
        <v>29738</v>
      </c>
      <c r="D46" s="10">
        <f t="shared" ca="1" si="0"/>
        <v>40.561643835616437</v>
      </c>
      <c r="E46" s="54">
        <v>43160</v>
      </c>
      <c r="F46" s="10" t="s">
        <v>570</v>
      </c>
      <c r="G46" s="8" t="s">
        <v>504</v>
      </c>
      <c r="H46" s="8" t="s">
        <v>565</v>
      </c>
      <c r="I46" s="8" t="s">
        <v>534</v>
      </c>
      <c r="J46" s="8" t="s">
        <v>29</v>
      </c>
      <c r="K46" s="8" t="s">
        <v>29</v>
      </c>
      <c r="L46" s="8" t="str">
        <f>IFERROR((IF(VLOOKUP($A46,'1-6 风险因素'!$A$3:$J$104,5,0)&gt;8,"高风险","")),"")</f>
        <v>高风险</v>
      </c>
      <c r="M46" s="8" t="str">
        <f>IFERROR((IF(VLOOKUP($A46,'1-6 风险因素'!$A$3:$J$104,6,0)&gt;8,"高风险","")),"")</f>
        <v/>
      </c>
      <c r="N46" s="8" t="str">
        <f>IFERROR((IF(VLOOKUP($A46,'1-6 风险因素'!$A$3:$J$104,7,0)&gt;8,"高风险","")),"")</f>
        <v/>
      </c>
      <c r="O46" s="8" t="str">
        <f>IFERROR((IF(VLOOKUP($A46,'1-6 风险因素'!$A$3:$J$104,8,0)&gt;8,"高风险","")),"")</f>
        <v/>
      </c>
      <c r="P46" s="8" t="str">
        <f>IFERROR((IF(VLOOKUP($A46,'1-6 风险因素'!$A$3:$J$104,9,0)&gt;8,"高风险","")),"")</f>
        <v/>
      </c>
      <c r="Q46" s="52"/>
    </row>
    <row r="47" spans="1:17" x14ac:dyDescent="0.3">
      <c r="A47" s="8" t="s">
        <v>65</v>
      </c>
      <c r="B47" s="3" t="s">
        <v>42</v>
      </c>
      <c r="C47" s="53">
        <v>29646</v>
      </c>
      <c r="D47" s="10">
        <f t="shared" ca="1" si="0"/>
        <v>40.813698630136983</v>
      </c>
      <c r="E47" s="54">
        <v>43678</v>
      </c>
      <c r="F47" s="10" t="s">
        <v>570</v>
      </c>
      <c r="G47" s="8" t="s">
        <v>505</v>
      </c>
      <c r="H47" s="8" t="s">
        <v>565</v>
      </c>
      <c r="I47" s="8" t="s">
        <v>534</v>
      </c>
      <c r="J47" s="8" t="s">
        <v>29</v>
      </c>
      <c r="K47" s="8" t="s">
        <v>29</v>
      </c>
      <c r="L47" s="8" t="str">
        <f>IFERROR((IF(VLOOKUP($A47,'1-6 风险因素'!$A$3:$J$104,5,0)&gt;8,"高风险","")),"")</f>
        <v>高风险</v>
      </c>
      <c r="M47" s="8" t="str">
        <f>IFERROR((IF(VLOOKUP($A47,'1-6 风险因素'!$A$3:$J$104,6,0)&gt;8,"高风险","")),"")</f>
        <v/>
      </c>
      <c r="N47" s="8" t="str">
        <f>IFERROR((IF(VLOOKUP($A47,'1-6 风险因素'!$A$3:$J$104,7,0)&gt;8,"高风险","")),"")</f>
        <v/>
      </c>
      <c r="O47" s="8" t="str">
        <f>IFERROR((IF(VLOOKUP($A47,'1-6 风险因素'!$A$3:$J$104,8,0)&gt;8,"高风险","")),"")</f>
        <v/>
      </c>
      <c r="P47" s="8" t="str">
        <f>IFERROR((IF(VLOOKUP($A47,'1-6 风险因素'!$A$3:$J$104,9,0)&gt;8,"高风险","")),"")</f>
        <v/>
      </c>
      <c r="Q47" s="52"/>
    </row>
    <row r="48" spans="1:17" x14ac:dyDescent="0.3">
      <c r="A48" s="8" t="s">
        <v>114</v>
      </c>
      <c r="B48" s="3" t="s">
        <v>42</v>
      </c>
      <c r="C48" s="53">
        <v>26785</v>
      </c>
      <c r="D48" s="10">
        <f t="shared" ca="1" si="0"/>
        <v>48.652054794520545</v>
      </c>
      <c r="E48" s="54">
        <v>43983</v>
      </c>
      <c r="F48" s="10" t="s">
        <v>570</v>
      </c>
      <c r="G48" s="8" t="s">
        <v>690</v>
      </c>
      <c r="H48" s="8" t="s">
        <v>535</v>
      </c>
      <c r="I48" s="8" t="s">
        <v>533</v>
      </c>
      <c r="J48" s="8" t="s">
        <v>30</v>
      </c>
      <c r="K48" s="8" t="s">
        <v>30</v>
      </c>
      <c r="L48" s="8" t="str">
        <f>IFERROR((IF(VLOOKUP($A48,'1-6 风险因素'!$A$3:$J$104,5,0)&gt;8,"高风险","")),"")</f>
        <v>高风险</v>
      </c>
      <c r="M48" s="8" t="str">
        <f>IFERROR((IF(VLOOKUP($A48,'1-6 风险因素'!$A$3:$J$104,6,0)&gt;8,"高风险","")),"")</f>
        <v/>
      </c>
      <c r="N48" s="8" t="str">
        <f>IFERROR((IF(VLOOKUP($A48,'1-6 风险因素'!$A$3:$J$104,7,0)&gt;8,"高风险","")),"")</f>
        <v/>
      </c>
      <c r="O48" s="8" t="str">
        <f>IFERROR((IF(VLOOKUP($A48,'1-6 风险因素'!$A$3:$J$104,8,0)&gt;8,"高风险","")),"")</f>
        <v/>
      </c>
      <c r="P48" s="8" t="str">
        <f>IFERROR((IF(VLOOKUP($A48,'1-6 风险因素'!$A$3:$J$104,9,0)&gt;8,"高风险","")),"")</f>
        <v/>
      </c>
      <c r="Q48" s="52"/>
    </row>
    <row r="49" spans="1:17" x14ac:dyDescent="0.3">
      <c r="A49" s="8" t="s">
        <v>41</v>
      </c>
      <c r="B49" s="3" t="s">
        <v>42</v>
      </c>
      <c r="C49" s="53">
        <v>25720</v>
      </c>
      <c r="D49" s="10">
        <f t="shared" ca="1" si="0"/>
        <v>51.56986301369863</v>
      </c>
      <c r="E49" s="54">
        <v>44013</v>
      </c>
      <c r="F49" s="10" t="s">
        <v>570</v>
      </c>
      <c r="G49" s="8" t="s">
        <v>691</v>
      </c>
      <c r="H49" s="8" t="s">
        <v>384</v>
      </c>
      <c r="I49" s="8" t="s">
        <v>533</v>
      </c>
      <c r="J49" s="8" t="s">
        <v>30</v>
      </c>
      <c r="K49" s="8" t="s">
        <v>30</v>
      </c>
      <c r="L49" s="8" t="str">
        <f>IFERROR((IF(VLOOKUP($A49,'1-6 风险因素'!$A$3:$J$104,5,0)&gt;8,"高风险","")),"")</f>
        <v>高风险</v>
      </c>
      <c r="M49" s="8" t="str">
        <f>IFERROR((IF(VLOOKUP($A49,'1-6 风险因素'!$A$3:$J$104,6,0)&gt;8,"高风险","")),"")</f>
        <v/>
      </c>
      <c r="N49" s="8" t="str">
        <f>IFERROR((IF(VLOOKUP($A49,'1-6 风险因素'!$A$3:$J$104,7,0)&gt;8,"高风险","")),"")</f>
        <v/>
      </c>
      <c r="O49" s="8" t="str">
        <f>IFERROR((IF(VLOOKUP($A49,'1-6 风险因素'!$A$3:$J$104,8,0)&gt;8,"高风险","")),"")</f>
        <v/>
      </c>
      <c r="P49" s="8" t="str">
        <f>IFERROR((IF(VLOOKUP($A49,'1-6 风险因素'!$A$3:$J$104,9,0)&gt;8,"高风险","")),"")</f>
        <v/>
      </c>
      <c r="Q49" s="52"/>
    </row>
    <row r="50" spans="1:17" x14ac:dyDescent="0.3">
      <c r="A50" s="8" t="s">
        <v>59</v>
      </c>
      <c r="B50" s="3" t="s">
        <v>42</v>
      </c>
      <c r="C50" s="53">
        <v>28946</v>
      </c>
      <c r="D50" s="10">
        <f t="shared" ca="1" si="0"/>
        <v>42.731506849315068</v>
      </c>
      <c r="E50" s="54">
        <v>43983</v>
      </c>
      <c r="F50" s="10" t="s">
        <v>570</v>
      </c>
      <c r="G50" s="8" t="s">
        <v>692</v>
      </c>
      <c r="H50" s="8" t="s">
        <v>565</v>
      </c>
      <c r="I50" s="8" t="s">
        <v>534</v>
      </c>
      <c r="J50" s="8" t="s">
        <v>30</v>
      </c>
      <c r="K50" s="8" t="s">
        <v>30</v>
      </c>
      <c r="L50" s="8" t="str">
        <f>IFERROR((IF(VLOOKUP($A50,'1-6 风险因素'!$A$3:$J$104,5,0)&gt;8,"高风险","")),"")</f>
        <v>高风险</v>
      </c>
      <c r="M50" s="8" t="str">
        <f>IFERROR((IF(VLOOKUP($A50,'1-6 风险因素'!$A$3:$J$104,6,0)&gt;8,"高风险","")),"")</f>
        <v/>
      </c>
      <c r="N50" s="8" t="str">
        <f>IFERROR((IF(VLOOKUP($A50,'1-6 风险因素'!$A$3:$J$104,7,0)&gt;8,"高风险","")),"")</f>
        <v/>
      </c>
      <c r="O50" s="8" t="str">
        <f>IFERROR((IF(VLOOKUP($A50,'1-6 风险因素'!$A$3:$J$104,8,0)&gt;8,"高风险","")),"")</f>
        <v/>
      </c>
      <c r="P50" s="8" t="str">
        <f>IFERROR((IF(VLOOKUP($A50,'1-6 风险因素'!$A$3:$J$104,9,0)&gt;8,"高风险","")),"")</f>
        <v/>
      </c>
      <c r="Q50" s="52"/>
    </row>
    <row r="51" spans="1:17" x14ac:dyDescent="0.3">
      <c r="A51" s="8" t="s">
        <v>54</v>
      </c>
      <c r="B51" s="3" t="s">
        <v>42</v>
      </c>
      <c r="C51" s="53">
        <v>31079</v>
      </c>
      <c r="D51" s="10">
        <f t="shared" ca="1" si="0"/>
        <v>36.887671232876713</v>
      </c>
      <c r="E51" s="54">
        <v>43983</v>
      </c>
      <c r="F51" s="10" t="s">
        <v>570</v>
      </c>
      <c r="G51" s="8" t="s">
        <v>693</v>
      </c>
      <c r="H51" s="8" t="s">
        <v>565</v>
      </c>
      <c r="I51" s="8" t="s">
        <v>534</v>
      </c>
      <c r="J51" s="8" t="s">
        <v>30</v>
      </c>
      <c r="K51" s="8" t="s">
        <v>30</v>
      </c>
      <c r="L51" s="8" t="str">
        <f>IFERROR((IF(VLOOKUP($A51,'1-6 风险因素'!$A$3:$J$104,5,0)&gt;8,"高风险","")),"")</f>
        <v>高风险</v>
      </c>
      <c r="M51" s="8" t="str">
        <f>IFERROR((IF(VLOOKUP($A51,'1-6 风险因素'!$A$3:$J$104,6,0)&gt;8,"高风险","")),"")</f>
        <v/>
      </c>
      <c r="N51" s="8" t="str">
        <f>IFERROR((IF(VLOOKUP($A51,'1-6 风险因素'!$A$3:$J$104,7,0)&gt;8,"高风险","")),"")</f>
        <v/>
      </c>
      <c r="O51" s="8" t="str">
        <f>IFERROR((IF(VLOOKUP($A51,'1-6 风险因素'!$A$3:$J$104,8,0)&gt;8,"高风险","")),"")</f>
        <v>高风险</v>
      </c>
      <c r="P51" s="8" t="str">
        <f>IFERROR((IF(VLOOKUP($A51,'1-6 风险因素'!$A$3:$J$104,9,0)&gt;8,"高风险","")),"")</f>
        <v/>
      </c>
      <c r="Q51" s="52"/>
    </row>
    <row r="52" spans="1:17" x14ac:dyDescent="0.3">
      <c r="A52" s="8" t="s">
        <v>45</v>
      </c>
      <c r="B52" s="3" t="s">
        <v>42</v>
      </c>
      <c r="C52" s="53">
        <v>28856</v>
      </c>
      <c r="D52" s="10">
        <f t="shared" ca="1" si="0"/>
        <v>42.978082191780821</v>
      </c>
      <c r="E52" s="54">
        <v>44440</v>
      </c>
      <c r="F52" s="10" t="s">
        <v>570</v>
      </c>
      <c r="G52" s="8" t="s">
        <v>506</v>
      </c>
      <c r="H52" s="8" t="s">
        <v>565</v>
      </c>
      <c r="I52" s="8" t="s">
        <v>534</v>
      </c>
      <c r="J52" s="8" t="s">
        <v>30</v>
      </c>
      <c r="K52" s="8" t="s">
        <v>30</v>
      </c>
      <c r="L52" s="8" t="str">
        <f>IFERROR((IF(VLOOKUP($A52,'1-6 风险因素'!$A$3:$J$104,5,0)&gt;8,"高风险","")),"")</f>
        <v>高风险</v>
      </c>
      <c r="M52" s="8" t="str">
        <f>IFERROR((IF(VLOOKUP($A52,'1-6 风险因素'!$A$3:$J$104,6,0)&gt;8,"高风险","")),"")</f>
        <v/>
      </c>
      <c r="N52" s="8" t="str">
        <f>IFERROR((IF(VLOOKUP($A52,'1-6 风险因素'!$A$3:$J$104,7,0)&gt;8,"高风险","")),"")</f>
        <v/>
      </c>
      <c r="O52" s="8" t="str">
        <f>IFERROR((IF(VLOOKUP($A52,'1-6 风险因素'!$A$3:$J$104,8,0)&gt;8,"高风险","")),"")</f>
        <v/>
      </c>
      <c r="P52" s="8" t="str">
        <f>IFERROR((IF(VLOOKUP($A52,'1-6 风险因素'!$A$3:$J$104,9,0)&gt;8,"高风险","")),"")</f>
        <v/>
      </c>
      <c r="Q52" s="52"/>
    </row>
    <row r="53" spans="1:17" x14ac:dyDescent="0.3">
      <c r="A53" s="8" t="s">
        <v>417</v>
      </c>
      <c r="B53" s="3" t="s">
        <v>42</v>
      </c>
      <c r="C53" s="53">
        <v>24654</v>
      </c>
      <c r="D53" s="10">
        <f t="shared" ca="1" si="0"/>
        <v>54.490410958904107</v>
      </c>
      <c r="E53" s="54">
        <v>42675</v>
      </c>
      <c r="F53" s="10" t="s">
        <v>570</v>
      </c>
      <c r="G53" s="8" t="s">
        <v>507</v>
      </c>
      <c r="H53" s="8" t="s">
        <v>565</v>
      </c>
      <c r="I53" s="8" t="s">
        <v>534</v>
      </c>
      <c r="J53" s="8" t="s">
        <v>30</v>
      </c>
      <c r="K53" s="8" t="s">
        <v>30</v>
      </c>
      <c r="L53" s="8" t="str">
        <f>IFERROR((IF(VLOOKUP($A53,'1-6 风险因素'!$A$3:$J$104,5,0)&gt;8,"高风险","")),"")</f>
        <v/>
      </c>
      <c r="M53" s="8" t="str">
        <f>IFERROR((IF(VLOOKUP($A53,'1-6 风险因素'!$A$3:$J$104,6,0)&gt;8,"高风险","")),"")</f>
        <v/>
      </c>
      <c r="N53" s="8" t="str">
        <f>IFERROR((IF(VLOOKUP($A53,'1-6 风险因素'!$A$3:$J$104,7,0)&gt;8,"高风险","")),"")</f>
        <v/>
      </c>
      <c r="O53" s="8" t="str">
        <f>IFERROR((IF(VLOOKUP($A53,'1-6 风险因素'!$A$3:$J$104,8,0)&gt;8,"高风险","")),"")</f>
        <v/>
      </c>
      <c r="P53" s="8" t="str">
        <f>IFERROR((IF(VLOOKUP($A53,'1-6 风险因素'!$A$3:$J$104,9,0)&gt;8,"高风险","")),"")</f>
        <v/>
      </c>
      <c r="Q53" s="52"/>
    </row>
    <row r="54" spans="1:17" x14ac:dyDescent="0.3">
      <c r="A54" s="8" t="s">
        <v>419</v>
      </c>
      <c r="B54" s="3" t="s">
        <v>42</v>
      </c>
      <c r="C54" s="53">
        <v>24898</v>
      </c>
      <c r="D54" s="10">
        <f t="shared" ca="1" si="0"/>
        <v>53.821917808219176</v>
      </c>
      <c r="E54" s="54">
        <v>42614</v>
      </c>
      <c r="F54" s="10" t="s">
        <v>570</v>
      </c>
      <c r="G54" s="8" t="s">
        <v>694</v>
      </c>
      <c r="H54" s="8" t="s">
        <v>535</v>
      </c>
      <c r="I54" s="8" t="s">
        <v>533</v>
      </c>
      <c r="J54" s="8" t="s">
        <v>31</v>
      </c>
      <c r="K54" s="8" t="s">
        <v>31</v>
      </c>
      <c r="L54" s="8" t="str">
        <f>IFERROR((IF(VLOOKUP($A54,'1-6 风险因素'!$A$3:$J$104,5,0)&gt;8,"高风险","")),"")</f>
        <v/>
      </c>
      <c r="M54" s="8" t="str">
        <f>IFERROR((IF(VLOOKUP($A54,'1-6 风险因素'!$A$3:$J$104,6,0)&gt;8,"高风险","")),"")</f>
        <v/>
      </c>
      <c r="N54" s="8" t="str">
        <f>IFERROR((IF(VLOOKUP($A54,'1-6 风险因素'!$A$3:$J$104,7,0)&gt;8,"高风险","")),"")</f>
        <v/>
      </c>
      <c r="O54" s="8" t="str">
        <f>IFERROR((IF(VLOOKUP($A54,'1-6 风险因素'!$A$3:$J$104,8,0)&gt;8,"高风险","")),"")</f>
        <v/>
      </c>
      <c r="P54" s="8" t="str">
        <f>IFERROR((IF(VLOOKUP($A54,'1-6 风险因素'!$A$3:$J$104,9,0)&gt;8,"高风险","")),"")</f>
        <v/>
      </c>
      <c r="Q54" s="52"/>
    </row>
    <row r="55" spans="1:17" x14ac:dyDescent="0.3">
      <c r="A55" s="8" t="s">
        <v>83</v>
      </c>
      <c r="B55" s="3" t="s">
        <v>42</v>
      </c>
      <c r="C55" s="53">
        <v>26816</v>
      </c>
      <c r="D55" s="10">
        <f t="shared" ca="1" si="0"/>
        <v>48.56712328767123</v>
      </c>
      <c r="E55" s="54">
        <v>44013</v>
      </c>
      <c r="F55" s="10" t="s">
        <v>570</v>
      </c>
      <c r="G55" s="8" t="s">
        <v>695</v>
      </c>
      <c r="H55" s="8" t="s">
        <v>384</v>
      </c>
      <c r="I55" s="8" t="s">
        <v>533</v>
      </c>
      <c r="J55" s="8" t="s">
        <v>31</v>
      </c>
      <c r="K55" s="8" t="s">
        <v>31</v>
      </c>
      <c r="L55" s="8" t="str">
        <f>IFERROR((IF(VLOOKUP($A55,'1-6 风险因素'!$A$3:$J$104,5,0)&gt;8,"高风险","")),"")</f>
        <v>高风险</v>
      </c>
      <c r="M55" s="8" t="str">
        <f>IFERROR((IF(VLOOKUP($A55,'1-6 风险因素'!$A$3:$J$104,6,0)&gt;8,"高风险","")),"")</f>
        <v/>
      </c>
      <c r="N55" s="8" t="str">
        <f>IFERROR((IF(VLOOKUP($A55,'1-6 风险因素'!$A$3:$J$104,7,0)&gt;8,"高风险","")),"")</f>
        <v/>
      </c>
      <c r="O55" s="8" t="str">
        <f>IFERROR((IF(VLOOKUP($A55,'1-6 风险因素'!$A$3:$J$104,8,0)&gt;8,"高风险","")),"")</f>
        <v/>
      </c>
      <c r="P55" s="8" t="str">
        <f>IFERROR((IF(VLOOKUP($A55,'1-6 风险因素'!$A$3:$J$104,9,0)&gt;8,"高风险","")),"")</f>
        <v/>
      </c>
      <c r="Q55" s="52"/>
    </row>
    <row r="56" spans="1:17" x14ac:dyDescent="0.3">
      <c r="A56" s="8" t="s">
        <v>128</v>
      </c>
      <c r="B56" s="3" t="s">
        <v>42</v>
      </c>
      <c r="C56" s="53">
        <v>25569</v>
      </c>
      <c r="D56" s="10">
        <f t="shared" ca="1" si="0"/>
        <v>51.983561643835614</v>
      </c>
      <c r="E56" s="54">
        <v>44440</v>
      </c>
      <c r="F56" s="10" t="s">
        <v>570</v>
      </c>
      <c r="G56" s="8" t="s">
        <v>508</v>
      </c>
      <c r="H56" s="8" t="s">
        <v>565</v>
      </c>
      <c r="I56" s="8" t="s">
        <v>534</v>
      </c>
      <c r="J56" s="8" t="s">
        <v>31</v>
      </c>
      <c r="K56" s="8" t="s">
        <v>31</v>
      </c>
      <c r="L56" s="8" t="str">
        <f>IFERROR((IF(VLOOKUP($A56,'1-6 风险因素'!$A$3:$J$104,5,0)&gt;8,"高风险","")),"")</f>
        <v>高风险</v>
      </c>
      <c r="M56" s="8" t="str">
        <f>IFERROR((IF(VLOOKUP($A56,'1-6 风险因素'!$A$3:$J$104,6,0)&gt;8,"高风险","")),"")</f>
        <v/>
      </c>
      <c r="N56" s="8" t="str">
        <f>IFERROR((IF(VLOOKUP($A56,'1-6 风险因素'!$A$3:$J$104,7,0)&gt;8,"高风险","")),"")</f>
        <v/>
      </c>
      <c r="O56" s="8" t="str">
        <f>IFERROR((IF(VLOOKUP($A56,'1-6 风险因素'!$A$3:$J$104,8,0)&gt;8,"高风险","")),"")</f>
        <v/>
      </c>
      <c r="P56" s="8" t="str">
        <f>IFERROR((IF(VLOOKUP($A56,'1-6 风险因素'!$A$3:$J$104,9,0)&gt;8,"高风险","")),"")</f>
        <v/>
      </c>
      <c r="Q56" s="52"/>
    </row>
    <row r="57" spans="1:17" x14ac:dyDescent="0.3">
      <c r="A57" s="8" t="s">
        <v>119</v>
      </c>
      <c r="B57" s="3" t="s">
        <v>42</v>
      </c>
      <c r="C57" s="53">
        <v>26543</v>
      </c>
      <c r="D57" s="10">
        <f t="shared" ca="1" si="0"/>
        <v>49.315068493150683</v>
      </c>
      <c r="E57" s="54">
        <v>42614</v>
      </c>
      <c r="F57" s="10" t="s">
        <v>570</v>
      </c>
      <c r="G57" s="8" t="s">
        <v>509</v>
      </c>
      <c r="H57" s="8" t="s">
        <v>565</v>
      </c>
      <c r="I57" s="8" t="s">
        <v>534</v>
      </c>
      <c r="J57" s="8" t="s">
        <v>31</v>
      </c>
      <c r="K57" s="8" t="s">
        <v>31</v>
      </c>
      <c r="L57" s="8" t="str">
        <f>IFERROR((IF(VLOOKUP($A57,'1-6 风险因素'!$A$3:$J$104,5,0)&gt;8,"高风险","")),"")</f>
        <v>高风险</v>
      </c>
      <c r="M57" s="8" t="str">
        <f>IFERROR((IF(VLOOKUP($A57,'1-6 风险因素'!$A$3:$J$104,6,0)&gt;8,"高风险","")),"")</f>
        <v>高风险</v>
      </c>
      <c r="N57" s="8" t="str">
        <f>IFERROR((IF(VLOOKUP($A57,'1-6 风险因素'!$A$3:$J$104,7,0)&gt;8,"高风险","")),"")</f>
        <v/>
      </c>
      <c r="O57" s="8" t="str">
        <f>IFERROR((IF(VLOOKUP($A57,'1-6 风险因素'!$A$3:$J$104,8,0)&gt;8,"高风险","")),"")</f>
        <v/>
      </c>
      <c r="P57" s="8" t="str">
        <f>IFERROR((IF(VLOOKUP($A57,'1-6 风险因素'!$A$3:$J$104,9,0)&gt;8,"高风险","")),"")</f>
        <v>高风险</v>
      </c>
      <c r="Q57" s="52"/>
    </row>
    <row r="58" spans="1:17" x14ac:dyDescent="0.3">
      <c r="A58" s="8" t="s">
        <v>67</v>
      </c>
      <c r="B58" s="3" t="s">
        <v>42</v>
      </c>
      <c r="C58" s="53">
        <v>30621</v>
      </c>
      <c r="D58" s="10">
        <f t="shared" ca="1" si="0"/>
        <v>38.142465753424659</v>
      </c>
      <c r="E58" s="54">
        <v>44440</v>
      </c>
      <c r="F58" s="10" t="s">
        <v>569</v>
      </c>
      <c r="G58" s="8" t="s">
        <v>679</v>
      </c>
      <c r="H58" s="8" t="s">
        <v>535</v>
      </c>
      <c r="I58" s="8" t="s">
        <v>533</v>
      </c>
      <c r="J58" s="8" t="s">
        <v>32</v>
      </c>
      <c r="K58" s="8" t="s">
        <v>32</v>
      </c>
      <c r="L58" s="8" t="str">
        <f>IFERROR((IF(VLOOKUP($A58,'1-6 风险因素'!$A$3:$J$104,5,0)&gt;8,"高风险","")),"")</f>
        <v>高风险</v>
      </c>
      <c r="M58" s="8" t="str">
        <f>IFERROR((IF(VLOOKUP($A58,'1-6 风险因素'!$A$3:$J$104,6,0)&gt;8,"高风险","")),"")</f>
        <v/>
      </c>
      <c r="N58" s="8" t="str">
        <f>IFERROR((IF(VLOOKUP($A58,'1-6 风险因素'!$A$3:$J$104,7,0)&gt;8,"高风险","")),"")</f>
        <v/>
      </c>
      <c r="O58" s="8" t="str">
        <f>IFERROR((IF(VLOOKUP($A58,'1-6 风险因素'!$A$3:$J$104,8,0)&gt;8,"高风险","")),"")</f>
        <v/>
      </c>
      <c r="P58" s="8" t="str">
        <f>IFERROR((IF(VLOOKUP($A58,'1-6 风险因素'!$A$3:$J$104,9,0)&gt;8,"高风险","")),"")</f>
        <v/>
      </c>
      <c r="Q58" s="52"/>
    </row>
    <row r="59" spans="1:17" x14ac:dyDescent="0.3">
      <c r="A59" s="8" t="s">
        <v>85</v>
      </c>
      <c r="B59" s="3" t="s">
        <v>42</v>
      </c>
      <c r="C59" s="53">
        <v>26299</v>
      </c>
      <c r="D59" s="10">
        <f t="shared" ca="1" si="0"/>
        <v>49.983561643835614</v>
      </c>
      <c r="E59" s="54">
        <v>43983</v>
      </c>
      <c r="F59" s="10" t="s">
        <v>570</v>
      </c>
      <c r="G59" s="8" t="s">
        <v>680</v>
      </c>
      <c r="H59" s="8" t="s">
        <v>536</v>
      </c>
      <c r="I59" s="8" t="s">
        <v>533</v>
      </c>
      <c r="J59" s="8" t="s">
        <v>32</v>
      </c>
      <c r="K59" s="8" t="s">
        <v>32</v>
      </c>
      <c r="L59" s="8" t="str">
        <f>IFERROR((IF(VLOOKUP($A59,'1-6 风险因素'!$A$3:$J$104,5,0)&gt;8,"高风险","")),"")</f>
        <v>高风险</v>
      </c>
      <c r="M59" s="8" t="str">
        <f>IFERROR((IF(VLOOKUP($A59,'1-6 风险因素'!$A$3:$J$104,6,0)&gt;8,"高风险","")),"")</f>
        <v/>
      </c>
      <c r="N59" s="8" t="str">
        <f>IFERROR((IF(VLOOKUP($A59,'1-6 风险因素'!$A$3:$J$104,7,0)&gt;8,"高风险","")),"")</f>
        <v/>
      </c>
      <c r="O59" s="8" t="str">
        <f>IFERROR((IF(VLOOKUP($A59,'1-6 风险因素'!$A$3:$J$104,8,0)&gt;8,"高风险","")),"")</f>
        <v/>
      </c>
      <c r="P59" s="8" t="str">
        <f>IFERROR((IF(VLOOKUP($A59,'1-6 风险因素'!$A$3:$J$104,9,0)&gt;8,"高风险","")),"")</f>
        <v/>
      </c>
      <c r="Q59" s="52"/>
    </row>
    <row r="60" spans="1:17" x14ac:dyDescent="0.3">
      <c r="A60" s="8" t="s">
        <v>105</v>
      </c>
      <c r="B60" s="3" t="s">
        <v>42</v>
      </c>
      <c r="C60" s="53">
        <v>26054</v>
      </c>
      <c r="D60" s="10">
        <f t="shared" ca="1" si="0"/>
        <v>50.654794520547945</v>
      </c>
      <c r="E60" s="54">
        <v>42887</v>
      </c>
      <c r="F60" s="10" t="s">
        <v>570</v>
      </c>
      <c r="G60" s="8" t="s">
        <v>681</v>
      </c>
      <c r="H60" s="8" t="s">
        <v>565</v>
      </c>
      <c r="I60" s="8" t="s">
        <v>534</v>
      </c>
      <c r="J60" s="8" t="s">
        <v>32</v>
      </c>
      <c r="K60" s="8" t="s">
        <v>32</v>
      </c>
      <c r="L60" s="8" t="str">
        <f>IFERROR((IF(VLOOKUP($A60,'1-6 风险因素'!$A$3:$J$104,5,0)&gt;8,"高风险","")),"")</f>
        <v>高风险</v>
      </c>
      <c r="M60" s="8" t="str">
        <f>IFERROR((IF(VLOOKUP($A60,'1-6 风险因素'!$A$3:$J$104,6,0)&gt;8,"高风险","")),"")</f>
        <v/>
      </c>
      <c r="N60" s="8" t="str">
        <f>IFERROR((IF(VLOOKUP($A60,'1-6 风险因素'!$A$3:$J$104,7,0)&gt;8,"高风险","")),"")</f>
        <v/>
      </c>
      <c r="O60" s="8" t="str">
        <f>IFERROR((IF(VLOOKUP($A60,'1-6 风险因素'!$A$3:$J$104,8,0)&gt;8,"高风险","")),"")</f>
        <v/>
      </c>
      <c r="P60" s="8" t="str">
        <f>IFERROR((IF(VLOOKUP($A60,'1-6 风险因素'!$A$3:$J$104,9,0)&gt;8,"高风险","")),"")</f>
        <v/>
      </c>
      <c r="Q60" s="52"/>
    </row>
    <row r="61" spans="1:17" x14ac:dyDescent="0.3">
      <c r="A61" s="8" t="s">
        <v>55</v>
      </c>
      <c r="B61" s="3" t="s">
        <v>42</v>
      </c>
      <c r="C61" s="53">
        <v>29221</v>
      </c>
      <c r="D61" s="10">
        <f t="shared" ca="1" si="0"/>
        <v>41.978082191780821</v>
      </c>
      <c r="E61" s="54">
        <v>43678</v>
      </c>
      <c r="F61" s="10" t="s">
        <v>569</v>
      </c>
      <c r="G61" s="8" t="s">
        <v>681</v>
      </c>
      <c r="H61" s="8" t="s">
        <v>565</v>
      </c>
      <c r="I61" s="8" t="s">
        <v>534</v>
      </c>
      <c r="J61" s="8" t="s">
        <v>32</v>
      </c>
      <c r="K61" s="8" t="s">
        <v>32</v>
      </c>
      <c r="L61" s="8" t="str">
        <f>IFERROR((IF(VLOOKUP($A61,'1-6 风险因素'!$A$3:$J$104,5,0)&gt;8,"高风险","")),"")</f>
        <v>高风险</v>
      </c>
      <c r="M61" s="8" t="str">
        <f>IFERROR((IF(VLOOKUP($A61,'1-6 风险因素'!$A$3:$J$104,6,0)&gt;8,"高风险","")),"")</f>
        <v/>
      </c>
      <c r="N61" s="8" t="str">
        <f>IFERROR((IF(VLOOKUP($A61,'1-6 风险因素'!$A$3:$J$104,7,0)&gt;8,"高风险","")),"")</f>
        <v>高风险</v>
      </c>
      <c r="O61" s="8" t="str">
        <f>IFERROR((IF(VLOOKUP($A61,'1-6 风险因素'!$A$3:$J$104,8,0)&gt;8,"高风险","")),"")</f>
        <v/>
      </c>
      <c r="P61" s="8" t="str">
        <f>IFERROR((IF(VLOOKUP($A61,'1-6 风险因素'!$A$3:$J$104,9,0)&gt;8,"高风险","")),"")</f>
        <v/>
      </c>
      <c r="Q61" s="52"/>
    </row>
    <row r="62" spans="1:17" x14ac:dyDescent="0.3">
      <c r="A62" s="8" t="s">
        <v>69</v>
      </c>
      <c r="B62" s="3" t="s">
        <v>42</v>
      </c>
      <c r="C62" s="53">
        <v>29830</v>
      </c>
      <c r="D62" s="10">
        <f t="shared" ca="1" si="0"/>
        <v>40.30958904109589</v>
      </c>
      <c r="E62" s="54">
        <v>44440</v>
      </c>
      <c r="F62" s="10" t="s">
        <v>571</v>
      </c>
      <c r="G62" s="8" t="s">
        <v>682</v>
      </c>
      <c r="H62" s="8" t="s">
        <v>535</v>
      </c>
      <c r="I62" s="8" t="s">
        <v>533</v>
      </c>
      <c r="J62" s="8" t="s">
        <v>33</v>
      </c>
      <c r="K62" s="8" t="s">
        <v>33</v>
      </c>
      <c r="L62" s="8" t="str">
        <f>IFERROR((IF(VLOOKUP($A62,'1-6 风险因素'!$A$3:$J$104,5,0)&gt;8,"高风险","")),"")</f>
        <v>高风险</v>
      </c>
      <c r="M62" s="8" t="str">
        <f>IFERROR((IF(VLOOKUP($A62,'1-6 风险因素'!$A$3:$J$104,6,0)&gt;8,"高风险","")),"")</f>
        <v/>
      </c>
      <c r="N62" s="8" t="str">
        <f>IFERROR((IF(VLOOKUP($A62,'1-6 风险因素'!$A$3:$J$104,7,0)&gt;8,"高风险","")),"")</f>
        <v/>
      </c>
      <c r="O62" s="8" t="str">
        <f>IFERROR((IF(VLOOKUP($A62,'1-6 风险因素'!$A$3:$J$104,8,0)&gt;8,"高风险","")),"")</f>
        <v/>
      </c>
      <c r="P62" s="8" t="str">
        <f>IFERROR((IF(VLOOKUP($A62,'1-6 风险因素'!$A$3:$J$104,9,0)&gt;8,"高风险","")),"")</f>
        <v/>
      </c>
      <c r="Q62" s="52"/>
    </row>
    <row r="63" spans="1:17" x14ac:dyDescent="0.3">
      <c r="A63" s="8" t="s">
        <v>82</v>
      </c>
      <c r="B63" s="3" t="s">
        <v>42</v>
      </c>
      <c r="C63" s="53">
        <v>25538</v>
      </c>
      <c r="D63" s="10">
        <f t="shared" ca="1" si="0"/>
        <v>52.06849315068493</v>
      </c>
      <c r="E63" s="54">
        <v>43435</v>
      </c>
      <c r="F63" s="10" t="s">
        <v>570</v>
      </c>
      <c r="G63" s="8" t="s">
        <v>683</v>
      </c>
      <c r="H63" s="8" t="s">
        <v>536</v>
      </c>
      <c r="I63" s="8" t="s">
        <v>533</v>
      </c>
      <c r="J63" s="8" t="s">
        <v>33</v>
      </c>
      <c r="K63" s="8" t="s">
        <v>33</v>
      </c>
      <c r="L63" s="8" t="str">
        <f>IFERROR((IF(VLOOKUP($A63,'1-6 风险因素'!$A$3:$J$104,5,0)&gt;8,"高风险","")),"")</f>
        <v>高风险</v>
      </c>
      <c r="M63" s="8" t="str">
        <f>IFERROR((IF(VLOOKUP($A63,'1-6 风险因素'!$A$3:$J$104,6,0)&gt;8,"高风险","")),"")</f>
        <v/>
      </c>
      <c r="N63" s="8" t="str">
        <f>IFERROR((IF(VLOOKUP($A63,'1-6 风险因素'!$A$3:$J$104,7,0)&gt;8,"高风险","")),"")</f>
        <v/>
      </c>
      <c r="O63" s="8" t="str">
        <f>IFERROR((IF(VLOOKUP($A63,'1-6 风险因素'!$A$3:$J$104,8,0)&gt;8,"高风险","")),"")</f>
        <v/>
      </c>
      <c r="P63" s="8" t="str">
        <f>IFERROR((IF(VLOOKUP($A63,'1-6 风险因素'!$A$3:$J$104,9,0)&gt;8,"高风险","")),"")</f>
        <v/>
      </c>
      <c r="Q63" s="52"/>
    </row>
    <row r="64" spans="1:17" x14ac:dyDescent="0.3">
      <c r="A64" s="8" t="s">
        <v>110</v>
      </c>
      <c r="B64" s="3" t="s">
        <v>42</v>
      </c>
      <c r="C64" s="53">
        <v>29037</v>
      </c>
      <c r="D64" s="10">
        <f t="shared" ca="1" si="0"/>
        <v>42.482191780821921</v>
      </c>
      <c r="E64" s="54">
        <v>42583</v>
      </c>
      <c r="F64" s="10" t="s">
        <v>569</v>
      </c>
      <c r="G64" s="8" t="s">
        <v>684</v>
      </c>
      <c r="H64" s="8" t="s">
        <v>565</v>
      </c>
      <c r="I64" s="8" t="s">
        <v>534</v>
      </c>
      <c r="J64" s="8" t="s">
        <v>33</v>
      </c>
      <c r="K64" s="8" t="s">
        <v>33</v>
      </c>
      <c r="L64" s="8" t="str">
        <f>IFERROR((IF(VLOOKUP($A64,'1-6 风险因素'!$A$3:$J$104,5,0)&gt;8,"高风险","")),"")</f>
        <v>高风险</v>
      </c>
      <c r="M64" s="8" t="str">
        <f>IFERROR((IF(VLOOKUP($A64,'1-6 风险因素'!$A$3:$J$104,6,0)&gt;8,"高风险","")),"")</f>
        <v/>
      </c>
      <c r="N64" s="8" t="str">
        <f>IFERROR((IF(VLOOKUP($A64,'1-6 风险因素'!$A$3:$J$104,7,0)&gt;8,"高风险","")),"")</f>
        <v/>
      </c>
      <c r="O64" s="8" t="str">
        <f>IFERROR((IF(VLOOKUP($A64,'1-6 风险因素'!$A$3:$J$104,8,0)&gt;8,"高风险","")),"")</f>
        <v/>
      </c>
      <c r="P64" s="8" t="str">
        <f>IFERROR((IF(VLOOKUP($A64,'1-6 风险因素'!$A$3:$J$104,9,0)&gt;8,"高风险","")),"")</f>
        <v/>
      </c>
      <c r="Q64" s="52"/>
    </row>
    <row r="65" spans="1:17" x14ac:dyDescent="0.3">
      <c r="A65" s="8" t="s">
        <v>140</v>
      </c>
      <c r="B65" s="3" t="s">
        <v>42</v>
      </c>
      <c r="C65" s="53">
        <v>30042</v>
      </c>
      <c r="D65" s="10">
        <f t="shared" ca="1" si="0"/>
        <v>39.728767123287675</v>
      </c>
      <c r="E65" s="54">
        <v>44440</v>
      </c>
      <c r="F65" s="10" t="s">
        <v>570</v>
      </c>
      <c r="G65" s="8" t="s">
        <v>684</v>
      </c>
      <c r="H65" s="8" t="s">
        <v>565</v>
      </c>
      <c r="I65" s="8" t="s">
        <v>534</v>
      </c>
      <c r="J65" s="8" t="s">
        <v>33</v>
      </c>
      <c r="K65" s="8" t="s">
        <v>33</v>
      </c>
      <c r="L65" s="8" t="str">
        <f>IFERROR((IF(VLOOKUP($A65,'1-6 风险因素'!$A$3:$J$104,5,0)&gt;8,"高风险","")),"")</f>
        <v>高风险</v>
      </c>
      <c r="M65" s="8" t="str">
        <f>IFERROR((IF(VLOOKUP($A65,'1-6 风险因素'!$A$3:$J$104,6,0)&gt;8,"高风险","")),"")</f>
        <v/>
      </c>
      <c r="N65" s="8" t="str">
        <f>IFERROR((IF(VLOOKUP($A65,'1-6 风险因素'!$A$3:$J$104,7,0)&gt;8,"高风险","")),"")</f>
        <v/>
      </c>
      <c r="O65" s="8" t="str">
        <f>IFERROR((IF(VLOOKUP($A65,'1-6 风险因素'!$A$3:$J$104,8,0)&gt;8,"高风险","")),"")</f>
        <v/>
      </c>
      <c r="P65" s="8" t="str">
        <f>IFERROR((IF(VLOOKUP($A65,'1-6 风险因素'!$A$3:$J$104,9,0)&gt;8,"高风险","")),"")</f>
        <v/>
      </c>
      <c r="Q65" s="52"/>
    </row>
    <row r="66" spans="1:17" x14ac:dyDescent="0.3">
      <c r="A66" s="8" t="s">
        <v>80</v>
      </c>
      <c r="B66" s="3" t="s">
        <v>42</v>
      </c>
      <c r="C66" s="53">
        <v>27242</v>
      </c>
      <c r="D66" s="10">
        <f t="shared" ca="1" si="0"/>
        <v>47.4</v>
      </c>
      <c r="E66" s="54">
        <v>43132</v>
      </c>
      <c r="F66" s="10" t="s">
        <v>570</v>
      </c>
      <c r="G66" s="8" t="s">
        <v>510</v>
      </c>
      <c r="H66" s="8" t="s">
        <v>564</v>
      </c>
      <c r="I66" s="8" t="s">
        <v>533</v>
      </c>
      <c r="J66" s="8" t="s">
        <v>34</v>
      </c>
      <c r="K66" s="8" t="s">
        <v>34</v>
      </c>
      <c r="L66" s="8" t="str">
        <f>IFERROR((IF(VLOOKUP($A66,'1-6 风险因素'!$A$3:$J$104,5,0)&gt;8,"高风险","")),"")</f>
        <v>高风险</v>
      </c>
      <c r="M66" s="8" t="str">
        <f>IFERROR((IF(VLOOKUP($A66,'1-6 风险因素'!$A$3:$J$104,6,0)&gt;8,"高风险","")),"")</f>
        <v/>
      </c>
      <c r="N66" s="8" t="str">
        <f>IFERROR((IF(VLOOKUP($A66,'1-6 风险因素'!$A$3:$J$104,7,0)&gt;8,"高风险","")),"")</f>
        <v/>
      </c>
      <c r="O66" s="8" t="str">
        <f>IFERROR((IF(VLOOKUP($A66,'1-6 风险因素'!$A$3:$J$104,8,0)&gt;8,"高风险","")),"")</f>
        <v/>
      </c>
      <c r="P66" s="8" t="str">
        <f>IFERROR((IF(VLOOKUP($A66,'1-6 风险因素'!$A$3:$J$104,9,0)&gt;8,"高风险","")),"")</f>
        <v/>
      </c>
      <c r="Q66" s="52"/>
    </row>
    <row r="67" spans="1:17" x14ac:dyDescent="0.3">
      <c r="A67" s="8" t="s">
        <v>131</v>
      </c>
      <c r="B67" s="3" t="s">
        <v>42</v>
      </c>
      <c r="C67" s="53">
        <v>26999</v>
      </c>
      <c r="D67" s="10">
        <f t="shared" ca="1" si="0"/>
        <v>48.065753424657537</v>
      </c>
      <c r="E67" s="54">
        <v>43983</v>
      </c>
      <c r="F67" s="10" t="s">
        <v>570</v>
      </c>
      <c r="G67" s="8" t="s">
        <v>511</v>
      </c>
      <c r="H67" s="8" t="s">
        <v>536</v>
      </c>
      <c r="I67" s="8" t="s">
        <v>533</v>
      </c>
      <c r="J67" s="8" t="s">
        <v>34</v>
      </c>
      <c r="K67" s="8" t="s">
        <v>34</v>
      </c>
      <c r="L67" s="8" t="str">
        <f>IFERROR((IF(VLOOKUP($A67,'1-6 风险因素'!$A$3:$J$104,5,0)&gt;8,"高风险","")),"")</f>
        <v>高风险</v>
      </c>
      <c r="M67" s="8" t="str">
        <f>IFERROR((IF(VLOOKUP($A67,'1-6 风险因素'!$A$3:$J$104,6,0)&gt;8,"高风险","")),"")</f>
        <v/>
      </c>
      <c r="N67" s="8" t="str">
        <f>IFERROR((IF(VLOOKUP($A67,'1-6 风险因素'!$A$3:$J$104,7,0)&gt;8,"高风险","")),"")</f>
        <v/>
      </c>
      <c r="O67" s="8" t="str">
        <f>IFERROR((IF(VLOOKUP($A67,'1-6 风险因素'!$A$3:$J$104,8,0)&gt;8,"高风险","")),"")</f>
        <v/>
      </c>
      <c r="P67" s="8" t="str">
        <f>IFERROR((IF(VLOOKUP($A67,'1-6 风险因素'!$A$3:$J$104,9,0)&gt;8,"高风险","")),"")</f>
        <v/>
      </c>
      <c r="Q67" s="52"/>
    </row>
    <row r="68" spans="1:17" x14ac:dyDescent="0.3">
      <c r="A68" s="8" t="s">
        <v>121</v>
      </c>
      <c r="B68" s="3" t="s">
        <v>42</v>
      </c>
      <c r="C68" s="53">
        <v>29252</v>
      </c>
      <c r="D68" s="10">
        <f t="shared" ref="D68:D87" ca="1" si="1">(TODAY()-C68)/365</f>
        <v>41.893150684931506</v>
      </c>
      <c r="E68" s="54">
        <v>44440</v>
      </c>
      <c r="F68" s="10" t="s">
        <v>570</v>
      </c>
      <c r="G68" s="8" t="s">
        <v>512</v>
      </c>
      <c r="H68" s="8" t="s">
        <v>565</v>
      </c>
      <c r="I68" s="8" t="s">
        <v>534</v>
      </c>
      <c r="J68" s="8" t="s">
        <v>34</v>
      </c>
      <c r="K68" s="8" t="s">
        <v>34</v>
      </c>
      <c r="L68" s="8" t="str">
        <f>IFERROR((IF(VLOOKUP($A68,'1-6 风险因素'!$A$3:$J$104,5,0)&gt;8,"高风险","")),"")</f>
        <v>高风险</v>
      </c>
      <c r="M68" s="8" t="str">
        <f>IFERROR((IF(VLOOKUP($A68,'1-6 风险因素'!$A$3:$J$104,6,0)&gt;8,"高风险","")),"")</f>
        <v/>
      </c>
      <c r="N68" s="8" t="str">
        <f>IFERROR((IF(VLOOKUP($A68,'1-6 风险因素'!$A$3:$J$104,7,0)&gt;8,"高风险","")),"")</f>
        <v/>
      </c>
      <c r="O68" s="8" t="str">
        <f>IFERROR((IF(VLOOKUP($A68,'1-6 风险因素'!$A$3:$J$104,8,0)&gt;8,"高风险","")),"")</f>
        <v/>
      </c>
      <c r="P68" s="8" t="str">
        <f>IFERROR((IF(VLOOKUP($A68,'1-6 风险因素'!$A$3:$J$104,9,0)&gt;8,"高风险","")),"")</f>
        <v/>
      </c>
      <c r="Q68" s="52"/>
    </row>
    <row r="69" spans="1:17" x14ac:dyDescent="0.3">
      <c r="A69" s="8" t="s">
        <v>98</v>
      </c>
      <c r="B69" s="3" t="s">
        <v>42</v>
      </c>
      <c r="C69" s="53">
        <v>27760</v>
      </c>
      <c r="D69" s="10">
        <f t="shared" ca="1" si="1"/>
        <v>45.980821917808221</v>
      </c>
      <c r="E69" s="54">
        <v>44440</v>
      </c>
      <c r="F69" s="10" t="s">
        <v>570</v>
      </c>
      <c r="G69" s="8" t="s">
        <v>513</v>
      </c>
      <c r="H69" s="8" t="s">
        <v>565</v>
      </c>
      <c r="I69" s="8" t="s">
        <v>534</v>
      </c>
      <c r="J69" s="8" t="s">
        <v>34</v>
      </c>
      <c r="K69" s="8" t="s">
        <v>34</v>
      </c>
      <c r="L69" s="8" t="str">
        <f>IFERROR((IF(VLOOKUP($A69,'1-6 风险因素'!$A$3:$J$104,5,0)&gt;8,"高风险","")),"")</f>
        <v>高风险</v>
      </c>
      <c r="M69" s="8" t="str">
        <f>IFERROR((IF(VLOOKUP($A69,'1-6 风险因素'!$A$3:$J$104,6,0)&gt;8,"高风险","")),"")</f>
        <v/>
      </c>
      <c r="N69" s="8" t="str">
        <f>IFERROR((IF(VLOOKUP($A69,'1-6 风险因素'!$A$3:$J$104,7,0)&gt;8,"高风险","")),"")</f>
        <v/>
      </c>
      <c r="O69" s="8" t="str">
        <f>IFERROR((IF(VLOOKUP($A69,'1-6 风险因素'!$A$3:$J$104,8,0)&gt;8,"高风险","")),"")</f>
        <v/>
      </c>
      <c r="P69" s="8" t="str">
        <f>IFERROR((IF(VLOOKUP($A69,'1-6 风险因素'!$A$3:$J$104,9,0)&gt;8,"高风险","")),"")</f>
        <v/>
      </c>
      <c r="Q69" s="52"/>
    </row>
    <row r="70" spans="1:17" x14ac:dyDescent="0.3">
      <c r="A70" s="8" t="s">
        <v>106</v>
      </c>
      <c r="B70" s="3" t="s">
        <v>42</v>
      </c>
      <c r="C70" s="53">
        <v>27881</v>
      </c>
      <c r="D70" s="10">
        <f t="shared" ca="1" si="1"/>
        <v>45.649315068493152</v>
      </c>
      <c r="E70" s="54">
        <v>43678</v>
      </c>
      <c r="F70" s="10" t="s">
        <v>570</v>
      </c>
      <c r="G70" s="8" t="s">
        <v>514</v>
      </c>
      <c r="H70" s="8" t="s">
        <v>565</v>
      </c>
      <c r="I70" s="8" t="s">
        <v>534</v>
      </c>
      <c r="J70" s="8" t="s">
        <v>34</v>
      </c>
      <c r="K70" s="8" t="s">
        <v>34</v>
      </c>
      <c r="L70" s="8" t="str">
        <f>IFERROR((IF(VLOOKUP($A70,'1-6 风险因素'!$A$3:$J$104,5,0)&gt;8,"高风险","")),"")</f>
        <v>高风险</v>
      </c>
      <c r="M70" s="8" t="str">
        <f>IFERROR((IF(VLOOKUP($A70,'1-6 风险因素'!$A$3:$J$104,6,0)&gt;8,"高风险","")),"")</f>
        <v/>
      </c>
      <c r="N70" s="8" t="str">
        <f>IFERROR((IF(VLOOKUP($A70,'1-6 风险因素'!$A$3:$J$104,7,0)&gt;8,"高风险","")),"")</f>
        <v/>
      </c>
      <c r="O70" s="8" t="str">
        <f>IFERROR((IF(VLOOKUP($A70,'1-6 风险因素'!$A$3:$J$104,8,0)&gt;8,"高风险","")),"")</f>
        <v/>
      </c>
      <c r="P70" s="8" t="str">
        <f>IFERROR((IF(VLOOKUP($A70,'1-6 风险因素'!$A$3:$J$104,9,0)&gt;8,"高风险","")),"")</f>
        <v/>
      </c>
      <c r="Q70" s="52"/>
    </row>
    <row r="71" spans="1:17" x14ac:dyDescent="0.3">
      <c r="A71" s="8" t="s">
        <v>87</v>
      </c>
      <c r="B71" s="3" t="s">
        <v>42</v>
      </c>
      <c r="C71" s="53">
        <v>27181</v>
      </c>
      <c r="D71" s="10">
        <f t="shared" ca="1" si="1"/>
        <v>47.56712328767123</v>
      </c>
      <c r="E71" s="54">
        <v>43435</v>
      </c>
      <c r="F71" s="10" t="s">
        <v>570</v>
      </c>
      <c r="G71" s="8" t="s">
        <v>515</v>
      </c>
      <c r="H71" s="8" t="s">
        <v>564</v>
      </c>
      <c r="I71" s="8" t="s">
        <v>533</v>
      </c>
      <c r="J71" s="8" t="s">
        <v>35</v>
      </c>
      <c r="K71" s="8" t="s">
        <v>35</v>
      </c>
      <c r="L71" s="8" t="str">
        <f>IFERROR((IF(VLOOKUP($A71,'1-6 风险因素'!$A$3:$J$104,5,0)&gt;8,"高风险","")),"")</f>
        <v>高风险</v>
      </c>
      <c r="M71" s="8" t="str">
        <f>IFERROR((IF(VLOOKUP($A71,'1-6 风险因素'!$A$3:$J$104,6,0)&gt;8,"高风险","")),"")</f>
        <v/>
      </c>
      <c r="N71" s="8" t="str">
        <f>IFERROR((IF(VLOOKUP($A71,'1-6 风险因素'!$A$3:$J$104,7,0)&gt;8,"高风险","")),"")</f>
        <v/>
      </c>
      <c r="O71" s="8" t="str">
        <f>IFERROR((IF(VLOOKUP($A71,'1-6 风险因素'!$A$3:$J$104,8,0)&gt;8,"高风险","")),"")</f>
        <v/>
      </c>
      <c r="P71" s="8" t="str">
        <f>IFERROR((IF(VLOOKUP($A71,'1-6 风险因素'!$A$3:$J$104,9,0)&gt;8,"高风险","")),"")</f>
        <v/>
      </c>
      <c r="Q71" s="52"/>
    </row>
    <row r="72" spans="1:17" x14ac:dyDescent="0.3">
      <c r="A72" s="8" t="s">
        <v>53</v>
      </c>
      <c r="B72" s="3" t="s">
        <v>42</v>
      </c>
      <c r="C72" s="53">
        <v>25051</v>
      </c>
      <c r="D72" s="10">
        <f t="shared" ca="1" si="1"/>
        <v>53.402739726027399</v>
      </c>
      <c r="E72" s="54">
        <v>43435</v>
      </c>
      <c r="F72" s="10" t="s">
        <v>570</v>
      </c>
      <c r="G72" s="8" t="s">
        <v>516</v>
      </c>
      <c r="H72" s="8" t="s">
        <v>536</v>
      </c>
      <c r="I72" s="8" t="s">
        <v>533</v>
      </c>
      <c r="J72" s="8" t="s">
        <v>35</v>
      </c>
      <c r="K72" s="8" t="s">
        <v>35</v>
      </c>
      <c r="L72" s="8" t="str">
        <f>IFERROR((IF(VLOOKUP($A72,'1-6 风险因素'!$A$3:$J$104,5,0)&gt;8,"高风险","")),"")</f>
        <v>高风险</v>
      </c>
      <c r="M72" s="8" t="str">
        <f>IFERROR((IF(VLOOKUP($A72,'1-6 风险因素'!$A$3:$J$104,6,0)&gt;8,"高风险","")),"")</f>
        <v/>
      </c>
      <c r="N72" s="8" t="str">
        <f>IFERROR((IF(VLOOKUP($A72,'1-6 风险因素'!$A$3:$J$104,7,0)&gt;8,"高风险","")),"")</f>
        <v/>
      </c>
      <c r="O72" s="8" t="str">
        <f>IFERROR((IF(VLOOKUP($A72,'1-6 风险因素'!$A$3:$J$104,8,0)&gt;8,"高风险","")),"")</f>
        <v/>
      </c>
      <c r="P72" s="8" t="str">
        <f>IFERROR((IF(VLOOKUP($A72,'1-6 风险因素'!$A$3:$J$104,9,0)&gt;8,"高风险","")),"")</f>
        <v/>
      </c>
      <c r="Q72" s="52"/>
    </row>
    <row r="73" spans="1:17" x14ac:dyDescent="0.3">
      <c r="A73" s="8" t="s">
        <v>111</v>
      </c>
      <c r="B73" s="3" t="s">
        <v>42</v>
      </c>
      <c r="C73" s="53">
        <v>25993</v>
      </c>
      <c r="D73" s="10">
        <f t="shared" ca="1" si="1"/>
        <v>50.821917808219176</v>
      </c>
      <c r="E73" s="54">
        <v>43983</v>
      </c>
      <c r="F73" s="10" t="s">
        <v>570</v>
      </c>
      <c r="G73" s="8" t="s">
        <v>517</v>
      </c>
      <c r="H73" s="8" t="s">
        <v>565</v>
      </c>
      <c r="I73" s="8" t="s">
        <v>534</v>
      </c>
      <c r="J73" s="8" t="s">
        <v>35</v>
      </c>
      <c r="K73" s="8" t="s">
        <v>35</v>
      </c>
      <c r="L73" s="8" t="str">
        <f>IFERROR((IF(VLOOKUP($A73,'1-6 风险因素'!$A$3:$J$104,5,0)&gt;8,"高风险","")),"")</f>
        <v>高风险</v>
      </c>
      <c r="M73" s="8" t="str">
        <f>IFERROR((IF(VLOOKUP($A73,'1-6 风险因素'!$A$3:$J$104,6,0)&gt;8,"高风险","")),"")</f>
        <v/>
      </c>
      <c r="N73" s="8" t="str">
        <f>IFERROR((IF(VLOOKUP($A73,'1-6 风险因素'!$A$3:$J$104,7,0)&gt;8,"高风险","")),"")</f>
        <v/>
      </c>
      <c r="O73" s="8" t="str">
        <f>IFERROR((IF(VLOOKUP($A73,'1-6 风险因素'!$A$3:$J$104,8,0)&gt;8,"高风险","")),"")</f>
        <v/>
      </c>
      <c r="P73" s="8" t="str">
        <f>IFERROR((IF(VLOOKUP($A73,'1-6 风险因素'!$A$3:$J$104,9,0)&gt;8,"高风险","")),"")</f>
        <v/>
      </c>
      <c r="Q73" s="52"/>
    </row>
    <row r="74" spans="1:17" x14ac:dyDescent="0.3">
      <c r="A74" s="8" t="s">
        <v>423</v>
      </c>
      <c r="B74" s="3" t="s">
        <v>42</v>
      </c>
      <c r="C74" s="53">
        <v>24473</v>
      </c>
      <c r="D74" s="10">
        <f t="shared" ca="1" si="1"/>
        <v>54.986301369863014</v>
      </c>
      <c r="E74" s="54">
        <v>42887</v>
      </c>
      <c r="F74" s="10" t="s">
        <v>570</v>
      </c>
      <c r="G74" s="8" t="s">
        <v>517</v>
      </c>
      <c r="H74" s="8" t="s">
        <v>565</v>
      </c>
      <c r="I74" s="8" t="s">
        <v>534</v>
      </c>
      <c r="J74" s="8" t="s">
        <v>35</v>
      </c>
      <c r="K74" s="8" t="s">
        <v>35</v>
      </c>
      <c r="L74" s="8" t="str">
        <f>IFERROR((IF(VLOOKUP($A74,'1-6 风险因素'!$A$3:$J$104,5,0)&gt;8,"高风险","")),"")</f>
        <v/>
      </c>
      <c r="M74" s="8" t="str">
        <f>IFERROR((IF(VLOOKUP($A74,'1-6 风险因素'!$A$3:$J$104,6,0)&gt;8,"高风险","")),"")</f>
        <v/>
      </c>
      <c r="N74" s="8" t="str">
        <f>IFERROR((IF(VLOOKUP($A74,'1-6 风险因素'!$A$3:$J$104,7,0)&gt;8,"高风险","")),"")</f>
        <v/>
      </c>
      <c r="O74" s="8" t="str">
        <f>IFERROR((IF(VLOOKUP($A74,'1-6 风险因素'!$A$3:$J$104,8,0)&gt;8,"高风险","")),"")</f>
        <v/>
      </c>
      <c r="P74" s="8" t="str">
        <f>IFERROR((IF(VLOOKUP($A74,'1-6 风险因素'!$A$3:$J$104,9,0)&gt;8,"高风险","")),"")</f>
        <v/>
      </c>
      <c r="Q74" s="52"/>
    </row>
    <row r="75" spans="1:17" x14ac:dyDescent="0.3">
      <c r="A75" s="8" t="s">
        <v>50</v>
      </c>
      <c r="B75" s="3" t="s">
        <v>42</v>
      </c>
      <c r="C75" s="53">
        <v>26024</v>
      </c>
      <c r="D75" s="10">
        <f t="shared" ca="1" si="1"/>
        <v>50.736986301369861</v>
      </c>
      <c r="E75" s="54">
        <v>43160</v>
      </c>
      <c r="F75" s="10" t="s">
        <v>569</v>
      </c>
      <c r="G75" s="8" t="s">
        <v>518</v>
      </c>
      <c r="H75" s="8" t="s">
        <v>564</v>
      </c>
      <c r="I75" s="8" t="s">
        <v>533</v>
      </c>
      <c r="J75" s="8" t="s">
        <v>36</v>
      </c>
      <c r="K75" s="8" t="s">
        <v>36</v>
      </c>
      <c r="L75" s="8" t="str">
        <f>IFERROR((IF(VLOOKUP($A75,'1-6 风险因素'!$A$3:$J$104,5,0)&gt;8,"高风险","")),"")</f>
        <v>高风险</v>
      </c>
      <c r="M75" s="8" t="str">
        <f>IFERROR((IF(VLOOKUP($A75,'1-6 风险因素'!$A$3:$J$104,6,0)&gt;8,"高风险","")),"")</f>
        <v/>
      </c>
      <c r="N75" s="8" t="str">
        <f>IFERROR((IF(VLOOKUP($A75,'1-6 风险因素'!$A$3:$J$104,7,0)&gt;8,"高风险","")),"")</f>
        <v/>
      </c>
      <c r="O75" s="8" t="str">
        <f>IFERROR((IF(VLOOKUP($A75,'1-6 风险因素'!$A$3:$J$104,8,0)&gt;8,"高风险","")),"")</f>
        <v/>
      </c>
      <c r="P75" s="8" t="str">
        <f>IFERROR((IF(VLOOKUP($A75,'1-6 风险因素'!$A$3:$J$104,9,0)&gt;8,"高风险","")),"")</f>
        <v/>
      </c>
      <c r="Q75" s="52"/>
    </row>
    <row r="76" spans="1:17" x14ac:dyDescent="0.3">
      <c r="A76" s="8" t="s">
        <v>130</v>
      </c>
      <c r="B76" s="3" t="s">
        <v>42</v>
      </c>
      <c r="C76" s="53">
        <v>26846</v>
      </c>
      <c r="D76" s="10">
        <f t="shared" ca="1" si="1"/>
        <v>48.484931506849314</v>
      </c>
      <c r="E76" s="54">
        <v>43160</v>
      </c>
      <c r="F76" s="10" t="s">
        <v>570</v>
      </c>
      <c r="G76" s="8" t="s">
        <v>519</v>
      </c>
      <c r="H76" s="8" t="s">
        <v>536</v>
      </c>
      <c r="I76" s="8" t="s">
        <v>533</v>
      </c>
      <c r="J76" s="8" t="s">
        <v>36</v>
      </c>
      <c r="K76" s="8" t="s">
        <v>36</v>
      </c>
      <c r="L76" s="8" t="str">
        <f>IFERROR((IF(VLOOKUP($A76,'1-6 风险因素'!$A$3:$J$104,5,0)&gt;8,"高风险","")),"")</f>
        <v>高风险</v>
      </c>
      <c r="M76" s="8" t="str">
        <f>IFERROR((IF(VLOOKUP($A76,'1-6 风险因素'!$A$3:$J$104,6,0)&gt;8,"高风险","")),"")</f>
        <v/>
      </c>
      <c r="N76" s="8" t="str">
        <f>IFERROR((IF(VLOOKUP($A76,'1-6 风险因素'!$A$3:$J$104,7,0)&gt;8,"高风险","")),"")</f>
        <v/>
      </c>
      <c r="O76" s="8" t="str">
        <f>IFERROR((IF(VLOOKUP($A76,'1-6 风险因素'!$A$3:$J$104,8,0)&gt;8,"高风险","")),"")</f>
        <v/>
      </c>
      <c r="P76" s="8" t="str">
        <f>IFERROR((IF(VLOOKUP($A76,'1-6 风险因素'!$A$3:$J$104,9,0)&gt;8,"高风险","")),"")</f>
        <v/>
      </c>
      <c r="Q76" s="52"/>
    </row>
    <row r="77" spans="1:17" x14ac:dyDescent="0.3">
      <c r="A77" s="8" t="s">
        <v>43</v>
      </c>
      <c r="B77" s="3" t="s">
        <v>42</v>
      </c>
      <c r="C77" s="53">
        <v>31747</v>
      </c>
      <c r="D77" s="10">
        <f t="shared" ca="1" si="1"/>
        <v>35.057534246575344</v>
      </c>
      <c r="E77" s="54">
        <v>43678</v>
      </c>
      <c r="F77" s="10" t="s">
        <v>569</v>
      </c>
      <c r="G77" s="8" t="s">
        <v>520</v>
      </c>
      <c r="H77" s="8" t="s">
        <v>565</v>
      </c>
      <c r="I77" s="8" t="s">
        <v>534</v>
      </c>
      <c r="J77" s="8" t="s">
        <v>36</v>
      </c>
      <c r="K77" s="8" t="s">
        <v>36</v>
      </c>
      <c r="L77" s="8" t="str">
        <f>IFERROR((IF(VLOOKUP($A77,'1-6 风险因素'!$A$3:$J$104,5,0)&gt;8,"高风险","")),"")</f>
        <v>高风险</v>
      </c>
      <c r="M77" s="8" t="str">
        <f>IFERROR((IF(VLOOKUP($A77,'1-6 风险因素'!$A$3:$J$104,6,0)&gt;8,"高风险","")),"")</f>
        <v/>
      </c>
      <c r="N77" s="8" t="str">
        <f>IFERROR((IF(VLOOKUP($A77,'1-6 风险因素'!$A$3:$J$104,7,0)&gt;8,"高风险","")),"")</f>
        <v/>
      </c>
      <c r="O77" s="8" t="str">
        <f>IFERROR((IF(VLOOKUP($A77,'1-6 风险因素'!$A$3:$J$104,8,0)&gt;8,"高风险","")),"")</f>
        <v/>
      </c>
      <c r="P77" s="8" t="str">
        <f>IFERROR((IF(VLOOKUP($A77,'1-6 风险因素'!$A$3:$J$104,9,0)&gt;8,"高风险","")),"")</f>
        <v/>
      </c>
      <c r="Q77" s="52"/>
    </row>
    <row r="78" spans="1:17" x14ac:dyDescent="0.3">
      <c r="A78" s="8" t="s">
        <v>107</v>
      </c>
      <c r="B78" s="3" t="s">
        <v>42</v>
      </c>
      <c r="C78" s="53">
        <v>25934</v>
      </c>
      <c r="D78" s="10">
        <f t="shared" ca="1" si="1"/>
        <v>50.983561643835614</v>
      </c>
      <c r="E78" s="54">
        <v>42614</v>
      </c>
      <c r="F78" s="10" t="s">
        <v>570</v>
      </c>
      <c r="G78" s="8" t="s">
        <v>521</v>
      </c>
      <c r="H78" s="8" t="s">
        <v>564</v>
      </c>
      <c r="I78" s="8" t="s">
        <v>533</v>
      </c>
      <c r="J78" s="8" t="s">
        <v>37</v>
      </c>
      <c r="K78" s="8" t="s">
        <v>37</v>
      </c>
      <c r="L78" s="8" t="str">
        <f>IFERROR((IF(VLOOKUP($A78,'1-6 风险因素'!$A$3:$J$104,5,0)&gt;8,"高风险","")),"")</f>
        <v>高风险</v>
      </c>
      <c r="M78" s="8" t="str">
        <f>IFERROR((IF(VLOOKUP($A78,'1-6 风险因素'!$A$3:$J$104,6,0)&gt;8,"高风险","")),"")</f>
        <v/>
      </c>
      <c r="N78" s="8" t="str">
        <f>IFERROR((IF(VLOOKUP($A78,'1-6 风险因素'!$A$3:$J$104,7,0)&gt;8,"高风险","")),"")</f>
        <v/>
      </c>
      <c r="O78" s="8" t="str">
        <f>IFERROR((IF(VLOOKUP($A78,'1-6 风险因素'!$A$3:$J$104,8,0)&gt;8,"高风险","")),"")</f>
        <v/>
      </c>
      <c r="P78" s="8" t="str">
        <f>IFERROR((IF(VLOOKUP($A78,'1-6 风险因素'!$A$3:$J$104,9,0)&gt;8,"高风险","")),"")</f>
        <v/>
      </c>
      <c r="Q78" s="52"/>
    </row>
    <row r="79" spans="1:17" x14ac:dyDescent="0.3">
      <c r="A79" s="8" t="s">
        <v>62</v>
      </c>
      <c r="B79" s="3" t="s">
        <v>42</v>
      </c>
      <c r="C79" s="53">
        <v>24898</v>
      </c>
      <c r="D79" s="10">
        <f t="shared" ca="1" si="1"/>
        <v>53.821917808219176</v>
      </c>
      <c r="E79" s="54">
        <v>41334</v>
      </c>
      <c r="F79" s="10" t="s">
        <v>570</v>
      </c>
      <c r="G79" s="8" t="s">
        <v>522</v>
      </c>
      <c r="H79" s="8" t="s">
        <v>565</v>
      </c>
      <c r="I79" s="8" t="s">
        <v>534</v>
      </c>
      <c r="J79" s="8" t="s">
        <v>37</v>
      </c>
      <c r="K79" s="8" t="s">
        <v>37</v>
      </c>
      <c r="L79" s="8" t="str">
        <f>IFERROR((IF(VLOOKUP($A79,'1-6 风险因素'!$A$3:$J$104,5,0)&gt;8,"高风险","")),"")</f>
        <v>高风险</v>
      </c>
      <c r="M79" s="8" t="str">
        <f>IFERROR((IF(VLOOKUP($A79,'1-6 风险因素'!$A$3:$J$104,6,0)&gt;8,"高风险","")),"")</f>
        <v/>
      </c>
      <c r="N79" s="8" t="str">
        <f>IFERROR((IF(VLOOKUP($A79,'1-6 风险因素'!$A$3:$J$104,7,0)&gt;8,"高风险","")),"")</f>
        <v/>
      </c>
      <c r="O79" s="8" t="str">
        <f>IFERROR((IF(VLOOKUP($A79,'1-6 风险因素'!$A$3:$J$104,8,0)&gt;8,"高风险","")),"")</f>
        <v/>
      </c>
      <c r="P79" s="8" t="str">
        <f>IFERROR((IF(VLOOKUP($A79,'1-6 风险因素'!$A$3:$J$104,9,0)&gt;8,"高风险","")),"")</f>
        <v/>
      </c>
      <c r="Q79" s="52"/>
    </row>
    <row r="80" spans="1:17" x14ac:dyDescent="0.3">
      <c r="A80" s="8" t="s">
        <v>137</v>
      </c>
      <c r="B80" s="3" t="s">
        <v>42</v>
      </c>
      <c r="C80" s="53">
        <v>29983</v>
      </c>
      <c r="D80" s="10">
        <f t="shared" ca="1" si="1"/>
        <v>39.890410958904113</v>
      </c>
      <c r="E80" s="54">
        <v>43678</v>
      </c>
      <c r="F80" s="10" t="s">
        <v>570</v>
      </c>
      <c r="G80" s="8" t="s">
        <v>523</v>
      </c>
      <c r="H80" s="8" t="s">
        <v>565</v>
      </c>
      <c r="I80" s="8" t="s">
        <v>534</v>
      </c>
      <c r="J80" s="8" t="s">
        <v>37</v>
      </c>
      <c r="K80" s="8" t="s">
        <v>37</v>
      </c>
      <c r="L80" s="8" t="str">
        <f>IFERROR((IF(VLOOKUP($A80,'1-6 风险因素'!$A$3:$J$104,5,0)&gt;8,"高风险","")),"")</f>
        <v>高风险</v>
      </c>
      <c r="M80" s="8" t="str">
        <f>IFERROR((IF(VLOOKUP($A80,'1-6 风险因素'!$A$3:$J$104,6,0)&gt;8,"高风险","")),"")</f>
        <v/>
      </c>
      <c r="N80" s="8" t="str">
        <f>IFERROR((IF(VLOOKUP($A80,'1-6 风险因素'!$A$3:$J$104,7,0)&gt;8,"高风险","")),"")</f>
        <v/>
      </c>
      <c r="O80" s="8" t="str">
        <f>IFERROR((IF(VLOOKUP($A80,'1-6 风险因素'!$A$3:$J$104,8,0)&gt;8,"高风险","")),"")</f>
        <v/>
      </c>
      <c r="P80" s="8" t="str">
        <f>IFERROR((IF(VLOOKUP($A80,'1-6 风险因素'!$A$3:$J$104,9,0)&gt;8,"高风险","")),"")</f>
        <v/>
      </c>
      <c r="Q80" s="52"/>
    </row>
    <row r="81" spans="1:17" x14ac:dyDescent="0.3">
      <c r="A81" s="8" t="s">
        <v>89</v>
      </c>
      <c r="B81" s="3" t="s">
        <v>42</v>
      </c>
      <c r="C81" s="53">
        <v>25447</v>
      </c>
      <c r="D81" s="10">
        <f t="shared" ca="1" si="1"/>
        <v>52.317808219178083</v>
      </c>
      <c r="E81" s="54">
        <v>43983</v>
      </c>
      <c r="F81" s="10" t="s">
        <v>570</v>
      </c>
      <c r="G81" s="8" t="s">
        <v>696</v>
      </c>
      <c r="H81" s="8" t="s">
        <v>564</v>
      </c>
      <c r="I81" s="8" t="s">
        <v>533</v>
      </c>
      <c r="J81" s="8" t="s">
        <v>531</v>
      </c>
      <c r="K81" s="8" t="s">
        <v>531</v>
      </c>
      <c r="L81" s="8" t="str">
        <f>IFERROR((IF(VLOOKUP($A81,'1-6 风险因素'!$A$3:$J$104,5,0)&gt;8,"高风险","")),"")</f>
        <v>高风险</v>
      </c>
      <c r="M81" s="8" t="str">
        <f>IFERROR((IF(VLOOKUP($A81,'1-6 风险因素'!$A$3:$J$104,6,0)&gt;8,"高风险","")),"")</f>
        <v>高风险</v>
      </c>
      <c r="N81" s="8" t="str">
        <f>IFERROR((IF(VLOOKUP($A81,'1-6 风险因素'!$A$3:$J$104,7,0)&gt;8,"高风险","")),"")</f>
        <v/>
      </c>
      <c r="O81" s="8" t="str">
        <f>IFERROR((IF(VLOOKUP($A81,'1-6 风险因素'!$A$3:$J$104,8,0)&gt;8,"高风险","")),"")</f>
        <v/>
      </c>
      <c r="P81" s="8" t="str">
        <f>IFERROR((IF(VLOOKUP($A81,'1-6 风险因素'!$A$3:$J$104,9,0)&gt;8,"高风险","")),"")</f>
        <v>高风险</v>
      </c>
      <c r="Q81" s="52"/>
    </row>
    <row r="82" spans="1:17" x14ac:dyDescent="0.3">
      <c r="A82" s="8" t="s">
        <v>75</v>
      </c>
      <c r="B82" s="3" t="s">
        <v>42</v>
      </c>
      <c r="C82" s="53">
        <v>26755</v>
      </c>
      <c r="D82" s="10">
        <f t="shared" ca="1" si="1"/>
        <v>48.734246575342468</v>
      </c>
      <c r="E82" s="54">
        <v>44440</v>
      </c>
      <c r="F82" s="10" t="s">
        <v>570</v>
      </c>
      <c r="G82" s="8" t="s">
        <v>685</v>
      </c>
      <c r="H82" s="8" t="s">
        <v>565</v>
      </c>
      <c r="I82" s="8" t="s">
        <v>534</v>
      </c>
      <c r="J82" s="8" t="s">
        <v>532</v>
      </c>
      <c r="K82" s="8" t="s">
        <v>532</v>
      </c>
      <c r="L82" s="8" t="str">
        <f>IFERROR((IF(VLOOKUP($A82,'1-6 风险因素'!$A$3:$J$104,5,0)&gt;8,"高风险","")),"")</f>
        <v>高风险</v>
      </c>
      <c r="M82" s="8" t="str">
        <f>IFERROR((IF(VLOOKUP($A82,'1-6 风险因素'!$A$3:$J$104,6,0)&gt;8,"高风险","")),"")</f>
        <v/>
      </c>
      <c r="N82" s="8" t="str">
        <f>IFERROR((IF(VLOOKUP($A82,'1-6 风险因素'!$A$3:$J$104,7,0)&gt;8,"高风险","")),"")</f>
        <v/>
      </c>
      <c r="O82" s="8" t="str">
        <f>IFERROR((IF(VLOOKUP($A82,'1-6 风险因素'!$A$3:$J$104,8,0)&gt;8,"高风险","")),"")</f>
        <v/>
      </c>
      <c r="P82" s="8" t="str">
        <f>IFERROR((IF(VLOOKUP($A82,'1-6 风险因素'!$A$3:$J$104,9,0)&gt;8,"高风险","")),"")</f>
        <v>高风险</v>
      </c>
      <c r="Q82" s="52"/>
    </row>
    <row r="83" spans="1:17" x14ac:dyDescent="0.3">
      <c r="A83" s="8" t="s">
        <v>93</v>
      </c>
      <c r="B83" s="3" t="s">
        <v>42</v>
      </c>
      <c r="C83" s="53">
        <v>25873</v>
      </c>
      <c r="D83" s="10">
        <f t="shared" ca="1" si="1"/>
        <v>51.150684931506852</v>
      </c>
      <c r="E83" s="54">
        <v>44440</v>
      </c>
      <c r="F83" s="10" t="s">
        <v>570</v>
      </c>
      <c r="G83" s="8" t="s">
        <v>524</v>
      </c>
      <c r="H83" s="8" t="s">
        <v>564</v>
      </c>
      <c r="I83" s="8" t="s">
        <v>533</v>
      </c>
      <c r="J83" s="8" t="s">
        <v>566</v>
      </c>
      <c r="K83" s="8" t="s">
        <v>566</v>
      </c>
      <c r="L83" s="8" t="str">
        <f>IFERROR((IF(VLOOKUP($A83,'1-6 风险因素'!$A$3:$J$104,5,0)&gt;8,"高风险","")),"")</f>
        <v>高风险</v>
      </c>
      <c r="M83" s="8" t="str">
        <f>IFERROR((IF(VLOOKUP($A83,'1-6 风险因素'!$A$3:$J$104,6,0)&gt;8,"高风险","")),"")</f>
        <v>高风险</v>
      </c>
      <c r="N83" s="8" t="str">
        <f>IFERROR((IF(VLOOKUP($A83,'1-6 风险因素'!$A$3:$J$104,7,0)&gt;8,"高风险","")),"")</f>
        <v/>
      </c>
      <c r="O83" s="8" t="str">
        <f>IFERROR((IF(VLOOKUP($A83,'1-6 风险因素'!$A$3:$J$104,8,0)&gt;8,"高风险","")),"")</f>
        <v>高风险</v>
      </c>
      <c r="P83" s="8" t="str">
        <f>IFERROR((IF(VLOOKUP($A83,'1-6 风险因素'!$A$3:$J$104,9,0)&gt;8,"高风险","")),"")</f>
        <v/>
      </c>
      <c r="Q83" s="52"/>
    </row>
    <row r="84" spans="1:17" x14ac:dyDescent="0.3">
      <c r="A84" s="8" t="s">
        <v>68</v>
      </c>
      <c r="B84" s="3" t="s">
        <v>42</v>
      </c>
      <c r="C84" s="53">
        <v>24838</v>
      </c>
      <c r="D84" s="10">
        <f t="shared" ca="1" si="1"/>
        <v>53.986301369863014</v>
      </c>
      <c r="E84" s="54">
        <v>44013</v>
      </c>
      <c r="F84" s="10" t="s">
        <v>570</v>
      </c>
      <c r="G84" s="8" t="s">
        <v>525</v>
      </c>
      <c r="H84" s="8" t="s">
        <v>564</v>
      </c>
      <c r="I84" s="8" t="s">
        <v>533</v>
      </c>
      <c r="J84" s="8" t="s">
        <v>567</v>
      </c>
      <c r="K84" s="8" t="s">
        <v>567</v>
      </c>
      <c r="L84" s="8" t="str">
        <f>IFERROR((IF(VLOOKUP($A84,'1-6 风险因素'!$A$3:$J$104,5,0)&gt;8,"高风险","")),"")</f>
        <v>高风险</v>
      </c>
      <c r="M84" s="8" t="str">
        <f>IFERROR((IF(VLOOKUP($A84,'1-6 风险因素'!$A$3:$J$104,6,0)&gt;8,"高风险","")),"")</f>
        <v/>
      </c>
      <c r="N84" s="8" t="str">
        <f>IFERROR((IF(VLOOKUP($A84,'1-6 风险因素'!$A$3:$J$104,7,0)&gt;8,"高风险","")),"")</f>
        <v/>
      </c>
      <c r="O84" s="8" t="str">
        <f>IFERROR((IF(VLOOKUP($A84,'1-6 风险因素'!$A$3:$J$104,8,0)&gt;8,"高风险","")),"")</f>
        <v/>
      </c>
      <c r="P84" s="8" t="str">
        <f>IFERROR((IF(VLOOKUP($A84,'1-6 风险因素'!$A$3:$J$104,9,0)&gt;8,"高风险","")),"")</f>
        <v/>
      </c>
      <c r="Q84" s="52"/>
    </row>
    <row r="85" spans="1:17" x14ac:dyDescent="0.3">
      <c r="A85" s="8" t="s">
        <v>99</v>
      </c>
      <c r="B85" s="3" t="s">
        <v>42</v>
      </c>
      <c r="C85" s="53">
        <v>25569</v>
      </c>
      <c r="D85" s="10">
        <f t="shared" ca="1" si="1"/>
        <v>51.983561643835614</v>
      </c>
      <c r="E85" s="54">
        <v>44013</v>
      </c>
      <c r="F85" s="10" t="s">
        <v>570</v>
      </c>
      <c r="G85" s="8" t="s">
        <v>526</v>
      </c>
      <c r="H85" s="8" t="s">
        <v>565</v>
      </c>
      <c r="I85" s="8" t="s">
        <v>534</v>
      </c>
      <c r="J85" s="8" t="s">
        <v>567</v>
      </c>
      <c r="K85" s="8" t="s">
        <v>567</v>
      </c>
      <c r="L85" s="8" t="str">
        <f>IFERROR((IF(VLOOKUP($A85,'1-6 风险因素'!$A$3:$J$104,5,0)&gt;8,"高风险","")),"")</f>
        <v>高风险</v>
      </c>
      <c r="M85" s="8" t="str">
        <f>IFERROR((IF(VLOOKUP($A85,'1-6 风险因素'!$A$3:$J$104,6,0)&gt;8,"高风险","")),"")</f>
        <v/>
      </c>
      <c r="N85" s="8" t="str">
        <f>IFERROR((IF(VLOOKUP($A85,'1-6 风险因素'!$A$3:$J$104,7,0)&gt;8,"高风险","")),"")</f>
        <v/>
      </c>
      <c r="O85" s="8" t="str">
        <f>IFERROR((IF(VLOOKUP($A85,'1-6 风险因素'!$A$3:$J$104,8,0)&gt;8,"高风险","")),"")</f>
        <v/>
      </c>
      <c r="P85" s="8" t="str">
        <f>IFERROR((IF(VLOOKUP($A85,'1-6 风险因素'!$A$3:$J$104,9,0)&gt;8,"高风险","")),"")</f>
        <v/>
      </c>
      <c r="Q85" s="52"/>
    </row>
    <row r="86" spans="1:17" x14ac:dyDescent="0.3">
      <c r="A86" s="8" t="s">
        <v>133</v>
      </c>
      <c r="B86" s="3" t="s">
        <v>42</v>
      </c>
      <c r="C86" s="53">
        <v>24869</v>
      </c>
      <c r="D86" s="10">
        <f t="shared" ca="1" si="1"/>
        <v>53.901369863013699</v>
      </c>
      <c r="E86" s="54">
        <v>44013</v>
      </c>
      <c r="F86" s="10" t="s">
        <v>570</v>
      </c>
      <c r="G86" s="8" t="s">
        <v>527</v>
      </c>
      <c r="H86" s="8" t="s">
        <v>565</v>
      </c>
      <c r="I86" s="8" t="s">
        <v>534</v>
      </c>
      <c r="J86" s="8" t="s">
        <v>568</v>
      </c>
      <c r="K86" s="8" t="s">
        <v>568</v>
      </c>
      <c r="L86" s="8" t="str">
        <f>IFERROR((IF(VLOOKUP($A86,'1-6 风险因素'!$A$3:$J$104,5,0)&gt;8,"高风险","")),"")</f>
        <v>高风险</v>
      </c>
      <c r="M86" s="8" t="str">
        <f>IFERROR((IF(VLOOKUP($A86,'1-6 风险因素'!$A$3:$J$104,6,0)&gt;8,"高风险","")),"")</f>
        <v/>
      </c>
      <c r="N86" s="8" t="str">
        <f>IFERROR((IF(VLOOKUP($A86,'1-6 风险因素'!$A$3:$J$104,7,0)&gt;8,"高风险","")),"")</f>
        <v/>
      </c>
      <c r="O86" s="8" t="str">
        <f>IFERROR((IF(VLOOKUP($A86,'1-6 风险因素'!$A$3:$J$104,8,0)&gt;8,"高风险","")),"")</f>
        <v/>
      </c>
      <c r="P86" s="8" t="str">
        <f>IFERROR((IF(VLOOKUP($A86,'1-6 风险因素'!$A$3:$J$104,9,0)&gt;8,"高风险","")),"")</f>
        <v/>
      </c>
      <c r="Q86" s="52"/>
    </row>
    <row r="87" spans="1:17" x14ac:dyDescent="0.3">
      <c r="A87" s="8" t="s">
        <v>426</v>
      </c>
      <c r="B87" s="3" t="s">
        <v>42</v>
      </c>
      <c r="C87" s="53">
        <v>24442</v>
      </c>
      <c r="D87" s="10">
        <f t="shared" ca="1" si="1"/>
        <v>55.07123287671233</v>
      </c>
      <c r="E87" s="54">
        <v>44013</v>
      </c>
      <c r="F87" s="10" t="s">
        <v>570</v>
      </c>
      <c r="G87" s="8" t="s">
        <v>528</v>
      </c>
      <c r="H87" s="8" t="s">
        <v>536</v>
      </c>
      <c r="I87" s="8" t="s">
        <v>534</v>
      </c>
      <c r="J87" s="8" t="s">
        <v>568</v>
      </c>
      <c r="K87" s="8" t="s">
        <v>568</v>
      </c>
      <c r="L87" s="8" t="str">
        <f>IFERROR((IF(VLOOKUP($A87,'1-6 风险因素'!$A$3:$J$104,5,0)&gt;8,"高风险","")),"")</f>
        <v/>
      </c>
      <c r="M87" s="8" t="str">
        <f>IFERROR((IF(VLOOKUP($A87,'1-6 风险因素'!$A$3:$J$104,6,0)&gt;8,"高风险","")),"")</f>
        <v/>
      </c>
      <c r="N87" s="8" t="str">
        <f>IFERROR((IF(VLOOKUP($A87,'1-6 风险因素'!$A$3:$J$104,7,0)&gt;8,"高风险","")),"")</f>
        <v/>
      </c>
      <c r="O87" s="8" t="str">
        <f>IFERROR((IF(VLOOKUP($A87,'1-6 风险因素'!$A$3:$J$104,8,0)&gt;8,"高风险","")),"")</f>
        <v/>
      </c>
      <c r="P87" s="8" t="str">
        <f>IFERROR((IF(VLOOKUP($A87,'1-6 风险因素'!$A$3:$J$104,9,0)&gt;8,"高风险","")),"")</f>
        <v/>
      </c>
      <c r="Q87" s="52"/>
    </row>
    <row r="88" spans="1:17" x14ac:dyDescent="0.3">
      <c r="A88" s="8"/>
      <c r="B88" s="3"/>
      <c r="C88" s="53"/>
      <c r="D88" s="10"/>
      <c r="E88" s="10"/>
      <c r="F88" s="10"/>
      <c r="G88" s="8"/>
      <c r="H88" s="8"/>
      <c r="I88" s="8"/>
      <c r="J88" s="8"/>
      <c r="K88" s="8"/>
      <c r="L88" s="8"/>
      <c r="M88" s="8"/>
      <c r="N88" s="8"/>
      <c r="O88" s="8"/>
      <c r="P88" s="8"/>
      <c r="Q88" s="52"/>
    </row>
    <row r="89" spans="1:17" x14ac:dyDescent="0.3">
      <c r="A89" s="8"/>
      <c r="B89" s="3"/>
      <c r="C89" s="53"/>
      <c r="D89" s="10"/>
      <c r="E89" s="10"/>
      <c r="F89" s="10"/>
      <c r="G89" s="8"/>
      <c r="H89" s="8"/>
      <c r="I89" s="8"/>
      <c r="J89" s="8"/>
      <c r="K89" s="8"/>
      <c r="L89" s="8"/>
      <c r="M89" s="8"/>
      <c r="N89" s="8"/>
      <c r="O89" s="8"/>
      <c r="P89" s="8"/>
      <c r="Q89" s="52"/>
    </row>
    <row r="90" spans="1:17" x14ac:dyDescent="0.3">
      <c r="A90" s="8"/>
      <c r="B90" s="3"/>
      <c r="C90" s="53"/>
      <c r="D90" s="10"/>
      <c r="E90" s="10"/>
      <c r="F90" s="10"/>
      <c r="G90" s="8"/>
      <c r="H90" s="8"/>
      <c r="I90" s="8"/>
      <c r="J90" s="8"/>
      <c r="K90" s="8"/>
      <c r="L90" s="8"/>
      <c r="M90" s="8"/>
      <c r="N90" s="8"/>
      <c r="O90" s="8"/>
      <c r="P90" s="8"/>
      <c r="Q90" s="52"/>
    </row>
    <row r="91" spans="1:17" x14ac:dyDescent="0.3">
      <c r="A91" s="8"/>
      <c r="B91" s="3"/>
      <c r="C91" s="53"/>
      <c r="D91" s="10"/>
      <c r="E91" s="10"/>
      <c r="F91" s="10"/>
      <c r="G91" s="8"/>
      <c r="H91" s="8"/>
      <c r="I91" s="8"/>
      <c r="J91" s="8"/>
      <c r="K91" s="8"/>
      <c r="L91" s="8"/>
      <c r="M91" s="8"/>
      <c r="N91" s="8"/>
      <c r="O91" s="8"/>
      <c r="P91" s="8"/>
      <c r="Q91" s="52"/>
    </row>
    <row r="92" spans="1:17" x14ac:dyDescent="0.3">
      <c r="A92" s="8"/>
      <c r="B92" s="3"/>
      <c r="C92" s="53"/>
      <c r="D92" s="10"/>
      <c r="E92" s="10"/>
      <c r="F92" s="10"/>
      <c r="G92" s="8"/>
      <c r="H92" s="8"/>
      <c r="I92" s="8"/>
      <c r="J92" s="8"/>
      <c r="K92" s="8"/>
      <c r="L92" s="8"/>
      <c r="M92" s="8"/>
      <c r="N92" s="8"/>
      <c r="O92" s="8"/>
      <c r="P92" s="8"/>
      <c r="Q92" s="52"/>
    </row>
    <row r="93" spans="1:17" x14ac:dyDescent="0.3">
      <c r="A93" s="8"/>
      <c r="B93" s="3"/>
      <c r="C93" s="53"/>
      <c r="D93" s="10"/>
      <c r="E93" s="10"/>
      <c r="F93" s="10"/>
      <c r="G93" s="8"/>
      <c r="H93" s="8"/>
      <c r="I93" s="8"/>
      <c r="J93" s="8"/>
      <c r="K93" s="8"/>
      <c r="L93" s="8"/>
      <c r="M93" s="8"/>
      <c r="N93" s="8"/>
      <c r="O93" s="8"/>
      <c r="P93" s="8"/>
      <c r="Q93" s="52"/>
    </row>
    <row r="94" spans="1:17" x14ac:dyDescent="0.3">
      <c r="A94" s="8"/>
      <c r="B94" s="3"/>
      <c r="C94" s="53"/>
      <c r="D94" s="10"/>
      <c r="E94" s="10"/>
      <c r="F94" s="10"/>
      <c r="G94" s="8"/>
      <c r="H94" s="8"/>
      <c r="I94" s="8"/>
      <c r="J94" s="8"/>
      <c r="K94" s="8"/>
      <c r="L94" s="8"/>
      <c r="M94" s="8"/>
      <c r="N94" s="8"/>
      <c r="O94" s="8"/>
      <c r="P94" s="8"/>
      <c r="Q94" s="52"/>
    </row>
    <row r="95" spans="1:17" x14ac:dyDescent="0.3">
      <c r="A95" s="8"/>
      <c r="B95" s="3"/>
      <c r="C95" s="53"/>
      <c r="D95" s="10"/>
      <c r="E95" s="10"/>
      <c r="F95" s="10"/>
      <c r="G95" s="8"/>
      <c r="H95" s="8"/>
      <c r="I95" s="8"/>
      <c r="J95" s="8"/>
      <c r="K95" s="8"/>
      <c r="L95" s="8"/>
      <c r="M95" s="8"/>
      <c r="N95" s="8"/>
      <c r="O95" s="8"/>
      <c r="P95" s="8"/>
      <c r="Q95" s="52"/>
    </row>
    <row r="96" spans="1:17" x14ac:dyDescent="0.3">
      <c r="A96" s="8"/>
      <c r="B96" s="3"/>
      <c r="C96" s="53"/>
      <c r="D96" s="10"/>
      <c r="E96" s="10"/>
      <c r="F96" s="10"/>
      <c r="G96" s="8"/>
      <c r="H96" s="8"/>
      <c r="I96" s="8"/>
      <c r="J96" s="8"/>
      <c r="K96" s="8"/>
      <c r="L96" s="8"/>
      <c r="M96" s="8"/>
      <c r="N96" s="8"/>
      <c r="O96" s="8"/>
      <c r="P96" s="8"/>
      <c r="Q96" s="52"/>
    </row>
    <row r="97" spans="1:17" x14ac:dyDescent="0.3">
      <c r="A97" s="8"/>
      <c r="B97" s="3"/>
      <c r="C97" s="53"/>
      <c r="D97" s="10"/>
      <c r="E97" s="10"/>
      <c r="F97" s="10"/>
      <c r="G97" s="8"/>
      <c r="H97" s="8"/>
      <c r="I97" s="8"/>
      <c r="J97" s="8"/>
      <c r="K97" s="8"/>
      <c r="L97" s="8"/>
      <c r="M97" s="8"/>
      <c r="N97" s="8"/>
      <c r="O97" s="8"/>
      <c r="P97" s="8"/>
      <c r="Q97" s="52"/>
    </row>
    <row r="98" spans="1:17" x14ac:dyDescent="0.3">
      <c r="A98" s="8"/>
      <c r="B98" s="3"/>
      <c r="C98" s="53"/>
      <c r="D98" s="10"/>
      <c r="E98" s="10"/>
      <c r="F98" s="10"/>
      <c r="G98" s="8"/>
      <c r="H98" s="8"/>
      <c r="I98" s="8"/>
      <c r="J98" s="8"/>
      <c r="K98" s="8"/>
      <c r="L98" s="8"/>
      <c r="M98" s="8"/>
      <c r="N98" s="8"/>
      <c r="O98" s="8"/>
      <c r="P98" s="8"/>
      <c r="Q98" s="52"/>
    </row>
    <row r="99" spans="1:17" x14ac:dyDescent="0.3">
      <c r="A99" s="8"/>
      <c r="B99" s="3"/>
      <c r="C99" s="53"/>
      <c r="D99" s="10"/>
      <c r="E99" s="10"/>
      <c r="F99" s="10"/>
      <c r="G99" s="8"/>
      <c r="H99" s="8"/>
      <c r="I99" s="8"/>
      <c r="J99" s="8"/>
      <c r="K99" s="8"/>
      <c r="L99" s="8"/>
      <c r="M99" s="8"/>
      <c r="N99" s="8"/>
      <c r="O99" s="8"/>
      <c r="P99" s="8"/>
      <c r="Q99" s="52"/>
    </row>
    <row r="100" spans="1:17" x14ac:dyDescent="0.3">
      <c r="A100" s="8"/>
      <c r="B100" s="3"/>
      <c r="C100" s="53"/>
      <c r="D100" s="10"/>
      <c r="E100" s="10"/>
      <c r="F100" s="1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52"/>
    </row>
    <row r="101" spans="1:17" x14ac:dyDescent="0.3">
      <c r="A101" s="8"/>
      <c r="B101" s="3"/>
      <c r="C101" s="53"/>
      <c r="D101" s="10"/>
      <c r="E101" s="10"/>
      <c r="F101" s="1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52"/>
    </row>
    <row r="102" spans="1:17" x14ac:dyDescent="0.3">
      <c r="A102" s="8"/>
      <c r="B102" s="3"/>
      <c r="C102" s="53"/>
      <c r="D102" s="10"/>
      <c r="E102" s="10"/>
      <c r="F102" s="1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52"/>
    </row>
    <row r="103" spans="1:17" x14ac:dyDescent="0.3">
      <c r="A103" s="8"/>
      <c r="B103" s="3"/>
      <c r="C103" s="53"/>
      <c r="D103" s="10"/>
      <c r="E103" s="10"/>
      <c r="F103" s="10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52"/>
    </row>
    <row r="104" spans="1:17" x14ac:dyDescent="0.3">
      <c r="A104" s="8"/>
      <c r="B104" s="3"/>
      <c r="C104" s="53"/>
      <c r="D104" s="10"/>
      <c r="E104" s="10"/>
      <c r="F104" s="10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52"/>
    </row>
    <row r="105" spans="1:17" x14ac:dyDescent="0.3">
      <c r="A105" s="8"/>
      <c r="B105" s="9"/>
      <c r="C105" s="54"/>
      <c r="D105" s="10"/>
      <c r="E105" s="10"/>
      <c r="F105" s="10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52"/>
    </row>
    <row r="106" spans="1:17" x14ac:dyDescent="0.3">
      <c r="A106" s="8"/>
      <c r="B106" s="9"/>
      <c r="C106" s="54"/>
      <c r="D106" s="10"/>
      <c r="E106" s="10"/>
      <c r="F106" s="10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52"/>
    </row>
    <row r="107" spans="1:17" x14ac:dyDescent="0.3">
      <c r="A107" s="8"/>
      <c r="B107" s="9"/>
      <c r="C107" s="54"/>
      <c r="D107" s="10"/>
      <c r="E107" s="10"/>
      <c r="F107" s="10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52"/>
    </row>
    <row r="108" spans="1:17" x14ac:dyDescent="0.3">
      <c r="A108" s="8"/>
      <c r="B108" s="9"/>
      <c r="C108" s="54"/>
      <c r="D108" s="10"/>
      <c r="E108" s="10"/>
      <c r="F108" s="10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52"/>
    </row>
    <row r="109" spans="1:17" x14ac:dyDescent="0.3">
      <c r="A109" s="8"/>
      <c r="B109" s="9"/>
      <c r="C109" s="54"/>
      <c r="D109" s="10"/>
      <c r="E109" s="10"/>
      <c r="F109" s="10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52"/>
    </row>
    <row r="110" spans="1:17" x14ac:dyDescent="0.3">
      <c r="A110" s="8"/>
      <c r="B110" s="9"/>
      <c r="C110" s="54"/>
      <c r="D110" s="10"/>
      <c r="E110" s="10"/>
      <c r="F110" s="10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52"/>
    </row>
    <row r="111" spans="1:17" x14ac:dyDescent="0.3">
      <c r="A111" s="8"/>
      <c r="B111" s="9"/>
      <c r="C111" s="54"/>
      <c r="D111" s="10"/>
      <c r="E111" s="10"/>
      <c r="F111" s="10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52"/>
    </row>
    <row r="112" spans="1:17" x14ac:dyDescent="0.3">
      <c r="A112" s="8"/>
      <c r="B112" s="9"/>
      <c r="C112" s="54"/>
      <c r="D112" s="10"/>
      <c r="E112" s="10"/>
      <c r="F112" s="10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52"/>
    </row>
    <row r="113" spans="1:17" x14ac:dyDescent="0.3">
      <c r="A113" s="8"/>
      <c r="B113" s="9"/>
      <c r="C113" s="54"/>
      <c r="D113" s="10"/>
      <c r="E113" s="10"/>
      <c r="F113" s="10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52"/>
    </row>
    <row r="114" spans="1:17" x14ac:dyDescent="0.3">
      <c r="A114" s="8"/>
      <c r="B114" s="9"/>
      <c r="C114" s="54"/>
      <c r="D114" s="10"/>
      <c r="E114" s="10"/>
      <c r="F114" s="10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52"/>
    </row>
    <row r="115" spans="1:17" x14ac:dyDescent="0.3">
      <c r="A115" s="8"/>
      <c r="B115" s="9"/>
      <c r="C115" s="54"/>
      <c r="D115" s="10"/>
      <c r="E115" s="10"/>
      <c r="F115" s="10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52"/>
    </row>
    <row r="116" spans="1:17" x14ac:dyDescent="0.3">
      <c r="A116" s="8"/>
      <c r="B116" s="9"/>
      <c r="C116" s="54"/>
      <c r="D116" s="10"/>
      <c r="E116" s="10"/>
      <c r="F116" s="10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52"/>
    </row>
    <row r="117" spans="1:17" x14ac:dyDescent="0.3">
      <c r="A117" s="8"/>
      <c r="B117" s="9"/>
      <c r="C117" s="54"/>
      <c r="D117" s="10"/>
      <c r="E117" s="10"/>
      <c r="F117" s="10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52"/>
    </row>
    <row r="118" spans="1:17" x14ac:dyDescent="0.3">
      <c r="A118" s="8"/>
      <c r="B118" s="9"/>
      <c r="C118" s="54"/>
      <c r="D118" s="10"/>
      <c r="E118" s="10"/>
      <c r="F118" s="10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52"/>
    </row>
    <row r="119" spans="1:17" x14ac:dyDescent="0.3">
      <c r="A119" s="8"/>
      <c r="B119" s="9"/>
      <c r="C119" s="54"/>
      <c r="D119" s="10"/>
      <c r="E119" s="10"/>
      <c r="F119" s="10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52"/>
    </row>
    <row r="120" spans="1:17" x14ac:dyDescent="0.3">
      <c r="A120" s="8"/>
      <c r="B120" s="9"/>
      <c r="C120" s="54"/>
      <c r="D120" s="10"/>
      <c r="E120" s="10"/>
      <c r="F120" s="10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52"/>
    </row>
    <row r="121" spans="1:17" x14ac:dyDescent="0.3">
      <c r="A121" s="8"/>
      <c r="B121" s="9"/>
      <c r="C121" s="54"/>
      <c r="D121" s="10"/>
      <c r="E121" s="10"/>
      <c r="F121" s="10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52"/>
    </row>
    <row r="122" spans="1:17" x14ac:dyDescent="0.3">
      <c r="A122" s="8"/>
      <c r="B122" s="9"/>
      <c r="C122" s="54"/>
      <c r="D122" s="10"/>
      <c r="E122" s="10"/>
      <c r="F122" s="10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52"/>
    </row>
    <row r="123" spans="1:17" x14ac:dyDescent="0.3">
      <c r="A123" s="8"/>
      <c r="B123" s="9"/>
      <c r="C123" s="54"/>
      <c r="D123" s="10"/>
      <c r="E123" s="10"/>
      <c r="F123" s="10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52"/>
    </row>
    <row r="124" spans="1:17" x14ac:dyDescent="0.3">
      <c r="A124" s="8"/>
      <c r="B124" s="9"/>
      <c r="C124" s="54"/>
      <c r="D124" s="10"/>
      <c r="E124" s="10"/>
      <c r="F124" s="10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52"/>
    </row>
    <row r="125" spans="1:17" x14ac:dyDescent="0.3">
      <c r="A125" s="8"/>
      <c r="B125" s="9"/>
      <c r="C125" s="54"/>
      <c r="D125" s="10"/>
      <c r="E125" s="10"/>
      <c r="F125" s="10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52"/>
    </row>
    <row r="126" spans="1:17" x14ac:dyDescent="0.3">
      <c r="A126" s="8"/>
      <c r="B126" s="9"/>
      <c r="C126" s="54"/>
      <c r="D126" s="10"/>
      <c r="E126" s="10"/>
      <c r="F126" s="10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52"/>
    </row>
    <row r="127" spans="1:17" x14ac:dyDescent="0.3">
      <c r="A127" s="8"/>
      <c r="B127" s="9"/>
      <c r="C127" s="54"/>
      <c r="D127" s="10"/>
      <c r="E127" s="10"/>
      <c r="F127" s="10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52"/>
    </row>
    <row r="128" spans="1:17" x14ac:dyDescent="0.3">
      <c r="A128" s="8"/>
      <c r="B128" s="9"/>
      <c r="C128" s="54"/>
      <c r="D128" s="10"/>
      <c r="E128" s="10"/>
      <c r="F128" s="10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52"/>
    </row>
    <row r="129" spans="1:17" x14ac:dyDescent="0.3">
      <c r="A129" s="8"/>
      <c r="B129" s="9"/>
      <c r="C129" s="54"/>
      <c r="D129" s="10"/>
      <c r="E129" s="10"/>
      <c r="F129" s="10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52"/>
    </row>
    <row r="130" spans="1:17" x14ac:dyDescent="0.3">
      <c r="A130" s="8"/>
      <c r="B130" s="9"/>
      <c r="C130" s="54"/>
      <c r="D130" s="10"/>
      <c r="E130" s="10"/>
      <c r="F130" s="10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52"/>
    </row>
    <row r="131" spans="1:17" x14ac:dyDescent="0.3">
      <c r="A131" s="8"/>
      <c r="B131" s="9"/>
      <c r="C131" s="54"/>
      <c r="D131" s="10"/>
      <c r="E131" s="10"/>
      <c r="F131" s="10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52"/>
    </row>
    <row r="132" spans="1:17" x14ac:dyDescent="0.3">
      <c r="A132" s="8"/>
      <c r="B132" s="9"/>
      <c r="C132" s="54"/>
      <c r="D132" s="10"/>
      <c r="E132" s="10"/>
      <c r="F132" s="10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52"/>
    </row>
    <row r="133" spans="1:17" x14ac:dyDescent="0.3">
      <c r="A133" s="8"/>
      <c r="B133" s="9"/>
      <c r="C133" s="54"/>
      <c r="D133" s="10"/>
      <c r="E133" s="10"/>
      <c r="F133" s="10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52"/>
    </row>
    <row r="134" spans="1:17" x14ac:dyDescent="0.3">
      <c r="A134" s="8"/>
      <c r="B134" s="9"/>
      <c r="C134" s="54"/>
      <c r="D134" s="10"/>
      <c r="E134" s="10"/>
      <c r="F134" s="10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52"/>
    </row>
    <row r="135" spans="1:17" x14ac:dyDescent="0.3">
      <c r="A135" s="8"/>
      <c r="B135" s="9"/>
      <c r="C135" s="54"/>
      <c r="D135" s="10"/>
      <c r="E135" s="10"/>
      <c r="F135" s="10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52"/>
    </row>
    <row r="136" spans="1:17" x14ac:dyDescent="0.3">
      <c r="A136" s="8"/>
      <c r="B136" s="9"/>
      <c r="C136" s="54"/>
      <c r="D136" s="10"/>
      <c r="E136" s="10"/>
      <c r="F136" s="10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52"/>
    </row>
    <row r="137" spans="1:17" x14ac:dyDescent="0.3">
      <c r="A137" s="8"/>
      <c r="B137" s="9"/>
      <c r="C137" s="54"/>
      <c r="D137" s="10"/>
      <c r="E137" s="10"/>
      <c r="F137" s="10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52"/>
    </row>
    <row r="138" spans="1:17" x14ac:dyDescent="0.3">
      <c r="A138" s="8"/>
      <c r="B138" s="9"/>
      <c r="C138" s="54"/>
      <c r="D138" s="10"/>
      <c r="E138" s="10"/>
      <c r="F138" s="10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52"/>
    </row>
    <row r="139" spans="1:17" x14ac:dyDescent="0.3">
      <c r="A139" s="8"/>
      <c r="B139" s="9"/>
      <c r="C139" s="54"/>
      <c r="D139" s="10"/>
      <c r="E139" s="10"/>
      <c r="F139" s="10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52"/>
    </row>
    <row r="140" spans="1:17" x14ac:dyDescent="0.3">
      <c r="A140" s="8"/>
      <c r="B140" s="9"/>
      <c r="C140" s="54"/>
      <c r="D140" s="10"/>
      <c r="E140" s="10"/>
      <c r="F140" s="10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52"/>
    </row>
    <row r="141" spans="1:17" x14ac:dyDescent="0.3">
      <c r="A141" s="8"/>
      <c r="B141" s="9"/>
      <c r="C141" s="54"/>
      <c r="D141" s="10"/>
      <c r="E141" s="10"/>
      <c r="F141" s="10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52"/>
    </row>
    <row r="142" spans="1:17" x14ac:dyDescent="0.3">
      <c r="A142" s="8"/>
      <c r="B142" s="9"/>
      <c r="C142" s="54"/>
      <c r="D142" s="10"/>
      <c r="E142" s="10"/>
      <c r="F142" s="10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52"/>
    </row>
    <row r="143" spans="1:17" x14ac:dyDescent="0.3">
      <c r="A143" s="8"/>
      <c r="B143" s="9"/>
      <c r="C143" s="54"/>
      <c r="D143" s="10"/>
      <c r="E143" s="10"/>
      <c r="F143" s="10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52"/>
    </row>
    <row r="144" spans="1:17" x14ac:dyDescent="0.3">
      <c r="A144" s="8"/>
      <c r="B144" s="9"/>
      <c r="C144" s="54"/>
      <c r="D144" s="10"/>
      <c r="E144" s="10"/>
      <c r="F144" s="10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52"/>
    </row>
    <row r="145" spans="1:17" x14ac:dyDescent="0.3">
      <c r="A145" s="8"/>
      <c r="B145" s="9"/>
      <c r="C145" s="54"/>
      <c r="D145" s="10"/>
      <c r="E145" s="10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52"/>
    </row>
    <row r="146" spans="1:17" x14ac:dyDescent="0.3">
      <c r="A146" s="8"/>
      <c r="B146" s="9"/>
      <c r="C146" s="54"/>
      <c r="D146" s="10"/>
      <c r="E146" s="10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52"/>
    </row>
    <row r="147" spans="1:17" x14ac:dyDescent="0.3">
      <c r="A147" s="8"/>
      <c r="B147" s="9"/>
      <c r="C147" s="54"/>
      <c r="D147" s="10"/>
      <c r="E147" s="10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52"/>
    </row>
    <row r="148" spans="1:17" x14ac:dyDescent="0.3">
      <c r="A148" s="8"/>
      <c r="B148" s="9"/>
      <c r="C148" s="54"/>
      <c r="D148" s="10"/>
      <c r="E148" s="10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52"/>
    </row>
    <row r="149" spans="1:17" x14ac:dyDescent="0.3">
      <c r="A149" s="8"/>
      <c r="B149" s="9"/>
      <c r="C149" s="54"/>
      <c r="D149" s="10"/>
      <c r="E149" s="10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52"/>
    </row>
    <row r="150" spans="1:17" x14ac:dyDescent="0.3">
      <c r="A150" s="8"/>
      <c r="B150" s="9"/>
      <c r="C150" s="54"/>
      <c r="D150" s="10"/>
      <c r="E150" s="10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52"/>
    </row>
    <row r="151" spans="1:17" x14ac:dyDescent="0.3">
      <c r="A151" s="8"/>
      <c r="B151" s="9"/>
      <c r="C151" s="54"/>
      <c r="D151" s="10"/>
      <c r="E151" s="10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52"/>
    </row>
    <row r="152" spans="1:17" x14ac:dyDescent="0.3">
      <c r="A152" s="8"/>
      <c r="B152" s="9"/>
      <c r="C152" s="54"/>
      <c r="D152" s="10"/>
      <c r="E152" s="10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52"/>
    </row>
    <row r="153" spans="1:17" x14ac:dyDescent="0.3">
      <c r="A153" s="8"/>
      <c r="B153" s="9"/>
      <c r="C153" s="54"/>
      <c r="D153" s="10"/>
      <c r="E153" s="10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52"/>
    </row>
    <row r="154" spans="1:17" x14ac:dyDescent="0.3">
      <c r="A154" s="8"/>
      <c r="B154" s="9"/>
      <c r="C154" s="54"/>
      <c r="D154" s="10"/>
      <c r="E154" s="10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52"/>
    </row>
    <row r="155" spans="1:17" x14ac:dyDescent="0.3">
      <c r="A155" s="8"/>
      <c r="B155" s="9"/>
      <c r="C155" s="54"/>
      <c r="D155" s="10"/>
      <c r="E155" s="10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52"/>
    </row>
    <row r="156" spans="1:17" x14ac:dyDescent="0.3">
      <c r="A156" s="8"/>
      <c r="B156" s="9"/>
      <c r="C156" s="54"/>
      <c r="D156" s="10"/>
      <c r="E156" s="10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52"/>
    </row>
    <row r="157" spans="1:17" x14ac:dyDescent="0.3">
      <c r="A157" s="8"/>
      <c r="B157" s="9"/>
      <c r="C157" s="54"/>
      <c r="D157" s="10"/>
      <c r="E157" s="10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52"/>
    </row>
    <row r="158" spans="1:17" x14ac:dyDescent="0.3">
      <c r="A158" s="8"/>
      <c r="B158" s="9"/>
      <c r="C158" s="54"/>
      <c r="D158" s="10"/>
      <c r="E158" s="10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52"/>
    </row>
    <row r="159" spans="1:17" x14ac:dyDescent="0.3">
      <c r="A159" s="8"/>
      <c r="B159" s="9"/>
      <c r="C159" s="54"/>
      <c r="D159" s="10"/>
      <c r="E159" s="10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52"/>
    </row>
    <row r="160" spans="1:17" x14ac:dyDescent="0.3">
      <c r="A160" s="8"/>
      <c r="B160" s="9"/>
      <c r="C160" s="54"/>
      <c r="D160" s="10"/>
      <c r="E160" s="10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52"/>
    </row>
    <row r="161" spans="1:17" x14ac:dyDescent="0.3">
      <c r="A161" s="8"/>
      <c r="B161" s="9"/>
      <c r="C161" s="54"/>
      <c r="D161" s="10"/>
      <c r="E161" s="10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52"/>
    </row>
    <row r="162" spans="1:17" x14ac:dyDescent="0.3">
      <c r="A162" s="8"/>
      <c r="B162" s="9"/>
      <c r="C162" s="54"/>
      <c r="D162" s="10"/>
      <c r="E162" s="10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52"/>
    </row>
    <row r="163" spans="1:17" x14ac:dyDescent="0.3">
      <c r="A163" s="8"/>
      <c r="B163" s="9"/>
      <c r="C163" s="54"/>
      <c r="D163" s="10"/>
      <c r="E163" s="10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52"/>
    </row>
    <row r="164" spans="1:17" x14ac:dyDescent="0.3">
      <c r="A164" s="8"/>
      <c r="B164" s="9"/>
      <c r="C164" s="54"/>
      <c r="D164" s="10"/>
      <c r="E164" s="10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52"/>
    </row>
    <row r="165" spans="1:17" x14ac:dyDescent="0.3">
      <c r="A165" s="8"/>
      <c r="B165" s="9"/>
      <c r="C165" s="54"/>
      <c r="D165" s="10"/>
      <c r="E165" s="10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52"/>
    </row>
    <row r="166" spans="1:17" x14ac:dyDescent="0.3">
      <c r="A166" s="8"/>
      <c r="B166" s="9"/>
      <c r="C166" s="54"/>
      <c r="D166" s="10"/>
      <c r="E166" s="10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52"/>
    </row>
    <row r="167" spans="1:17" x14ac:dyDescent="0.3">
      <c r="A167" s="8"/>
      <c r="B167" s="9"/>
      <c r="C167" s="54"/>
      <c r="D167" s="10"/>
      <c r="E167" s="10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52"/>
    </row>
    <row r="168" spans="1:17" x14ac:dyDescent="0.3">
      <c r="A168" s="8"/>
      <c r="B168" s="9"/>
      <c r="C168" s="54"/>
      <c r="D168" s="10"/>
      <c r="E168" s="10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52"/>
    </row>
    <row r="169" spans="1:17" x14ac:dyDescent="0.3">
      <c r="A169" s="8"/>
      <c r="B169" s="9"/>
      <c r="C169" s="54"/>
      <c r="D169" s="10"/>
      <c r="E169" s="10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52"/>
    </row>
    <row r="170" spans="1:17" x14ac:dyDescent="0.3">
      <c r="A170" s="8"/>
      <c r="B170" s="9"/>
      <c r="C170" s="54"/>
      <c r="D170" s="10"/>
      <c r="E170" s="10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52"/>
    </row>
    <row r="171" spans="1:17" x14ac:dyDescent="0.3">
      <c r="A171" s="8"/>
      <c r="B171" s="9"/>
      <c r="C171" s="54"/>
      <c r="D171" s="10"/>
      <c r="E171" s="10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52"/>
    </row>
    <row r="172" spans="1:17" x14ac:dyDescent="0.3">
      <c r="A172" s="8"/>
      <c r="B172" s="9"/>
      <c r="C172" s="54"/>
      <c r="D172" s="10"/>
      <c r="E172" s="10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52"/>
    </row>
    <row r="173" spans="1:17" x14ac:dyDescent="0.3">
      <c r="A173" s="8"/>
      <c r="B173" s="9"/>
      <c r="C173" s="54"/>
      <c r="D173" s="10"/>
      <c r="E173" s="10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52"/>
    </row>
    <row r="174" spans="1:17" x14ac:dyDescent="0.3">
      <c r="A174" s="8"/>
      <c r="B174" s="9"/>
      <c r="C174" s="54"/>
      <c r="D174" s="10"/>
      <c r="E174" s="10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52"/>
    </row>
    <row r="175" spans="1:17" x14ac:dyDescent="0.3">
      <c r="A175" s="8"/>
      <c r="B175" s="9"/>
      <c r="C175" s="54"/>
      <c r="D175" s="10"/>
      <c r="E175" s="10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2"/>
    </row>
    <row r="176" spans="1:17" x14ac:dyDescent="0.3">
      <c r="A176" s="8"/>
      <c r="B176" s="9"/>
      <c r="C176" s="54"/>
      <c r="D176" s="10"/>
      <c r="E176" s="10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52"/>
    </row>
    <row r="177" spans="1:17" x14ac:dyDescent="0.3">
      <c r="A177" s="8"/>
      <c r="B177" s="9"/>
      <c r="C177" s="54"/>
      <c r="D177" s="10"/>
      <c r="E177" s="10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52"/>
    </row>
    <row r="178" spans="1:17" x14ac:dyDescent="0.3">
      <c r="A178" s="8"/>
      <c r="B178" s="9"/>
      <c r="C178" s="54"/>
      <c r="D178" s="10"/>
      <c r="E178" s="10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52"/>
    </row>
    <row r="179" spans="1:17" x14ac:dyDescent="0.3">
      <c r="A179" s="8"/>
      <c r="B179" s="9"/>
      <c r="C179" s="54"/>
      <c r="D179" s="10"/>
      <c r="E179" s="10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52"/>
    </row>
    <row r="180" spans="1:17" x14ac:dyDescent="0.3">
      <c r="A180" s="8"/>
      <c r="B180" s="9"/>
      <c r="C180" s="54"/>
      <c r="D180" s="10"/>
      <c r="E180" s="10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52"/>
    </row>
    <row r="181" spans="1:17" x14ac:dyDescent="0.3">
      <c r="A181" s="8"/>
      <c r="B181" s="9"/>
      <c r="C181" s="54"/>
      <c r="D181" s="10"/>
      <c r="E181" s="10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52"/>
    </row>
    <row r="182" spans="1:17" x14ac:dyDescent="0.3">
      <c r="A182" s="8"/>
      <c r="B182" s="9"/>
      <c r="C182" s="54"/>
      <c r="D182" s="10"/>
      <c r="E182" s="10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52"/>
    </row>
    <row r="183" spans="1:17" x14ac:dyDescent="0.3">
      <c r="A183" s="8"/>
      <c r="B183" s="9"/>
      <c r="C183" s="54"/>
      <c r="D183" s="10"/>
      <c r="E183" s="10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52"/>
    </row>
    <row r="184" spans="1:17" x14ac:dyDescent="0.3">
      <c r="A184" s="8"/>
      <c r="B184" s="9"/>
      <c r="C184" s="54"/>
      <c r="D184" s="10"/>
      <c r="E184" s="10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52"/>
    </row>
    <row r="185" spans="1:17" x14ac:dyDescent="0.3">
      <c r="A185" s="8"/>
      <c r="B185" s="9"/>
      <c r="C185" s="54"/>
      <c r="D185" s="10"/>
      <c r="E185" s="10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52"/>
    </row>
    <row r="186" spans="1:17" x14ac:dyDescent="0.3">
      <c r="A186" s="8"/>
      <c r="B186" s="9"/>
      <c r="C186" s="54"/>
      <c r="D186" s="10"/>
      <c r="E186" s="10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52"/>
    </row>
    <row r="187" spans="1:17" x14ac:dyDescent="0.3">
      <c r="A187" s="8"/>
      <c r="B187" s="9"/>
      <c r="C187" s="54"/>
      <c r="D187" s="10"/>
      <c r="E187" s="10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52"/>
    </row>
    <row r="188" spans="1:17" x14ac:dyDescent="0.3">
      <c r="A188" s="8"/>
      <c r="B188" s="9"/>
      <c r="C188" s="54"/>
      <c r="D188" s="10"/>
      <c r="E188" s="10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52"/>
    </row>
    <row r="189" spans="1:17" x14ac:dyDescent="0.3">
      <c r="A189" s="8"/>
      <c r="B189" s="9"/>
      <c r="C189" s="54"/>
      <c r="D189" s="10"/>
      <c r="E189" s="10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52"/>
    </row>
    <row r="190" spans="1:17" x14ac:dyDescent="0.3">
      <c r="A190" s="8"/>
      <c r="B190" s="9"/>
      <c r="C190" s="54"/>
      <c r="D190" s="10"/>
      <c r="E190" s="10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52"/>
    </row>
    <row r="191" spans="1:17" x14ac:dyDescent="0.3">
      <c r="A191" s="8"/>
      <c r="B191" s="9"/>
      <c r="C191" s="54"/>
      <c r="D191" s="10"/>
      <c r="E191" s="10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52"/>
    </row>
    <row r="192" spans="1:17" x14ac:dyDescent="0.3">
      <c r="A192" s="8"/>
      <c r="B192" s="9"/>
      <c r="C192" s="54"/>
      <c r="D192" s="10"/>
      <c r="E192" s="10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52"/>
    </row>
    <row r="193" spans="1:17" x14ac:dyDescent="0.3">
      <c r="A193" s="8"/>
      <c r="B193" s="9"/>
      <c r="C193" s="54"/>
      <c r="D193" s="10"/>
      <c r="E193" s="10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52"/>
    </row>
    <row r="194" spans="1:17" x14ac:dyDescent="0.3">
      <c r="A194" s="8"/>
      <c r="B194" s="9"/>
      <c r="C194" s="54"/>
      <c r="D194" s="10"/>
      <c r="E194" s="10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52"/>
    </row>
    <row r="195" spans="1:17" x14ac:dyDescent="0.3">
      <c r="A195" s="8"/>
      <c r="B195" s="9"/>
      <c r="C195" s="54"/>
      <c r="D195" s="10"/>
      <c r="E195" s="10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52"/>
    </row>
    <row r="196" spans="1:17" x14ac:dyDescent="0.3">
      <c r="A196" s="8"/>
      <c r="B196" s="9"/>
      <c r="C196" s="54"/>
      <c r="D196" s="10"/>
      <c r="E196" s="10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52"/>
    </row>
    <row r="197" spans="1:17" x14ac:dyDescent="0.3">
      <c r="A197" s="8"/>
      <c r="B197" s="9"/>
      <c r="C197" s="54"/>
      <c r="D197" s="10"/>
      <c r="E197" s="10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52"/>
    </row>
    <row r="198" spans="1:17" x14ac:dyDescent="0.3">
      <c r="A198" s="8"/>
      <c r="B198" s="9"/>
      <c r="C198" s="54"/>
      <c r="D198" s="10"/>
      <c r="E198" s="10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52"/>
    </row>
    <row r="199" spans="1:17" x14ac:dyDescent="0.3">
      <c r="A199" s="8"/>
      <c r="B199" s="9"/>
      <c r="C199" s="54"/>
      <c r="D199" s="10"/>
      <c r="E199" s="10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52"/>
    </row>
    <row r="200" spans="1:17" x14ac:dyDescent="0.3">
      <c r="A200" s="8"/>
      <c r="B200" s="9"/>
      <c r="C200" s="54"/>
      <c r="D200" s="10"/>
      <c r="E200" s="10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52"/>
    </row>
    <row r="201" spans="1:17" x14ac:dyDescent="0.3">
      <c r="A201" s="8"/>
      <c r="B201" s="9"/>
      <c r="C201" s="54"/>
      <c r="D201" s="10"/>
      <c r="E201" s="10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52"/>
    </row>
    <row r="202" spans="1:17" x14ac:dyDescent="0.3">
      <c r="A202" s="8"/>
      <c r="B202" s="9"/>
      <c r="C202" s="54"/>
      <c r="D202" s="10"/>
      <c r="E202" s="10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52"/>
    </row>
    <row r="203" spans="1:17" x14ac:dyDescent="0.3">
      <c r="A203" s="8"/>
      <c r="B203" s="9"/>
      <c r="C203" s="54"/>
      <c r="D203" s="10"/>
      <c r="E203" s="10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52"/>
    </row>
    <row r="204" spans="1:17" x14ac:dyDescent="0.3">
      <c r="A204" s="8"/>
      <c r="B204" s="9"/>
      <c r="C204" s="54"/>
      <c r="D204" s="10"/>
      <c r="E204" s="10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52"/>
    </row>
    <row r="205" spans="1:17" x14ac:dyDescent="0.3">
      <c r="A205" s="8"/>
      <c r="B205" s="9"/>
      <c r="C205" s="54"/>
      <c r="D205" s="10"/>
      <c r="E205" s="10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52"/>
    </row>
    <row r="206" spans="1:17" x14ac:dyDescent="0.3">
      <c r="A206" s="8"/>
      <c r="B206" s="9"/>
      <c r="C206" s="54"/>
      <c r="D206" s="10"/>
      <c r="E206" s="10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52"/>
    </row>
    <row r="207" spans="1:17" x14ac:dyDescent="0.3">
      <c r="A207" s="8"/>
      <c r="B207" s="9"/>
      <c r="C207" s="54"/>
      <c r="D207" s="10"/>
      <c r="E207" s="10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52"/>
    </row>
    <row r="208" spans="1:17" x14ac:dyDescent="0.3">
      <c r="A208" s="8"/>
      <c r="B208" s="9"/>
      <c r="C208" s="54"/>
      <c r="D208" s="10"/>
      <c r="E208" s="10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52"/>
    </row>
    <row r="209" spans="1:17" x14ac:dyDescent="0.3">
      <c r="A209" s="8"/>
      <c r="B209" s="9"/>
      <c r="C209" s="54"/>
      <c r="D209" s="10"/>
      <c r="E209" s="10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52"/>
    </row>
    <row r="210" spans="1:17" x14ac:dyDescent="0.3">
      <c r="A210" s="8"/>
      <c r="B210" s="9"/>
      <c r="C210" s="54"/>
      <c r="D210" s="10"/>
      <c r="E210" s="10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52"/>
    </row>
    <row r="211" spans="1:17" x14ac:dyDescent="0.3">
      <c r="A211" s="8"/>
      <c r="B211" s="9"/>
      <c r="C211" s="54"/>
      <c r="D211" s="10"/>
      <c r="E211" s="10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52"/>
    </row>
    <row r="212" spans="1:17" x14ac:dyDescent="0.3">
      <c r="A212" s="8"/>
      <c r="B212" s="9"/>
      <c r="C212" s="54"/>
      <c r="D212" s="10"/>
      <c r="E212" s="10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52"/>
    </row>
    <row r="213" spans="1:17" x14ac:dyDescent="0.3">
      <c r="A213" s="8"/>
      <c r="B213" s="9"/>
      <c r="C213" s="54"/>
      <c r="D213" s="10"/>
      <c r="E213" s="10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52"/>
    </row>
    <row r="214" spans="1:17" x14ac:dyDescent="0.3">
      <c r="A214" s="8"/>
      <c r="B214" s="9"/>
      <c r="C214" s="54"/>
      <c r="D214" s="10"/>
      <c r="E214" s="10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52"/>
    </row>
    <row r="215" spans="1:17" x14ac:dyDescent="0.3">
      <c r="A215" s="8"/>
      <c r="B215" s="9"/>
      <c r="C215" s="54"/>
      <c r="D215" s="10"/>
      <c r="E215" s="10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52"/>
    </row>
    <row r="216" spans="1:17" x14ac:dyDescent="0.3">
      <c r="A216" s="8"/>
      <c r="B216" s="9"/>
      <c r="C216" s="54"/>
      <c r="D216" s="10"/>
      <c r="E216" s="10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52"/>
    </row>
    <row r="217" spans="1:17" x14ac:dyDescent="0.3">
      <c r="A217" s="8"/>
      <c r="B217" s="9"/>
      <c r="C217" s="54"/>
      <c r="D217" s="10"/>
      <c r="E217" s="10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52"/>
    </row>
    <row r="218" spans="1:17" x14ac:dyDescent="0.3">
      <c r="A218" s="8"/>
      <c r="B218" s="9"/>
      <c r="C218" s="54"/>
      <c r="D218" s="10"/>
      <c r="E218" s="10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52"/>
    </row>
    <row r="219" spans="1:17" x14ac:dyDescent="0.3">
      <c r="A219" s="8"/>
      <c r="B219" s="9"/>
      <c r="C219" s="54"/>
      <c r="D219" s="10"/>
      <c r="E219" s="10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52"/>
    </row>
    <row r="220" spans="1:17" x14ac:dyDescent="0.3">
      <c r="A220" s="8"/>
      <c r="B220" s="9"/>
      <c r="C220" s="54"/>
      <c r="D220" s="10"/>
      <c r="E220" s="10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52"/>
    </row>
    <row r="221" spans="1:17" x14ac:dyDescent="0.3">
      <c r="A221" s="8"/>
      <c r="B221" s="9"/>
      <c r="C221" s="54"/>
      <c r="D221" s="10"/>
      <c r="E221" s="10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52"/>
    </row>
    <row r="222" spans="1:17" x14ac:dyDescent="0.3">
      <c r="A222" s="8"/>
      <c r="B222" s="9"/>
      <c r="C222" s="54"/>
      <c r="D222" s="10"/>
      <c r="E222" s="10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52"/>
    </row>
    <row r="223" spans="1:17" x14ac:dyDescent="0.3">
      <c r="A223" s="8"/>
      <c r="B223" s="9"/>
      <c r="C223" s="54"/>
      <c r="D223" s="10"/>
      <c r="E223" s="10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52"/>
    </row>
    <row r="224" spans="1:17" x14ac:dyDescent="0.3">
      <c r="A224" s="8"/>
      <c r="B224" s="9"/>
      <c r="C224" s="54"/>
      <c r="D224" s="10"/>
      <c r="E224" s="10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52"/>
    </row>
    <row r="225" spans="1:17" x14ac:dyDescent="0.3">
      <c r="A225" s="8"/>
      <c r="B225" s="9"/>
      <c r="C225" s="54"/>
      <c r="D225" s="10"/>
      <c r="E225" s="10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52"/>
    </row>
    <row r="226" spans="1:17" x14ac:dyDescent="0.3">
      <c r="A226" s="8"/>
      <c r="B226" s="9"/>
      <c r="C226" s="54"/>
      <c r="D226" s="10"/>
      <c r="E226" s="10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52"/>
    </row>
    <row r="227" spans="1:17" x14ac:dyDescent="0.3">
      <c r="A227" s="8"/>
      <c r="B227" s="9"/>
      <c r="C227" s="54"/>
      <c r="D227" s="10"/>
      <c r="E227" s="10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52"/>
    </row>
    <row r="228" spans="1:17" x14ac:dyDescent="0.3">
      <c r="A228" s="8"/>
      <c r="B228" s="9"/>
      <c r="C228" s="54"/>
      <c r="D228" s="10"/>
      <c r="E228" s="10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52"/>
    </row>
    <row r="229" spans="1:17" x14ac:dyDescent="0.3">
      <c r="A229" s="8"/>
      <c r="B229" s="9"/>
      <c r="C229" s="54"/>
      <c r="D229" s="10"/>
      <c r="E229" s="10"/>
      <c r="F229" s="10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52"/>
    </row>
    <row r="230" spans="1:17" x14ac:dyDescent="0.3">
      <c r="A230" s="8"/>
      <c r="B230" s="9"/>
      <c r="C230" s="54"/>
      <c r="D230" s="10"/>
      <c r="E230" s="10"/>
      <c r="F230" s="10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52"/>
    </row>
    <row r="231" spans="1:17" x14ac:dyDescent="0.3">
      <c r="A231" s="8"/>
      <c r="B231" s="9"/>
      <c r="C231" s="54"/>
      <c r="D231" s="10"/>
      <c r="E231" s="10"/>
      <c r="F231" s="10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52"/>
    </row>
    <row r="232" spans="1:17" x14ac:dyDescent="0.3">
      <c r="A232" s="8"/>
      <c r="B232" s="9"/>
      <c r="C232" s="54"/>
      <c r="D232" s="10"/>
      <c r="E232" s="10"/>
      <c r="F232" s="10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52"/>
    </row>
    <row r="233" spans="1:17" x14ac:dyDescent="0.3">
      <c r="A233" s="8"/>
      <c r="B233" s="9"/>
      <c r="C233" s="54"/>
      <c r="D233" s="10"/>
      <c r="E233" s="10"/>
      <c r="F233" s="10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52"/>
    </row>
    <row r="234" spans="1:17" x14ac:dyDescent="0.3">
      <c r="A234" s="8"/>
      <c r="B234" s="9"/>
      <c r="C234" s="54"/>
      <c r="D234" s="10"/>
      <c r="E234" s="10"/>
      <c r="F234" s="10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52"/>
    </row>
    <row r="235" spans="1:17" x14ac:dyDescent="0.3">
      <c r="A235" s="8"/>
      <c r="B235" s="9"/>
      <c r="C235" s="54"/>
      <c r="D235" s="10"/>
      <c r="E235" s="10"/>
      <c r="F235" s="10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52"/>
    </row>
    <row r="236" spans="1:17" x14ac:dyDescent="0.3">
      <c r="A236" s="8"/>
      <c r="B236" s="9"/>
      <c r="C236" s="54"/>
      <c r="D236" s="10"/>
      <c r="E236" s="10"/>
      <c r="F236" s="10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52"/>
    </row>
    <row r="237" spans="1:17" x14ac:dyDescent="0.3">
      <c r="A237" s="8"/>
      <c r="B237" s="9"/>
      <c r="C237" s="54"/>
      <c r="D237" s="10"/>
      <c r="E237" s="10"/>
      <c r="F237" s="10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52"/>
    </row>
    <row r="238" spans="1:17" x14ac:dyDescent="0.3">
      <c r="A238" s="8"/>
      <c r="B238" s="9"/>
      <c r="C238" s="54"/>
      <c r="D238" s="10"/>
      <c r="E238" s="10"/>
      <c r="F238" s="10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52"/>
    </row>
    <row r="239" spans="1:17" x14ac:dyDescent="0.3">
      <c r="A239" s="8"/>
      <c r="B239" s="9"/>
      <c r="C239" s="54"/>
      <c r="D239" s="10"/>
      <c r="E239" s="10"/>
      <c r="F239" s="10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52"/>
    </row>
  </sheetData>
  <phoneticPr fontId="3" type="noConversion"/>
  <hyperlinks>
    <hyperlink ref="A1" location="'0-使用说明'!D1" display="'0-使用说明'!D1" xr:uid="{7903587F-5958-4669-B4FD-59B11D11222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C5362-30F0-4201-BD78-93B948176EA8}">
  <sheetPr codeName="Sheet3"/>
  <dimension ref="A1:AH14"/>
  <sheetViews>
    <sheetView topLeftCell="R1" workbookViewId="0">
      <selection sqref="A1:AH14"/>
    </sheetView>
  </sheetViews>
  <sheetFormatPr defaultRowHeight="14.25" x14ac:dyDescent="0.2"/>
  <sheetData>
    <row r="1" spans="1:34" ht="49.5" x14ac:dyDescent="0.2">
      <c r="A1" s="11" t="s">
        <v>20</v>
      </c>
      <c r="B1" s="4" t="s">
        <v>144</v>
      </c>
      <c r="C1" s="4" t="s">
        <v>145</v>
      </c>
      <c r="D1" s="4" t="s">
        <v>30</v>
      </c>
      <c r="E1" s="4" t="s">
        <v>146</v>
      </c>
      <c r="F1" s="11" t="s">
        <v>147</v>
      </c>
      <c r="G1" s="11" t="s">
        <v>148</v>
      </c>
      <c r="H1" s="11" t="s">
        <v>149</v>
      </c>
      <c r="I1" s="11" t="s">
        <v>150</v>
      </c>
      <c r="J1" s="11" t="s">
        <v>151</v>
      </c>
      <c r="K1" s="11" t="s">
        <v>152</v>
      </c>
      <c r="L1" s="11" t="s">
        <v>153</v>
      </c>
      <c r="M1" s="4" t="s">
        <v>154</v>
      </c>
      <c r="N1" s="4" t="s">
        <v>155</v>
      </c>
      <c r="O1" s="4" t="s">
        <v>156</v>
      </c>
      <c r="P1" s="12" t="s">
        <v>157</v>
      </c>
      <c r="Q1" s="12" t="s">
        <v>158</v>
      </c>
      <c r="R1" s="4" t="s">
        <v>159</v>
      </c>
      <c r="S1" s="12" t="s">
        <v>160</v>
      </c>
      <c r="T1" s="12" t="s">
        <v>161</v>
      </c>
      <c r="U1" s="12" t="s">
        <v>162</v>
      </c>
      <c r="V1" s="4" t="s">
        <v>163</v>
      </c>
      <c r="W1" s="4" t="s">
        <v>164</v>
      </c>
      <c r="X1" s="4" t="s">
        <v>165</v>
      </c>
      <c r="Y1" s="4" t="s">
        <v>166</v>
      </c>
      <c r="Z1" s="4" t="s">
        <v>167</v>
      </c>
      <c r="AA1" s="4" t="s">
        <v>168</v>
      </c>
      <c r="AB1" s="4" t="s">
        <v>169</v>
      </c>
      <c r="AC1" s="4" t="s">
        <v>170</v>
      </c>
      <c r="AD1" s="4" t="s">
        <v>171</v>
      </c>
      <c r="AE1" s="4" t="s">
        <v>172</v>
      </c>
      <c r="AF1" s="4" t="s">
        <v>173</v>
      </c>
      <c r="AG1" s="4" t="s">
        <v>174</v>
      </c>
      <c r="AH1" s="4" t="s">
        <v>175</v>
      </c>
    </row>
    <row r="2" spans="1:34" ht="66" x14ac:dyDescent="0.2">
      <c r="A2" s="14" t="s">
        <v>188</v>
      </c>
      <c r="B2" s="3" t="s">
        <v>189</v>
      </c>
      <c r="C2" s="5" t="s">
        <v>190</v>
      </c>
      <c r="D2" s="5" t="s">
        <v>190</v>
      </c>
      <c r="E2" s="5" t="s">
        <v>190</v>
      </c>
      <c r="F2" s="14" t="s">
        <v>191</v>
      </c>
      <c r="G2" s="14" t="s">
        <v>192</v>
      </c>
      <c r="H2" s="14" t="s">
        <v>193</v>
      </c>
      <c r="I2" s="15" t="s">
        <v>194</v>
      </c>
      <c r="J2" s="15" t="s">
        <v>195</v>
      </c>
      <c r="K2" s="15" t="s">
        <v>196</v>
      </c>
      <c r="L2" s="15" t="s">
        <v>197</v>
      </c>
      <c r="M2" s="15" t="s">
        <v>198</v>
      </c>
      <c r="N2" s="15" t="s">
        <v>199</v>
      </c>
      <c r="O2" s="15" t="s">
        <v>199</v>
      </c>
      <c r="P2" s="3" t="s">
        <v>200</v>
      </c>
      <c r="Q2" s="3" t="s">
        <v>201</v>
      </c>
      <c r="R2" s="3" t="s">
        <v>202</v>
      </c>
      <c r="S2" s="3" t="s">
        <v>203</v>
      </c>
      <c r="T2" s="3" t="s">
        <v>204</v>
      </c>
      <c r="U2" s="3" t="s">
        <v>205</v>
      </c>
      <c r="V2" s="5" t="s">
        <v>21</v>
      </c>
      <c r="W2" s="5" t="s">
        <v>206</v>
      </c>
      <c r="X2" s="5" t="s">
        <v>207</v>
      </c>
      <c r="Y2" s="5" t="s">
        <v>208</v>
      </c>
      <c r="Z2" s="5" t="s">
        <v>209</v>
      </c>
      <c r="AA2" s="5" t="s">
        <v>210</v>
      </c>
      <c r="AB2" s="5" t="s">
        <v>211</v>
      </c>
      <c r="AC2" s="5" t="s">
        <v>212</v>
      </c>
      <c r="AD2" s="5" t="s">
        <v>213</v>
      </c>
      <c r="AE2" s="5" t="s">
        <v>214</v>
      </c>
      <c r="AF2" s="5" t="s">
        <v>215</v>
      </c>
      <c r="AG2" s="5" t="s">
        <v>216</v>
      </c>
      <c r="AH2" s="5" t="s">
        <v>217</v>
      </c>
    </row>
    <row r="3" spans="1:34" ht="115.5" x14ac:dyDescent="0.2">
      <c r="A3" s="14" t="s">
        <v>218</v>
      </c>
      <c r="B3" s="3" t="s">
        <v>219</v>
      </c>
      <c r="C3" s="5" t="s">
        <v>220</v>
      </c>
      <c r="D3" s="5" t="s">
        <v>220</v>
      </c>
      <c r="E3" s="5" t="s">
        <v>220</v>
      </c>
      <c r="F3" s="14" t="s">
        <v>221</v>
      </c>
      <c r="G3" s="14" t="s">
        <v>222</v>
      </c>
      <c r="H3" s="14" t="s">
        <v>223</v>
      </c>
      <c r="I3" s="15" t="s">
        <v>224</v>
      </c>
      <c r="J3" s="15" t="s">
        <v>225</v>
      </c>
      <c r="K3" s="15" t="s">
        <v>226</v>
      </c>
      <c r="L3" s="15" t="s">
        <v>227</v>
      </c>
      <c r="M3" s="15" t="s">
        <v>228</v>
      </c>
      <c r="N3" s="15" t="s">
        <v>229</v>
      </c>
      <c r="O3" s="15" t="s">
        <v>229</v>
      </c>
      <c r="P3" s="3" t="s">
        <v>230</v>
      </c>
      <c r="Q3" s="3" t="s">
        <v>231</v>
      </c>
      <c r="R3" s="3" t="s">
        <v>232</v>
      </c>
      <c r="S3" s="3" t="s">
        <v>233</v>
      </c>
      <c r="T3" s="3" t="s">
        <v>234</v>
      </c>
      <c r="U3" s="3" t="s">
        <v>235</v>
      </c>
      <c r="V3" s="5" t="s">
        <v>236</v>
      </c>
      <c r="W3" s="5" t="s">
        <v>237</v>
      </c>
      <c r="X3" s="5" t="s">
        <v>238</v>
      </c>
      <c r="Y3" s="5" t="s">
        <v>239</v>
      </c>
      <c r="Z3" s="5" t="s">
        <v>240</v>
      </c>
      <c r="AA3" s="5" t="s">
        <v>241</v>
      </c>
      <c r="AB3" s="5" t="s">
        <v>242</v>
      </c>
      <c r="AC3" s="5" t="s">
        <v>243</v>
      </c>
      <c r="AD3" s="5" t="s">
        <v>244</v>
      </c>
      <c r="AE3" s="5" t="s">
        <v>245</v>
      </c>
      <c r="AF3" s="5" t="s">
        <v>246</v>
      </c>
      <c r="AG3" s="5" t="s">
        <v>247</v>
      </c>
      <c r="AH3" s="5" t="s">
        <v>248</v>
      </c>
    </row>
    <row r="4" spans="1:34" ht="82.5" x14ac:dyDescent="0.2">
      <c r="A4" s="14" t="s">
        <v>249</v>
      </c>
      <c r="B4" s="3" t="s">
        <v>250</v>
      </c>
      <c r="C4" s="5" t="s">
        <v>251</v>
      </c>
      <c r="D4" s="5" t="s">
        <v>251</v>
      </c>
      <c r="E4" s="5" t="s">
        <v>251</v>
      </c>
      <c r="F4" s="14" t="s">
        <v>252</v>
      </c>
      <c r="G4" s="14" t="s">
        <v>253</v>
      </c>
      <c r="H4" s="14" t="s">
        <v>254</v>
      </c>
      <c r="I4" s="15" t="s">
        <v>255</v>
      </c>
      <c r="J4" s="15" t="s">
        <v>256</v>
      </c>
      <c r="K4" s="15" t="s">
        <v>257</v>
      </c>
      <c r="L4" s="15" t="s">
        <v>258</v>
      </c>
      <c r="M4" s="15" t="s">
        <v>259</v>
      </c>
      <c r="N4" s="15" t="s">
        <v>260</v>
      </c>
      <c r="O4" s="15" t="s">
        <v>260</v>
      </c>
      <c r="P4" s="3" t="s">
        <v>261</v>
      </c>
      <c r="Q4" s="3" t="s">
        <v>262</v>
      </c>
      <c r="R4" s="3" t="s">
        <v>263</v>
      </c>
      <c r="S4" s="3" t="s">
        <v>264</v>
      </c>
      <c r="T4" s="3" t="s">
        <v>265</v>
      </c>
      <c r="U4" s="3" t="s">
        <v>266</v>
      </c>
      <c r="V4" s="5" t="s">
        <v>267</v>
      </c>
      <c r="W4" s="5" t="s">
        <v>268</v>
      </c>
      <c r="X4" s="5" t="s">
        <v>269</v>
      </c>
      <c r="Y4" s="5" t="s">
        <v>270</v>
      </c>
      <c r="Z4" s="5" t="s">
        <v>271</v>
      </c>
      <c r="AA4" s="5" t="s">
        <v>272</v>
      </c>
      <c r="AC4" s="5" t="s">
        <v>273</v>
      </c>
      <c r="AD4" s="5" t="s">
        <v>274</v>
      </c>
      <c r="AE4" s="5" t="s">
        <v>275</v>
      </c>
      <c r="AF4" s="5" t="s">
        <v>276</v>
      </c>
      <c r="AG4" s="5" t="s">
        <v>277</v>
      </c>
      <c r="AH4" s="5" t="s">
        <v>278</v>
      </c>
    </row>
    <row r="5" spans="1:34" ht="49.5" x14ac:dyDescent="0.2">
      <c r="A5" s="14" t="s">
        <v>279</v>
      </c>
      <c r="B5" s="3" t="s">
        <v>280</v>
      </c>
      <c r="C5" s="15" t="s">
        <v>281</v>
      </c>
      <c r="D5" s="15" t="s">
        <v>281</v>
      </c>
      <c r="E5" s="15" t="s">
        <v>281</v>
      </c>
      <c r="F5" s="14" t="s">
        <v>282</v>
      </c>
      <c r="G5" s="14" t="s">
        <v>190</v>
      </c>
      <c r="H5" s="14" t="s">
        <v>283</v>
      </c>
      <c r="I5" s="15" t="s">
        <v>284</v>
      </c>
      <c r="J5" s="15" t="s">
        <v>285</v>
      </c>
      <c r="K5" s="15" t="s">
        <v>286</v>
      </c>
      <c r="L5" s="15" t="s">
        <v>287</v>
      </c>
      <c r="M5" s="15" t="s">
        <v>288</v>
      </c>
      <c r="N5" s="15" t="s">
        <v>21</v>
      </c>
      <c r="O5" s="15" t="s">
        <v>21</v>
      </c>
      <c r="P5" s="3" t="s">
        <v>289</v>
      </c>
      <c r="Q5" s="3" t="s">
        <v>290</v>
      </c>
      <c r="R5" s="3" t="s">
        <v>291</v>
      </c>
      <c r="S5" s="3" t="s">
        <v>292</v>
      </c>
      <c r="T5" s="3" t="s">
        <v>293</v>
      </c>
      <c r="U5" s="3" t="s">
        <v>294</v>
      </c>
      <c r="X5" s="5" t="s">
        <v>295</v>
      </c>
      <c r="Y5" s="5" t="s">
        <v>296</v>
      </c>
      <c r="Z5" s="5" t="s">
        <v>297</v>
      </c>
      <c r="AA5" s="5" t="s">
        <v>298</v>
      </c>
      <c r="AC5" s="5" t="s">
        <v>299</v>
      </c>
      <c r="AD5" s="5" t="s">
        <v>300</v>
      </c>
      <c r="AE5" s="5" t="s">
        <v>301</v>
      </c>
      <c r="AF5" s="5" t="s">
        <v>302</v>
      </c>
      <c r="AG5" s="5" t="s">
        <v>303</v>
      </c>
    </row>
    <row r="6" spans="1:34" ht="82.5" x14ac:dyDescent="0.2">
      <c r="A6" s="16" t="s">
        <v>285</v>
      </c>
      <c r="B6" s="3" t="s">
        <v>304</v>
      </c>
      <c r="C6" s="5" t="s">
        <v>305</v>
      </c>
      <c r="D6" s="5" t="s">
        <v>305</v>
      </c>
      <c r="E6" s="5" t="s">
        <v>305</v>
      </c>
      <c r="F6" s="14" t="s">
        <v>306</v>
      </c>
      <c r="G6" s="14" t="s">
        <v>307</v>
      </c>
      <c r="H6" s="14" t="s">
        <v>308</v>
      </c>
      <c r="I6" s="15" t="s">
        <v>309</v>
      </c>
      <c r="J6" s="15" t="s">
        <v>21</v>
      </c>
      <c r="K6" s="15" t="s">
        <v>285</v>
      </c>
      <c r="L6" s="15" t="s">
        <v>310</v>
      </c>
      <c r="M6" s="15" t="s">
        <v>21</v>
      </c>
      <c r="N6" s="15" t="s">
        <v>311</v>
      </c>
      <c r="O6" s="15" t="s">
        <v>311</v>
      </c>
      <c r="P6" s="3" t="s">
        <v>312</v>
      </c>
      <c r="Q6" s="3" t="s">
        <v>313</v>
      </c>
      <c r="R6" s="3" t="s">
        <v>314</v>
      </c>
      <c r="S6" s="3" t="s">
        <v>315</v>
      </c>
      <c r="T6" s="3" t="s">
        <v>316</v>
      </c>
      <c r="Z6" s="5" t="s">
        <v>317</v>
      </c>
      <c r="AA6" s="5" t="s">
        <v>318</v>
      </c>
      <c r="AC6" s="5" t="s">
        <v>319</v>
      </c>
      <c r="AD6" s="5" t="s">
        <v>320</v>
      </c>
      <c r="AE6" s="5" t="s">
        <v>321</v>
      </c>
      <c r="AF6" s="5" t="s">
        <v>322</v>
      </c>
      <c r="AG6" s="5" t="s">
        <v>323</v>
      </c>
    </row>
    <row r="7" spans="1:34" ht="66" x14ac:dyDescent="0.2">
      <c r="A7" s="16" t="s">
        <v>21</v>
      </c>
      <c r="B7" s="3" t="s">
        <v>324</v>
      </c>
      <c r="C7" s="15" t="s">
        <v>285</v>
      </c>
      <c r="D7" s="15" t="s">
        <v>285</v>
      </c>
      <c r="E7" s="15" t="s">
        <v>285</v>
      </c>
      <c r="F7" s="14" t="s">
        <v>325</v>
      </c>
      <c r="G7" s="14" t="s">
        <v>326</v>
      </c>
      <c r="H7" s="14" t="s">
        <v>327</v>
      </c>
      <c r="I7" s="15" t="s">
        <v>328</v>
      </c>
      <c r="J7" s="15" t="s">
        <v>329</v>
      </c>
      <c r="K7" s="15" t="s">
        <v>21</v>
      </c>
      <c r="L7" s="15" t="s">
        <v>285</v>
      </c>
      <c r="M7" s="15" t="s">
        <v>311</v>
      </c>
      <c r="P7" s="15" t="s">
        <v>311</v>
      </c>
      <c r="Q7" s="3" t="s">
        <v>330</v>
      </c>
      <c r="R7" s="3" t="s">
        <v>331</v>
      </c>
      <c r="S7" s="3" t="s">
        <v>332</v>
      </c>
      <c r="T7" s="3" t="s">
        <v>21</v>
      </c>
      <c r="Z7" s="5" t="s">
        <v>333</v>
      </c>
      <c r="AA7" s="5" t="s">
        <v>334</v>
      </c>
      <c r="AE7" s="5" t="s">
        <v>335</v>
      </c>
      <c r="AF7" s="5" t="s">
        <v>336</v>
      </c>
      <c r="AG7" s="5" t="s">
        <v>337</v>
      </c>
    </row>
    <row r="8" spans="1:34" ht="33" x14ac:dyDescent="0.2">
      <c r="A8" s="16" t="s">
        <v>311</v>
      </c>
      <c r="B8" s="15" t="s">
        <v>294</v>
      </c>
      <c r="C8" s="15" t="s">
        <v>294</v>
      </c>
      <c r="D8" s="15" t="s">
        <v>294</v>
      </c>
      <c r="E8" s="15" t="s">
        <v>294</v>
      </c>
      <c r="F8" s="14" t="s">
        <v>338</v>
      </c>
      <c r="G8" s="16" t="s">
        <v>21</v>
      </c>
      <c r="H8" s="14" t="s">
        <v>339</v>
      </c>
      <c r="I8" s="15" t="s">
        <v>340</v>
      </c>
      <c r="K8" s="15" t="s">
        <v>311</v>
      </c>
      <c r="L8" s="15" t="s">
        <v>294</v>
      </c>
      <c r="Q8" s="3" t="s">
        <v>341</v>
      </c>
      <c r="R8" s="3" t="s">
        <v>21</v>
      </c>
      <c r="S8" s="3" t="s">
        <v>342</v>
      </c>
      <c r="AG8" s="5" t="s">
        <v>343</v>
      </c>
    </row>
    <row r="9" spans="1:34" ht="33" x14ac:dyDescent="0.2">
      <c r="B9" s="15" t="s">
        <v>311</v>
      </c>
      <c r="C9" s="15" t="s">
        <v>311</v>
      </c>
      <c r="D9" s="15" t="s">
        <v>311</v>
      </c>
      <c r="E9" s="15" t="s">
        <v>311</v>
      </c>
      <c r="F9" s="14" t="s">
        <v>344</v>
      </c>
      <c r="G9" s="16" t="s">
        <v>311</v>
      </c>
      <c r="H9" s="14" t="s">
        <v>345</v>
      </c>
      <c r="I9" s="15" t="s">
        <v>285</v>
      </c>
      <c r="L9" s="15" t="s">
        <v>311</v>
      </c>
      <c r="Q9" s="3" t="s">
        <v>285</v>
      </c>
      <c r="S9" s="3" t="s">
        <v>346</v>
      </c>
      <c r="AG9" s="5" t="s">
        <v>347</v>
      </c>
    </row>
    <row r="10" spans="1:34" ht="16.5" x14ac:dyDescent="0.2">
      <c r="F10" s="14" t="s">
        <v>348</v>
      </c>
      <c r="H10" s="14" t="s">
        <v>326</v>
      </c>
      <c r="I10" s="15" t="s">
        <v>21</v>
      </c>
      <c r="Q10" s="15" t="s">
        <v>294</v>
      </c>
      <c r="S10" s="3" t="s">
        <v>349</v>
      </c>
    </row>
    <row r="11" spans="1:34" ht="16.5" x14ac:dyDescent="0.2">
      <c r="F11" s="14" t="s">
        <v>350</v>
      </c>
      <c r="H11" s="16" t="s">
        <v>21</v>
      </c>
      <c r="I11" s="15" t="s">
        <v>311</v>
      </c>
      <c r="S11" s="3" t="s">
        <v>21</v>
      </c>
    </row>
    <row r="12" spans="1:34" ht="16.5" x14ac:dyDescent="0.2">
      <c r="F12" s="14" t="s">
        <v>326</v>
      </c>
      <c r="H12" s="16" t="s">
        <v>311</v>
      </c>
    </row>
    <row r="13" spans="1:34" ht="16.5" x14ac:dyDescent="0.2">
      <c r="F13" s="16" t="s">
        <v>21</v>
      </c>
    </row>
    <row r="14" spans="1:34" ht="16.5" x14ac:dyDescent="0.2">
      <c r="F14" s="16" t="s">
        <v>311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02D9-7311-44F8-9757-58CCB72B94AB}">
  <sheetPr codeName="Sheet4"/>
  <dimension ref="A1:J158"/>
  <sheetViews>
    <sheetView workbookViewId="0">
      <selection activeCell="J1" sqref="J1"/>
    </sheetView>
  </sheetViews>
  <sheetFormatPr defaultRowHeight="16.5" x14ac:dyDescent="0.3"/>
  <cols>
    <col min="1" max="1" width="9" style="38"/>
    <col min="2" max="2" width="24.25" style="38" customWidth="1"/>
    <col min="3" max="4" width="9" style="38"/>
    <col min="5" max="5" width="22.75" style="38" customWidth="1"/>
    <col min="6" max="7" width="9" style="38"/>
    <col min="8" max="8" width="24.625" style="38" customWidth="1"/>
    <col min="9" max="9" width="9" style="38"/>
  </cols>
  <sheetData>
    <row r="1" spans="1:10" ht="36" x14ac:dyDescent="0.3">
      <c r="A1" s="116" t="s">
        <v>897</v>
      </c>
      <c r="B1" s="12" t="s">
        <v>880</v>
      </c>
    </row>
    <row r="2" spans="1:10" ht="17.25" x14ac:dyDescent="0.3">
      <c r="A2" s="107">
        <v>2018</v>
      </c>
      <c r="B2" s="107"/>
      <c r="C2" s="107"/>
      <c r="D2" s="108">
        <v>2019</v>
      </c>
      <c r="E2" s="108"/>
      <c r="F2" s="108"/>
      <c r="G2" s="109">
        <v>2020</v>
      </c>
      <c r="H2" s="109"/>
      <c r="I2" s="109"/>
      <c r="J2" s="115">
        <f>XEZ2</f>
        <v>0</v>
      </c>
    </row>
    <row r="3" spans="1:10" ht="66" x14ac:dyDescent="0.2">
      <c r="A3" s="3" t="s">
        <v>403</v>
      </c>
      <c r="B3" s="5" t="s">
        <v>431</v>
      </c>
      <c r="C3" s="5" t="s">
        <v>404</v>
      </c>
      <c r="D3" s="3" t="s">
        <v>403</v>
      </c>
      <c r="E3" s="5" t="s">
        <v>431</v>
      </c>
      <c r="F3" s="5" t="s">
        <v>404</v>
      </c>
      <c r="G3" s="3" t="s">
        <v>403</v>
      </c>
      <c r="H3" s="5" t="s">
        <v>431</v>
      </c>
      <c r="I3" s="5" t="s">
        <v>404</v>
      </c>
    </row>
    <row r="4" spans="1:10" ht="18" x14ac:dyDescent="0.25">
      <c r="A4" s="61" t="s">
        <v>428</v>
      </c>
      <c r="B4" s="61" t="s">
        <v>427</v>
      </c>
      <c r="C4" s="61">
        <v>96</v>
      </c>
      <c r="D4" s="61" t="s">
        <v>429</v>
      </c>
      <c r="E4" s="61" t="s">
        <v>145</v>
      </c>
      <c r="F4" s="61">
        <v>99</v>
      </c>
      <c r="G4" s="62" t="s">
        <v>430</v>
      </c>
      <c r="H4" s="61" t="s">
        <v>150</v>
      </c>
      <c r="I4" s="61">
        <v>80</v>
      </c>
    </row>
    <row r="5" spans="1:10" ht="17.25" x14ac:dyDescent="0.3">
      <c r="A5" s="8" t="s">
        <v>92</v>
      </c>
      <c r="B5" s="8" t="str">
        <f>VLOOKUP(A5,'1-1 基本信息'!$A$3:$J$87,10,0)</f>
        <v>管理机关</v>
      </c>
      <c r="C5" s="8">
        <v>96.75</v>
      </c>
      <c r="D5" s="8" t="s">
        <v>92</v>
      </c>
      <c r="E5" s="8" t="str">
        <f>VLOOKUP(D5,'1-1 基本信息'!$A$3:$J$87,10,0)</f>
        <v>管理机关</v>
      </c>
      <c r="F5" s="8">
        <v>98.47</v>
      </c>
      <c r="G5" s="63" t="s">
        <v>109</v>
      </c>
      <c r="H5" s="8" t="str">
        <f>VLOOKUP(G5,'1-1 基本信息'!$A$3:$J$87,10,0)</f>
        <v>管理机关</v>
      </c>
      <c r="I5" s="64">
        <v>98.555999999999997</v>
      </c>
    </row>
    <row r="6" spans="1:10" ht="17.25" x14ac:dyDescent="0.3">
      <c r="A6" s="8" t="s">
        <v>88</v>
      </c>
      <c r="B6" s="8" t="str">
        <f>VLOOKUP(A6,'1-1 基本信息'!$A$3:$J$87,10,0)</f>
        <v>管理机关</v>
      </c>
      <c r="C6" s="8">
        <v>95.32</v>
      </c>
      <c r="D6" s="8" t="s">
        <v>88</v>
      </c>
      <c r="E6" s="8" t="str">
        <f>VLOOKUP(D6,'1-1 基本信息'!$A$3:$J$87,10,0)</f>
        <v>管理机关</v>
      </c>
      <c r="F6" s="8">
        <v>96.18</v>
      </c>
      <c r="G6" s="65" t="s">
        <v>92</v>
      </c>
      <c r="H6" s="8" t="str">
        <f>VLOOKUP(G6,'1-1 基本信息'!$A$3:$J$87,10,0)</f>
        <v>管理机关</v>
      </c>
      <c r="I6" s="64">
        <v>95.864000000000004</v>
      </c>
    </row>
    <row r="7" spans="1:10" ht="17.25" x14ac:dyDescent="0.3">
      <c r="A7" s="8" t="s">
        <v>103</v>
      </c>
      <c r="B7" s="8" t="str">
        <f>VLOOKUP(A7,'1-1 基本信息'!$A$3:$J$87,10,0)</f>
        <v>管理机关</v>
      </c>
      <c r="C7" s="8">
        <v>95.34</v>
      </c>
      <c r="D7" s="8" t="s">
        <v>103</v>
      </c>
      <c r="E7" s="8" t="str">
        <f>VLOOKUP(D7,'1-1 基本信息'!$A$3:$J$87,10,0)</f>
        <v>管理机关</v>
      </c>
      <c r="F7" s="8">
        <v>97.01</v>
      </c>
      <c r="G7" s="65" t="s">
        <v>406</v>
      </c>
      <c r="H7" s="8" t="e">
        <f>VLOOKUP(G7,'1-1 基本信息'!$A$3:$J$87,10,0)</f>
        <v>#N/A</v>
      </c>
      <c r="I7" s="64">
        <v>103.03</v>
      </c>
    </row>
    <row r="8" spans="1:10" ht="17.25" x14ac:dyDescent="0.3">
      <c r="A8" s="8" t="s">
        <v>112</v>
      </c>
      <c r="B8" s="8" t="str">
        <f>VLOOKUP(A8,'1-1 基本信息'!$A$3:$J$87,10,0)</f>
        <v>管理机关</v>
      </c>
      <c r="C8" s="8">
        <v>94.87</v>
      </c>
      <c r="D8" s="8" t="s">
        <v>112</v>
      </c>
      <c r="E8" s="8" t="str">
        <f>VLOOKUP(D8,'1-1 基本信息'!$A$3:$J$87,10,0)</f>
        <v>管理机关</v>
      </c>
      <c r="F8" s="8">
        <v>93.460000000000008</v>
      </c>
      <c r="G8" s="65" t="s">
        <v>407</v>
      </c>
      <c r="H8" s="8" t="str">
        <f>VLOOKUP(G8,'1-1 基本信息'!$A$3:$J$87,10,0)</f>
        <v>管理机关</v>
      </c>
      <c r="I8" s="64">
        <v>101.92399999999999</v>
      </c>
    </row>
    <row r="9" spans="1:10" ht="17.25" x14ac:dyDescent="0.3">
      <c r="A9" s="8" t="s">
        <v>109</v>
      </c>
      <c r="B9" s="8" t="str">
        <f>VLOOKUP(A9,'1-1 基本信息'!$A$3:$J$87,10,0)</f>
        <v>管理机关</v>
      </c>
      <c r="C9" s="8">
        <v>96.360000000000014</v>
      </c>
      <c r="D9" s="8" t="s">
        <v>109</v>
      </c>
      <c r="E9" s="8" t="str">
        <f>VLOOKUP(D9,'1-1 基本信息'!$A$3:$J$87,10,0)</f>
        <v>管理机关</v>
      </c>
      <c r="F9" s="8">
        <v>98.43</v>
      </c>
      <c r="G9" s="65" t="s">
        <v>61</v>
      </c>
      <c r="H9" s="8" t="str">
        <f>VLOOKUP(G9,'1-1 基本信息'!$A$3:$J$87,10,0)</f>
        <v>管理机关</v>
      </c>
      <c r="I9" s="64">
        <v>101.22800000000001</v>
      </c>
    </row>
    <row r="10" spans="1:10" ht="17.25" x14ac:dyDescent="0.3">
      <c r="A10" s="8" t="s">
        <v>410</v>
      </c>
      <c r="B10" s="8" t="str">
        <f>VLOOKUP(A10,'1-1 基本信息'!$A$3:$J$87,10,0)</f>
        <v>管理机关</v>
      </c>
      <c r="C10" s="8">
        <v>96.300000000000011</v>
      </c>
      <c r="D10" s="8" t="s">
        <v>410</v>
      </c>
      <c r="E10" s="8" t="str">
        <f>VLOOKUP(D10,'1-1 基本信息'!$A$3:$J$87,10,0)</f>
        <v>管理机关</v>
      </c>
      <c r="F10" s="8">
        <v>98.300000000000011</v>
      </c>
      <c r="G10" s="65" t="s">
        <v>134</v>
      </c>
      <c r="H10" s="8" t="str">
        <f>VLOOKUP(G10,'1-1 基本信息'!$A$3:$J$87,10,0)</f>
        <v>管理机关</v>
      </c>
      <c r="I10" s="64">
        <v>100.75399999999999</v>
      </c>
    </row>
    <row r="11" spans="1:10" ht="17.25" x14ac:dyDescent="0.3">
      <c r="A11" s="8" t="s">
        <v>407</v>
      </c>
      <c r="B11" s="8" t="str">
        <f>VLOOKUP(A11,'1-1 基本信息'!$A$3:$J$87,10,0)</f>
        <v>管理机关</v>
      </c>
      <c r="C11" s="8">
        <v>96.53</v>
      </c>
      <c r="D11" s="8" t="s">
        <v>407</v>
      </c>
      <c r="E11" s="8" t="str">
        <f>VLOOKUP(D11,'1-1 基本信息'!$A$3:$J$87,10,0)</f>
        <v>管理机关</v>
      </c>
      <c r="F11" s="8">
        <v>98.64</v>
      </c>
      <c r="G11" s="65" t="s">
        <v>103</v>
      </c>
      <c r="H11" s="8" t="str">
        <f>VLOOKUP(G11,'1-1 基本信息'!$A$3:$J$87,10,0)</f>
        <v>管理机关</v>
      </c>
      <c r="I11" s="64">
        <v>100.542</v>
      </c>
    </row>
    <row r="12" spans="1:10" ht="17.25" x14ac:dyDescent="0.3">
      <c r="A12" s="8" t="s">
        <v>134</v>
      </c>
      <c r="B12" s="8" t="str">
        <f>VLOOKUP(A12,'1-1 基本信息'!$A$3:$J$87,10,0)</f>
        <v>管理机关</v>
      </c>
      <c r="C12" s="8">
        <v>97.17</v>
      </c>
      <c r="D12" s="8" t="s">
        <v>134</v>
      </c>
      <c r="E12" s="8" t="str">
        <f>VLOOKUP(D12,'1-1 基本信息'!$A$3:$J$87,10,0)</f>
        <v>管理机关</v>
      </c>
      <c r="F12" s="8">
        <v>98.330000000000013</v>
      </c>
      <c r="G12" s="65" t="s">
        <v>408</v>
      </c>
      <c r="H12" s="8" t="e">
        <f>VLOOKUP(G12,'1-1 基本信息'!$A$3:$J$87,10,0)</f>
        <v>#N/A</v>
      </c>
      <c r="I12" s="64">
        <v>100.05</v>
      </c>
    </row>
    <row r="13" spans="1:10" ht="17.25" x14ac:dyDescent="0.3">
      <c r="A13" s="8" t="s">
        <v>74</v>
      </c>
      <c r="B13" s="8" t="str">
        <f>VLOOKUP(A13,'1-1 基本信息'!$A$3:$J$87,10,0)</f>
        <v>管理机关</v>
      </c>
      <c r="C13" s="8">
        <v>94.990000000000009</v>
      </c>
      <c r="D13" s="8" t="s">
        <v>74</v>
      </c>
      <c r="E13" s="8" t="str">
        <f>VLOOKUP(D13,'1-1 基本信息'!$A$3:$J$87,10,0)</f>
        <v>管理机关</v>
      </c>
      <c r="F13" s="8">
        <v>95.68</v>
      </c>
      <c r="G13" s="65" t="s">
        <v>51</v>
      </c>
      <c r="H13" s="8" t="str">
        <f>VLOOKUP(G13,'1-1 基本信息'!$A$3:$J$87,10,0)</f>
        <v>管理机关</v>
      </c>
      <c r="I13" s="64">
        <v>99.602000000000004</v>
      </c>
    </row>
    <row r="14" spans="1:10" ht="17.25" x14ac:dyDescent="0.3">
      <c r="A14" s="8" t="s">
        <v>46</v>
      </c>
      <c r="B14" s="8" t="str">
        <f>VLOOKUP(A14,'1-1 基本信息'!$A$3:$J$87,10,0)</f>
        <v>管理机关</v>
      </c>
      <c r="C14" s="8" t="s">
        <v>572</v>
      </c>
      <c r="D14" s="8" t="s">
        <v>46</v>
      </c>
      <c r="E14" s="8" t="str">
        <f>VLOOKUP(D14,'1-1 基本信息'!$A$3:$J$87,10,0)</f>
        <v>管理机关</v>
      </c>
      <c r="F14" s="8">
        <v>95.68</v>
      </c>
      <c r="G14" s="65" t="s">
        <v>132</v>
      </c>
      <c r="H14" s="8" t="str">
        <f>VLOOKUP(G14,'1-1 基本信息'!$A$3:$J$87,10,0)</f>
        <v>管理机关</v>
      </c>
      <c r="I14" s="64">
        <v>99.542000000000002</v>
      </c>
    </row>
    <row r="15" spans="1:10" ht="17.25" x14ac:dyDescent="0.3">
      <c r="A15" s="8" t="s">
        <v>58</v>
      </c>
      <c r="B15" s="8" t="str">
        <f>VLOOKUP(A15,'1-1 基本信息'!$A$3:$J$87,10,0)</f>
        <v>管理机关</v>
      </c>
      <c r="C15" s="8">
        <v>95.34</v>
      </c>
      <c r="D15" s="8" t="s">
        <v>58</v>
      </c>
      <c r="E15" s="8" t="str">
        <f>VLOOKUP(D15,'1-1 基本信息'!$A$3:$J$87,10,0)</f>
        <v>管理机关</v>
      </c>
      <c r="F15" s="8">
        <v>95.61</v>
      </c>
      <c r="G15" s="65" t="s">
        <v>409</v>
      </c>
      <c r="H15" s="8" t="e">
        <f>VLOOKUP(G15,'1-1 基本信息'!$A$3:$J$87,10,0)</f>
        <v>#N/A</v>
      </c>
      <c r="I15" s="64">
        <v>99.516000000000005</v>
      </c>
    </row>
    <row r="16" spans="1:10" ht="17.25" x14ac:dyDescent="0.3">
      <c r="A16" s="8" t="s">
        <v>104</v>
      </c>
      <c r="B16" s="8" t="str">
        <f>VLOOKUP(A16,'1-1 基本信息'!$A$3:$J$87,10,0)</f>
        <v>管理机关</v>
      </c>
      <c r="C16" s="8" t="s">
        <v>572</v>
      </c>
      <c r="D16" s="8" t="s">
        <v>104</v>
      </c>
      <c r="E16" s="8" t="str">
        <f>VLOOKUP(D16,'1-1 基本信息'!$A$3:$J$87,10,0)</f>
        <v>管理机关</v>
      </c>
      <c r="F16" s="8">
        <v>95.85</v>
      </c>
      <c r="G16" s="65" t="s">
        <v>118</v>
      </c>
      <c r="H16" s="8" t="str">
        <f>VLOOKUP(G16,'1-1 基本信息'!$A$3:$J$87,10,0)</f>
        <v>管理机关</v>
      </c>
      <c r="I16" s="64">
        <v>99.382000000000005</v>
      </c>
    </row>
    <row r="17" spans="1:9" ht="17.25" x14ac:dyDescent="0.3">
      <c r="A17" s="8" t="s">
        <v>108</v>
      </c>
      <c r="B17" s="8" t="str">
        <f>VLOOKUP(A17,'1-1 基本信息'!$A$3:$J$87,10,0)</f>
        <v>管理机关</v>
      </c>
      <c r="C17" s="8">
        <v>95.13</v>
      </c>
      <c r="D17" s="8" t="s">
        <v>108</v>
      </c>
      <c r="E17" s="8" t="str">
        <f>VLOOKUP(D17,'1-1 基本信息'!$A$3:$J$87,10,0)</f>
        <v>管理机关</v>
      </c>
      <c r="F17" s="8">
        <v>95.710000000000008</v>
      </c>
      <c r="G17" s="65" t="s">
        <v>112</v>
      </c>
      <c r="H17" s="8" t="str">
        <f>VLOOKUP(G17,'1-1 基本信息'!$A$3:$J$87,10,0)</f>
        <v>管理机关</v>
      </c>
      <c r="I17" s="64">
        <v>99.804000000000002</v>
      </c>
    </row>
    <row r="18" spans="1:9" ht="17.25" x14ac:dyDescent="0.3">
      <c r="A18" s="8" t="s">
        <v>115</v>
      </c>
      <c r="B18" s="8" t="str">
        <f>VLOOKUP(A18,'1-1 基本信息'!$A$3:$J$87,10,0)</f>
        <v>管理机关</v>
      </c>
      <c r="C18" s="8">
        <v>94.860000000000014</v>
      </c>
      <c r="D18" s="8" t="s">
        <v>115</v>
      </c>
      <c r="E18" s="8" t="str">
        <f>VLOOKUP(D18,'1-1 基本信息'!$A$3:$J$87,10,0)</f>
        <v>管理机关</v>
      </c>
      <c r="F18" s="8">
        <v>96.449999999999989</v>
      </c>
      <c r="G18" s="65" t="s">
        <v>49</v>
      </c>
      <c r="H18" s="8" t="str">
        <f>VLOOKUP(G18,'1-1 基本信息'!$A$3:$J$87,10,0)</f>
        <v>管理机关</v>
      </c>
      <c r="I18" s="64">
        <v>100.568</v>
      </c>
    </row>
    <row r="19" spans="1:9" ht="17.25" x14ac:dyDescent="0.3">
      <c r="A19" s="8" t="s">
        <v>100</v>
      </c>
      <c r="B19" s="8" t="str">
        <f>VLOOKUP(A19,'1-1 基本信息'!$A$3:$J$87,10,0)</f>
        <v>管理机关</v>
      </c>
      <c r="C19" s="8" t="s">
        <v>572</v>
      </c>
      <c r="D19" s="8" t="s">
        <v>100</v>
      </c>
      <c r="E19" s="8" t="str">
        <f>VLOOKUP(D19,'1-1 基本信息'!$A$3:$J$87,10,0)</f>
        <v>管理机关</v>
      </c>
      <c r="F19" s="8">
        <v>94.759999999999991</v>
      </c>
      <c r="G19" s="65" t="s">
        <v>46</v>
      </c>
      <c r="H19" s="8" t="str">
        <f>VLOOKUP(G19,'1-1 基本信息'!$A$3:$J$87,10,0)</f>
        <v>管理机关</v>
      </c>
      <c r="I19" s="64">
        <v>99.403999999999996</v>
      </c>
    </row>
    <row r="20" spans="1:9" ht="17.25" x14ac:dyDescent="0.3">
      <c r="A20" s="8" t="s">
        <v>47</v>
      </c>
      <c r="B20" s="8" t="str">
        <f>VLOOKUP(A20,'1-1 基本信息'!$A$3:$J$87,10,0)</f>
        <v>管理机关</v>
      </c>
      <c r="C20" s="8">
        <v>98.47</v>
      </c>
      <c r="D20" s="8" t="s">
        <v>47</v>
      </c>
      <c r="E20" s="8" t="str">
        <f>VLOOKUP(D20,'1-1 基本信息'!$A$3:$J$87,10,0)</f>
        <v>管理机关</v>
      </c>
      <c r="F20" s="8">
        <v>99.22</v>
      </c>
      <c r="G20" s="65" t="s">
        <v>138</v>
      </c>
      <c r="H20" s="8" t="str">
        <f>VLOOKUP(G20,'1-1 基本信息'!$A$3:$J$87,10,0)</f>
        <v>管理机关</v>
      </c>
      <c r="I20" s="64">
        <v>99.323999999999998</v>
      </c>
    </row>
    <row r="21" spans="1:9" ht="17.25" x14ac:dyDescent="0.3">
      <c r="A21" s="8" t="s">
        <v>76</v>
      </c>
      <c r="B21" s="8" t="str">
        <f>VLOOKUP(A21,'1-1 基本信息'!$A$3:$J$87,10,0)</f>
        <v>管理机关</v>
      </c>
      <c r="C21" s="8">
        <v>95.71</v>
      </c>
      <c r="D21" s="8" t="s">
        <v>76</v>
      </c>
      <c r="E21" s="8" t="str">
        <f>VLOOKUP(D21,'1-1 基本信息'!$A$3:$J$87,10,0)</f>
        <v>管理机关</v>
      </c>
      <c r="F21" s="8">
        <v>95.5</v>
      </c>
      <c r="G21" s="65" t="s">
        <v>90</v>
      </c>
      <c r="H21" s="8" t="str">
        <f>VLOOKUP(G21,'1-1 基本信息'!$A$3:$J$87,10,0)</f>
        <v>管理机关</v>
      </c>
      <c r="I21" s="64">
        <v>99.277999999999992</v>
      </c>
    </row>
    <row r="22" spans="1:9" ht="17.25" x14ac:dyDescent="0.3">
      <c r="A22" s="8" t="s">
        <v>125</v>
      </c>
      <c r="B22" s="8" t="str">
        <f>VLOOKUP(A22,'1-1 基本信息'!$A$3:$J$87,10,0)</f>
        <v>管理机关</v>
      </c>
      <c r="C22" s="8" t="s">
        <v>572</v>
      </c>
      <c r="D22" s="8" t="s">
        <v>125</v>
      </c>
      <c r="E22" s="8" t="str">
        <f>VLOOKUP(D22,'1-1 基本信息'!$A$3:$J$87,10,0)</f>
        <v>管理机关</v>
      </c>
      <c r="F22" s="8">
        <v>94.63</v>
      </c>
      <c r="G22" s="65" t="s">
        <v>60</v>
      </c>
      <c r="H22" s="8" t="str">
        <f>VLOOKUP(G22,'1-1 基本信息'!$A$3:$J$87,10,0)</f>
        <v>管理机关</v>
      </c>
      <c r="I22" s="64">
        <v>99.251999999999995</v>
      </c>
    </row>
    <row r="23" spans="1:9" ht="17.25" x14ac:dyDescent="0.3">
      <c r="A23" s="8" t="s">
        <v>94</v>
      </c>
      <c r="B23" s="8" t="str">
        <f>VLOOKUP(A23,'1-1 基本信息'!$A$3:$J$87,10,0)</f>
        <v>管理机关</v>
      </c>
      <c r="C23" s="8">
        <v>99</v>
      </c>
      <c r="D23" s="8" t="s">
        <v>94</v>
      </c>
      <c r="E23" s="8" t="str">
        <f>VLOOKUP(D23,'1-1 基本信息'!$A$3:$J$87,10,0)</f>
        <v>管理机关</v>
      </c>
      <c r="F23" s="8">
        <v>99.14</v>
      </c>
      <c r="G23" s="65" t="s">
        <v>410</v>
      </c>
      <c r="H23" s="8" t="str">
        <f>VLOOKUP(G23,'1-1 基本信息'!$A$3:$J$87,10,0)</f>
        <v>管理机关</v>
      </c>
      <c r="I23" s="64">
        <v>99.07</v>
      </c>
    </row>
    <row r="24" spans="1:9" ht="17.25" x14ac:dyDescent="0.3">
      <c r="A24" s="8" t="s">
        <v>138</v>
      </c>
      <c r="B24" s="8" t="str">
        <f>VLOOKUP(A24,'1-1 基本信息'!$A$3:$J$87,10,0)</f>
        <v>管理机关</v>
      </c>
      <c r="C24" s="8">
        <v>95.65</v>
      </c>
      <c r="D24" s="8" t="s">
        <v>138</v>
      </c>
      <c r="E24" s="8" t="str">
        <f>VLOOKUP(D24,'1-1 基本信息'!$A$3:$J$87,10,0)</f>
        <v>管理机关</v>
      </c>
      <c r="F24" s="8">
        <v>96.12</v>
      </c>
      <c r="G24" s="65" t="s">
        <v>56</v>
      </c>
      <c r="H24" s="8" t="str">
        <f>VLOOKUP(G24,'1-1 基本信息'!$A$3:$J$87,10,0)</f>
        <v>管理机关</v>
      </c>
      <c r="I24" s="64">
        <v>98.894000000000005</v>
      </c>
    </row>
    <row r="25" spans="1:9" ht="17.25" x14ac:dyDescent="0.3">
      <c r="A25" s="8" t="s">
        <v>117</v>
      </c>
      <c r="B25" s="8" t="str">
        <f>VLOOKUP(A25,'1-1 基本信息'!$A$3:$J$87,10,0)</f>
        <v>管理机关</v>
      </c>
      <c r="C25" s="8">
        <v>97.42</v>
      </c>
      <c r="D25" s="8" t="s">
        <v>117</v>
      </c>
      <c r="E25" s="8" t="str">
        <f>VLOOKUP(D25,'1-1 基本信息'!$A$3:$J$87,10,0)</f>
        <v>管理机关</v>
      </c>
      <c r="F25" s="8">
        <v>96.16</v>
      </c>
      <c r="G25" s="65" t="s">
        <v>126</v>
      </c>
      <c r="H25" s="8" t="str">
        <f>VLOOKUP(G25,'1-1 基本信息'!$A$3:$J$87,10,0)</f>
        <v>管理机关</v>
      </c>
      <c r="I25" s="64">
        <v>98.843999999999994</v>
      </c>
    </row>
    <row r="26" spans="1:9" ht="17.25" x14ac:dyDescent="0.3">
      <c r="A26" s="8" t="s">
        <v>118</v>
      </c>
      <c r="B26" s="8" t="str">
        <f>VLOOKUP(A26,'1-1 基本信息'!$A$3:$J$87,10,0)</f>
        <v>管理机关</v>
      </c>
      <c r="C26" s="8">
        <v>96.78</v>
      </c>
      <c r="D26" s="8" t="s">
        <v>118</v>
      </c>
      <c r="E26" s="8" t="str">
        <f>VLOOKUP(D26,'1-1 基本信息'!$A$3:$J$87,10,0)</f>
        <v>管理机关</v>
      </c>
      <c r="F26" s="8">
        <v>97.050000000000011</v>
      </c>
      <c r="G26" s="65" t="s">
        <v>76</v>
      </c>
      <c r="H26" s="8" t="str">
        <f>VLOOKUP(G26,'1-1 基本信息'!$A$3:$J$87,10,0)</f>
        <v>管理机关</v>
      </c>
      <c r="I26" s="64">
        <v>98.792000000000002</v>
      </c>
    </row>
    <row r="27" spans="1:9" ht="17.25" x14ac:dyDescent="0.3">
      <c r="A27" s="8" t="s">
        <v>466</v>
      </c>
      <c r="B27" s="8" t="str">
        <f>VLOOKUP(A27,'1-1 基本信息'!$A$3:$J$87,10,0)</f>
        <v>管理机关</v>
      </c>
      <c r="C27" s="8" t="s">
        <v>572</v>
      </c>
      <c r="D27" s="8" t="s">
        <v>466</v>
      </c>
      <c r="E27" s="8" t="str">
        <f>VLOOKUP(D27,'1-1 基本信息'!$A$3:$J$87,10,0)</f>
        <v>管理机关</v>
      </c>
      <c r="F27" s="8" t="s">
        <v>572</v>
      </c>
      <c r="G27" s="65" t="s">
        <v>104</v>
      </c>
      <c r="H27" s="8" t="str">
        <f>VLOOKUP(G27,'1-1 基本信息'!$A$3:$J$87,10,0)</f>
        <v>管理机关</v>
      </c>
      <c r="I27" s="64">
        <v>98.713999999999999</v>
      </c>
    </row>
    <row r="28" spans="1:9" ht="17.25" x14ac:dyDescent="0.3">
      <c r="A28" s="8" t="s">
        <v>61</v>
      </c>
      <c r="B28" s="8" t="str">
        <f>VLOOKUP(A28,'1-1 基本信息'!$A$3:$J$87,10,0)</f>
        <v>管理机关</v>
      </c>
      <c r="C28" s="8">
        <v>95.54</v>
      </c>
      <c r="D28" s="8" t="s">
        <v>61</v>
      </c>
      <c r="E28" s="8" t="str">
        <f>VLOOKUP(D28,'1-1 基本信息'!$A$3:$J$87,10,0)</f>
        <v>管理机关</v>
      </c>
      <c r="F28" s="8">
        <v>96.94</v>
      </c>
      <c r="G28" s="65" t="s">
        <v>74</v>
      </c>
      <c r="H28" s="8" t="str">
        <f>VLOOKUP(G28,'1-1 基本信息'!$A$3:$J$87,10,0)</f>
        <v>管理机关</v>
      </c>
      <c r="I28" s="64">
        <v>98.701999999999998</v>
      </c>
    </row>
    <row r="29" spans="1:9" ht="17.25" x14ac:dyDescent="0.3">
      <c r="A29" s="8" t="s">
        <v>49</v>
      </c>
      <c r="B29" s="8" t="str">
        <f>VLOOKUP(A29,'1-1 基本信息'!$A$3:$J$87,10,0)</f>
        <v>管理机关</v>
      </c>
      <c r="C29" s="8">
        <v>97.95</v>
      </c>
      <c r="D29" s="8" t="s">
        <v>49</v>
      </c>
      <c r="E29" s="8" t="str">
        <f>VLOOKUP(D29,'1-1 基本信息'!$A$3:$J$87,10,0)</f>
        <v>管理机关</v>
      </c>
      <c r="F29" s="8">
        <v>99.02</v>
      </c>
      <c r="G29" s="65" t="s">
        <v>93</v>
      </c>
      <c r="H29" s="8" t="str">
        <f>VLOOKUP(G29,'1-1 基本信息'!$A$3:$J$87,10,0)</f>
        <v>培训中心</v>
      </c>
      <c r="I29" s="64">
        <v>98.593999999999994</v>
      </c>
    </row>
    <row r="30" spans="1:9" ht="17.25" x14ac:dyDescent="0.3">
      <c r="A30" s="8" t="s">
        <v>116</v>
      </c>
      <c r="B30" s="8" t="str">
        <f>VLOOKUP(A30,'1-1 基本信息'!$A$3:$J$87,10,0)</f>
        <v>管理机关</v>
      </c>
      <c r="C30" s="8" t="s">
        <v>572</v>
      </c>
      <c r="D30" s="8" t="s">
        <v>116</v>
      </c>
      <c r="E30" s="8" t="str">
        <f>VLOOKUP(D30,'1-1 基本信息'!$A$3:$J$87,10,0)</f>
        <v>管理机关</v>
      </c>
      <c r="F30" s="8">
        <v>94.19</v>
      </c>
      <c r="G30" s="65" t="s">
        <v>125</v>
      </c>
      <c r="H30" s="8" t="str">
        <f>VLOOKUP(G30,'1-1 基本信息'!$A$3:$J$87,10,0)</f>
        <v>管理机关</v>
      </c>
      <c r="I30" s="64">
        <v>98.592000000000013</v>
      </c>
    </row>
    <row r="31" spans="1:9" ht="17.25" x14ac:dyDescent="0.3">
      <c r="A31" s="8" t="s">
        <v>132</v>
      </c>
      <c r="B31" s="8" t="str">
        <f>VLOOKUP(A31,'1-1 基本信息'!$A$3:$J$87,10,0)</f>
        <v>管理机关</v>
      </c>
      <c r="C31" s="8">
        <v>97.13</v>
      </c>
      <c r="D31" s="8" t="s">
        <v>132</v>
      </c>
      <c r="E31" s="8" t="str">
        <f>VLOOKUP(D31,'1-1 基本信息'!$A$3:$J$87,10,0)</f>
        <v>管理机关</v>
      </c>
      <c r="F31" s="8">
        <v>96.84</v>
      </c>
      <c r="G31" s="65" t="s">
        <v>58</v>
      </c>
      <c r="H31" s="8" t="str">
        <f>VLOOKUP(G31,'1-1 基本信息'!$A$3:$J$87,10,0)</f>
        <v>管理机关</v>
      </c>
      <c r="I31" s="64">
        <v>98.382000000000005</v>
      </c>
    </row>
    <row r="32" spans="1:9" ht="17.25" x14ac:dyDescent="0.3">
      <c r="A32" s="8" t="s">
        <v>90</v>
      </c>
      <c r="B32" s="8" t="str">
        <f>VLOOKUP(A32,'1-1 基本信息'!$A$3:$J$87,10,0)</f>
        <v>管理机关</v>
      </c>
      <c r="C32" s="8">
        <v>95.91</v>
      </c>
      <c r="D32" s="8" t="s">
        <v>90</v>
      </c>
      <c r="E32" s="8" t="str">
        <f>VLOOKUP(D32,'1-1 基本信息'!$A$3:$J$87,10,0)</f>
        <v>管理机关</v>
      </c>
      <c r="F32" s="8">
        <v>95.990000000000009</v>
      </c>
      <c r="G32" s="65" t="s">
        <v>47</v>
      </c>
      <c r="H32" s="8" t="str">
        <f>VLOOKUP(G32,'1-1 基本信息'!$A$3:$J$87,10,0)</f>
        <v>管理机关</v>
      </c>
      <c r="I32" s="64">
        <v>98.298000000000002</v>
      </c>
    </row>
    <row r="33" spans="1:9" ht="17.25" x14ac:dyDescent="0.3">
      <c r="A33" s="8" t="s">
        <v>126</v>
      </c>
      <c r="B33" s="8" t="str">
        <f>VLOOKUP(A33,'1-1 基本信息'!$A$3:$J$87,10,0)</f>
        <v>管理机关</v>
      </c>
      <c r="C33" s="8">
        <v>95.54</v>
      </c>
      <c r="D33" s="8" t="s">
        <v>126</v>
      </c>
      <c r="E33" s="8" t="str">
        <f>VLOOKUP(D33,'1-1 基本信息'!$A$3:$J$87,10,0)</f>
        <v>管理机关</v>
      </c>
      <c r="F33" s="8">
        <v>96.25</v>
      </c>
      <c r="G33" s="65" t="s">
        <v>411</v>
      </c>
      <c r="H33" s="8" t="e">
        <f>VLOOKUP(G33,'1-1 基本信息'!$A$3:$J$87,10,0)</f>
        <v>#N/A</v>
      </c>
      <c r="I33" s="64">
        <v>98.254000000000005</v>
      </c>
    </row>
    <row r="34" spans="1:9" ht="17.25" x14ac:dyDescent="0.3">
      <c r="A34" s="8" t="s">
        <v>70</v>
      </c>
      <c r="B34" s="8" t="str">
        <f>VLOOKUP(A34,'1-1 基本信息'!$A$3:$J$87,10,0)</f>
        <v>管理机关</v>
      </c>
      <c r="C34" s="8" t="s">
        <v>572</v>
      </c>
      <c r="D34" s="8" t="s">
        <v>70</v>
      </c>
      <c r="E34" s="8" t="str">
        <f>VLOOKUP(D34,'1-1 基本信息'!$A$3:$J$87,10,0)</f>
        <v>管理机关</v>
      </c>
      <c r="F34" s="8">
        <v>94.93</v>
      </c>
      <c r="G34" s="65" t="s">
        <v>116</v>
      </c>
      <c r="H34" s="8" t="str">
        <f>VLOOKUP(G34,'1-1 基本信息'!$A$3:$J$87,10,0)</f>
        <v>管理机关</v>
      </c>
      <c r="I34" s="64">
        <v>98.085999999999999</v>
      </c>
    </row>
    <row r="35" spans="1:9" ht="17.25" x14ac:dyDescent="0.3">
      <c r="A35" s="8" t="s">
        <v>60</v>
      </c>
      <c r="B35" s="8" t="str">
        <f>VLOOKUP(A35,'1-1 基本信息'!$A$3:$J$87,10,0)</f>
        <v>管理机关</v>
      </c>
      <c r="C35" s="8">
        <v>95.03</v>
      </c>
      <c r="D35" s="8" t="s">
        <v>60</v>
      </c>
      <c r="E35" s="8" t="str">
        <f>VLOOKUP(D35,'1-1 基本信息'!$A$3:$J$87,10,0)</f>
        <v>管理机关</v>
      </c>
      <c r="F35" s="8">
        <v>96.43</v>
      </c>
      <c r="G35" s="65" t="s">
        <v>57</v>
      </c>
      <c r="H35" s="8" t="str">
        <f>VLOOKUP(G35,'1-1 基本信息'!$A$3:$J$87,10,0)</f>
        <v>管理机关</v>
      </c>
      <c r="I35" s="64">
        <v>97.96</v>
      </c>
    </row>
    <row r="36" spans="1:9" ht="17.25" x14ac:dyDescent="0.3">
      <c r="A36" s="8" t="s">
        <v>86</v>
      </c>
      <c r="B36" s="8" t="str">
        <f>VLOOKUP(A36,'1-1 基本信息'!$A$3:$J$87,10,0)</f>
        <v>管理机关</v>
      </c>
      <c r="C36" s="8">
        <v>92.960000000000008</v>
      </c>
      <c r="D36" s="8" t="s">
        <v>86</v>
      </c>
      <c r="E36" s="8" t="str">
        <f>VLOOKUP(D36,'1-1 基本信息'!$A$3:$J$87,10,0)</f>
        <v>管理机关</v>
      </c>
      <c r="F36" s="8">
        <v>94.789999999999992</v>
      </c>
      <c r="G36" s="65" t="s">
        <v>115</v>
      </c>
      <c r="H36" s="8" t="str">
        <f>VLOOKUP(G36,'1-1 基本信息'!$A$3:$J$87,10,0)</f>
        <v>管理机关</v>
      </c>
      <c r="I36" s="64">
        <v>97.811999999999983</v>
      </c>
    </row>
    <row r="37" spans="1:9" ht="17.25" x14ac:dyDescent="0.3">
      <c r="A37" s="8" t="s">
        <v>71</v>
      </c>
      <c r="B37" s="8" t="str">
        <f>VLOOKUP(A37,'1-1 基本信息'!$A$3:$J$87,10,0)</f>
        <v>管理机关</v>
      </c>
      <c r="C37" s="8">
        <v>98.48</v>
      </c>
      <c r="D37" s="8" t="s">
        <v>71</v>
      </c>
      <c r="E37" s="8" t="str">
        <f>VLOOKUP(D37,'1-1 基本信息'!$A$3:$J$87,10,0)</f>
        <v>管理机关</v>
      </c>
      <c r="F37" s="8">
        <v>99.53</v>
      </c>
      <c r="G37" s="65" t="s">
        <v>412</v>
      </c>
      <c r="H37" s="8" t="e">
        <f>VLOOKUP(G37,'1-1 基本信息'!$A$3:$J$87,10,0)</f>
        <v>#N/A</v>
      </c>
      <c r="I37" s="64">
        <v>97.287999999999997</v>
      </c>
    </row>
    <row r="38" spans="1:9" ht="17.25" x14ac:dyDescent="0.3">
      <c r="A38" s="8" t="s">
        <v>56</v>
      </c>
      <c r="B38" s="8" t="str">
        <f>VLOOKUP(A38,'1-1 基本信息'!$A$3:$J$87,10,0)</f>
        <v>管理机关</v>
      </c>
      <c r="C38" s="8">
        <v>97.87</v>
      </c>
      <c r="D38" s="8" t="s">
        <v>56</v>
      </c>
      <c r="E38" s="8" t="str">
        <f>VLOOKUP(D38,'1-1 基本信息'!$A$3:$J$87,10,0)</f>
        <v>管理机关</v>
      </c>
      <c r="F38" s="8">
        <v>99.5</v>
      </c>
      <c r="G38" s="65" t="s">
        <v>117</v>
      </c>
      <c r="H38" s="8" t="str">
        <f>VLOOKUP(G38,'1-1 基本信息'!$A$3:$J$87,10,0)</f>
        <v>管理机关</v>
      </c>
      <c r="I38" s="64">
        <v>97.081999999999994</v>
      </c>
    </row>
    <row r="39" spans="1:9" ht="17.25" x14ac:dyDescent="0.3">
      <c r="A39" s="8" t="s">
        <v>51</v>
      </c>
      <c r="B39" s="8" t="str">
        <f>VLOOKUP(A39,'1-1 基本信息'!$A$3:$J$87,10,0)</f>
        <v>管理机关</v>
      </c>
      <c r="C39" s="8" t="s">
        <v>572</v>
      </c>
      <c r="D39" s="8" t="s">
        <v>51</v>
      </c>
      <c r="E39" s="8" t="str">
        <f>VLOOKUP(D39,'1-1 基本信息'!$A$3:$J$87,10,0)</f>
        <v>管理机关</v>
      </c>
      <c r="F39" s="8">
        <v>96.82</v>
      </c>
      <c r="G39" s="65" t="s">
        <v>70</v>
      </c>
      <c r="H39" s="8" t="str">
        <f>VLOOKUP(G39,'1-1 基本信息'!$A$3:$J$87,10,0)</f>
        <v>管理机关</v>
      </c>
      <c r="I39" s="64">
        <v>96.701999999999998</v>
      </c>
    </row>
    <row r="40" spans="1:9" ht="17.25" x14ac:dyDescent="0.3">
      <c r="A40" s="8" t="s">
        <v>57</v>
      </c>
      <c r="B40" s="8" t="str">
        <f>VLOOKUP(A40,'1-1 基本信息'!$A$3:$J$87,10,0)</f>
        <v>管理机关</v>
      </c>
      <c r="C40" s="8">
        <v>96.23</v>
      </c>
      <c r="D40" s="8" t="s">
        <v>57</v>
      </c>
      <c r="E40" s="8" t="str">
        <f>VLOOKUP(D40,'1-1 基本信息'!$A$3:$J$87,10,0)</f>
        <v>管理机关</v>
      </c>
      <c r="F40" s="8">
        <v>95.56</v>
      </c>
      <c r="G40" s="63" t="s">
        <v>413</v>
      </c>
      <c r="H40" s="8" t="e">
        <f>VLOOKUP(G40,'1-1 基本信息'!$A$3:$J$87,10,0)</f>
        <v>#N/A</v>
      </c>
      <c r="I40" s="64">
        <v>96.544000000000011</v>
      </c>
    </row>
    <row r="41" spans="1:9" ht="17.25" x14ac:dyDescent="0.3">
      <c r="A41" s="8" t="s">
        <v>66</v>
      </c>
      <c r="B41" s="8" t="str">
        <f>VLOOKUP(A41,'1-1 基本信息'!$A$3:$J$87,10,0)</f>
        <v>管理机关</v>
      </c>
      <c r="C41" s="8">
        <v>93.81</v>
      </c>
      <c r="D41" s="8" t="s">
        <v>66</v>
      </c>
      <c r="E41" s="8" t="str">
        <f>VLOOKUP(D41,'1-1 基本信息'!$A$3:$J$87,10,0)</f>
        <v>管理机关</v>
      </c>
      <c r="F41" s="8">
        <v>92.84</v>
      </c>
      <c r="G41" s="63" t="s">
        <v>108</v>
      </c>
      <c r="H41" s="8" t="str">
        <f>VLOOKUP(G41,'1-1 基本信息'!$A$3:$J$87,10,0)</f>
        <v>管理机关</v>
      </c>
      <c r="I41" s="64">
        <v>95.765999999999991</v>
      </c>
    </row>
    <row r="42" spans="1:9" ht="17.25" x14ac:dyDescent="0.3">
      <c r="A42" s="8" t="s">
        <v>414</v>
      </c>
      <c r="B42" s="8" t="str">
        <f>VLOOKUP(A42,'1-1 基本信息'!$A$3:$J$87,10,0)</f>
        <v>管理机关</v>
      </c>
      <c r="C42" s="8">
        <v>95.62</v>
      </c>
      <c r="D42" s="8" t="s">
        <v>414</v>
      </c>
      <c r="E42" s="8" t="str">
        <f>VLOOKUP(D42,'1-1 基本信息'!$A$3:$J$87,10,0)</f>
        <v>管理机关</v>
      </c>
      <c r="F42" s="8">
        <v>95.1</v>
      </c>
      <c r="G42" s="65" t="s">
        <v>66</v>
      </c>
      <c r="H42" s="8" t="str">
        <f>VLOOKUP(G42,'1-1 基本信息'!$A$3:$J$87,10,0)</f>
        <v>管理机关</v>
      </c>
      <c r="I42" s="64">
        <v>95.456000000000003</v>
      </c>
    </row>
    <row r="43" spans="1:9" ht="17.25" x14ac:dyDescent="0.3">
      <c r="A43" s="8" t="s">
        <v>64</v>
      </c>
      <c r="B43" s="8" t="str">
        <f>VLOOKUP(A43,'1-1 基本信息'!$A$3:$J$87,10,0)</f>
        <v>采气一厂</v>
      </c>
      <c r="C43" s="8">
        <v>95.68</v>
      </c>
      <c r="D43" s="8" t="s">
        <v>64</v>
      </c>
      <c r="E43" s="8" t="str">
        <f>VLOOKUP(D43,'1-1 基本信息'!$A$3:$J$87,10,0)</f>
        <v>采气一厂</v>
      </c>
      <c r="F43" s="8">
        <v>99.94</v>
      </c>
      <c r="G43" s="65" t="s">
        <v>88</v>
      </c>
      <c r="H43" s="8" t="str">
        <f>VLOOKUP(G43,'1-1 基本信息'!$A$3:$J$87,10,0)</f>
        <v>管理机关</v>
      </c>
      <c r="I43" s="64">
        <v>95.22</v>
      </c>
    </row>
    <row r="44" spans="1:9" ht="17.25" x14ac:dyDescent="0.3">
      <c r="A44" s="8" t="s">
        <v>84</v>
      </c>
      <c r="B44" s="8" t="str">
        <f>VLOOKUP(A44,'1-1 基本信息'!$A$3:$J$87,10,0)</f>
        <v>采气一厂</v>
      </c>
      <c r="C44" s="8">
        <v>97.38000000000001</v>
      </c>
      <c r="D44" s="8" t="s">
        <v>84</v>
      </c>
      <c r="E44" s="8" t="str">
        <f>VLOOKUP(D44,'1-1 基本信息'!$A$3:$J$87,10,0)</f>
        <v>采气一厂</v>
      </c>
      <c r="F44" s="8">
        <v>99.460000000000008</v>
      </c>
      <c r="G44" s="65" t="s">
        <v>71</v>
      </c>
      <c r="H44" s="8" t="str">
        <f>VLOOKUP(G44,'1-1 基本信息'!$A$3:$J$87,10,0)</f>
        <v>管理机关</v>
      </c>
      <c r="I44" s="64">
        <v>94.597999999999999</v>
      </c>
    </row>
    <row r="45" spans="1:9" ht="17.25" x14ac:dyDescent="0.3">
      <c r="A45" s="8" t="s">
        <v>91</v>
      </c>
      <c r="B45" s="8" t="str">
        <f>VLOOKUP(A45,'1-1 基本信息'!$A$3:$J$87,10,0)</f>
        <v>采气一厂</v>
      </c>
      <c r="C45" s="8">
        <v>97.13000000000001</v>
      </c>
      <c r="D45" s="8" t="s">
        <v>91</v>
      </c>
      <c r="E45" s="8" t="str">
        <f>VLOOKUP(D45,'1-1 基本信息'!$A$3:$J$87,10,0)</f>
        <v>采气一厂</v>
      </c>
      <c r="F45" s="8">
        <v>99.53</v>
      </c>
      <c r="G45" s="65" t="s">
        <v>414</v>
      </c>
      <c r="H45" s="8" t="str">
        <f>VLOOKUP(G45,'1-1 基本信息'!$A$3:$J$87,10,0)</f>
        <v>管理机关</v>
      </c>
      <c r="I45" s="64">
        <v>93.585999999999999</v>
      </c>
    </row>
    <row r="46" spans="1:9" ht="17.25" x14ac:dyDescent="0.3">
      <c r="A46" s="8" t="s">
        <v>96</v>
      </c>
      <c r="B46" s="8" t="str">
        <f>VLOOKUP(A46,'1-1 基本信息'!$A$3:$J$87,10,0)</f>
        <v>采气一厂</v>
      </c>
      <c r="C46" s="8" t="s">
        <v>572</v>
      </c>
      <c r="D46" s="8" t="s">
        <v>96</v>
      </c>
      <c r="E46" s="8" t="str">
        <f>VLOOKUP(D46,'1-1 基本信息'!$A$3:$J$87,10,0)</f>
        <v>采气一厂</v>
      </c>
      <c r="F46" s="8" t="s">
        <v>572</v>
      </c>
      <c r="G46" s="65" t="s">
        <v>86</v>
      </c>
      <c r="H46" s="8" t="str">
        <f>VLOOKUP(G46,'1-1 基本信息'!$A$3:$J$87,10,0)</f>
        <v>管理机关</v>
      </c>
      <c r="I46" s="64">
        <v>93.5</v>
      </c>
    </row>
    <row r="47" spans="1:9" ht="17.25" x14ac:dyDescent="0.3">
      <c r="A47" s="8" t="s">
        <v>52</v>
      </c>
      <c r="B47" s="8" t="str">
        <f>VLOOKUP(A47,'1-1 基本信息'!$A$3:$J$87,10,0)</f>
        <v>采气一厂</v>
      </c>
      <c r="C47" s="8" t="s">
        <v>572</v>
      </c>
      <c r="D47" s="8" t="s">
        <v>52</v>
      </c>
      <c r="E47" s="8" t="str">
        <f>VLOOKUP(D47,'1-1 基本信息'!$A$3:$J$87,10,0)</f>
        <v>采气一厂</v>
      </c>
      <c r="F47" s="8" t="s">
        <v>572</v>
      </c>
      <c r="G47" s="66" t="s">
        <v>415</v>
      </c>
      <c r="H47" s="8" t="e">
        <f>VLOOKUP(G47,'1-1 基本信息'!$A$3:$J$87,10,0)</f>
        <v>#N/A</v>
      </c>
      <c r="I47" s="64">
        <v>91.614000000000004</v>
      </c>
    </row>
    <row r="48" spans="1:9" ht="17.25" x14ac:dyDescent="0.3">
      <c r="A48" s="8" t="s">
        <v>124</v>
      </c>
      <c r="B48" s="8" t="str">
        <f>VLOOKUP(A48,'1-1 基本信息'!$A$3:$J$87,10,0)</f>
        <v>采气一厂</v>
      </c>
      <c r="C48" s="8">
        <v>97.45</v>
      </c>
      <c r="D48" s="8" t="s">
        <v>124</v>
      </c>
      <c r="E48" s="8" t="str">
        <f>VLOOKUP(D48,'1-1 基本信息'!$A$3:$J$87,10,0)</f>
        <v>采气一厂</v>
      </c>
      <c r="F48" s="8">
        <v>99.52000000000001</v>
      </c>
      <c r="G48" s="66" t="s">
        <v>64</v>
      </c>
      <c r="H48" s="8" t="str">
        <f>VLOOKUP(G48,'1-1 基本信息'!$A$3:$J$87,10,0)</f>
        <v>采气一厂</v>
      </c>
      <c r="I48" s="64">
        <v>99.210299999999989</v>
      </c>
    </row>
    <row r="49" spans="1:9" ht="17.25" x14ac:dyDescent="0.3">
      <c r="A49" s="8" t="s">
        <v>65</v>
      </c>
      <c r="B49" s="8" t="str">
        <f>VLOOKUP(A49,'1-1 基本信息'!$A$3:$J$87,10,0)</f>
        <v>采气一厂</v>
      </c>
      <c r="C49" s="8" t="s">
        <v>572</v>
      </c>
      <c r="D49" s="8" t="s">
        <v>65</v>
      </c>
      <c r="E49" s="8" t="str">
        <f>VLOOKUP(D49,'1-1 基本信息'!$A$3:$J$87,10,0)</f>
        <v>采气一厂</v>
      </c>
      <c r="F49" s="8">
        <v>98.960000000000008</v>
      </c>
      <c r="G49" s="66" t="s">
        <v>91</v>
      </c>
      <c r="H49" s="8" t="str">
        <f>VLOOKUP(G49,'1-1 基本信息'!$A$3:$J$87,10,0)</f>
        <v>采气一厂</v>
      </c>
      <c r="I49" s="64">
        <v>97.902299999999997</v>
      </c>
    </row>
    <row r="50" spans="1:9" ht="17.25" x14ac:dyDescent="0.3">
      <c r="A50" s="8" t="s">
        <v>114</v>
      </c>
      <c r="B50" s="8" t="str">
        <f>VLOOKUP(A50,'1-1 基本信息'!$A$3:$J$87,10,0)</f>
        <v>采气二厂</v>
      </c>
      <c r="C50" s="8">
        <v>95.740000000000009</v>
      </c>
      <c r="D50" s="8" t="s">
        <v>114</v>
      </c>
      <c r="E50" s="8" t="str">
        <f>VLOOKUP(D50,'1-1 基本信息'!$A$3:$J$87,10,0)</f>
        <v>采气二厂</v>
      </c>
      <c r="F50" s="8">
        <v>97.91</v>
      </c>
      <c r="G50" s="66" t="s">
        <v>124</v>
      </c>
      <c r="H50" s="8" t="str">
        <f>VLOOKUP(G50,'1-1 基本信息'!$A$3:$J$87,10,0)</f>
        <v>采气一厂</v>
      </c>
      <c r="I50" s="64">
        <v>98.60629999999999</v>
      </c>
    </row>
    <row r="51" spans="1:9" ht="17.25" x14ac:dyDescent="0.3">
      <c r="A51" s="8" t="s">
        <v>41</v>
      </c>
      <c r="B51" s="8" t="str">
        <f>VLOOKUP(A51,'1-1 基本信息'!$A$3:$J$87,10,0)</f>
        <v>采气二厂</v>
      </c>
      <c r="C51" s="8">
        <v>98</v>
      </c>
      <c r="D51" s="8" t="s">
        <v>41</v>
      </c>
      <c r="E51" s="8" t="str">
        <f>VLOOKUP(D51,'1-1 基本信息'!$A$3:$J$87,10,0)</f>
        <v>采气二厂</v>
      </c>
      <c r="F51" s="8">
        <v>98.64</v>
      </c>
      <c r="G51" s="66" t="s">
        <v>65</v>
      </c>
      <c r="H51" s="8" t="str">
        <f>VLOOKUP(G51,'1-1 基本信息'!$A$3:$J$87,10,0)</f>
        <v>采气一厂</v>
      </c>
      <c r="I51" s="64">
        <v>98.582299999999989</v>
      </c>
    </row>
    <row r="52" spans="1:9" ht="17.25" x14ac:dyDescent="0.3">
      <c r="A52" s="8" t="s">
        <v>59</v>
      </c>
      <c r="B52" s="8" t="str">
        <f>VLOOKUP(A52,'1-1 基本信息'!$A$3:$J$87,10,0)</f>
        <v>采气二厂</v>
      </c>
      <c r="C52" s="8" t="s">
        <v>572</v>
      </c>
      <c r="D52" s="8" t="s">
        <v>59</v>
      </c>
      <c r="E52" s="8" t="str">
        <f>VLOOKUP(D52,'1-1 基本信息'!$A$3:$J$87,10,0)</f>
        <v>采气二厂</v>
      </c>
      <c r="F52" s="8" t="s">
        <v>572</v>
      </c>
      <c r="G52" s="66" t="s">
        <v>96</v>
      </c>
      <c r="H52" s="8" t="str">
        <f>VLOOKUP(G52,'1-1 基本信息'!$A$3:$J$87,10,0)</f>
        <v>采气一厂</v>
      </c>
      <c r="I52" s="64">
        <v>98.782299999999992</v>
      </c>
    </row>
    <row r="53" spans="1:9" ht="17.25" x14ac:dyDescent="0.3">
      <c r="A53" s="8" t="s">
        <v>54</v>
      </c>
      <c r="B53" s="8" t="str">
        <f>VLOOKUP(A53,'1-1 基本信息'!$A$3:$J$87,10,0)</f>
        <v>采气二厂</v>
      </c>
      <c r="C53" s="8" t="s">
        <v>572</v>
      </c>
      <c r="D53" s="8" t="s">
        <v>54</v>
      </c>
      <c r="E53" s="8" t="str">
        <f>VLOOKUP(D53,'1-1 基本信息'!$A$3:$J$87,10,0)</f>
        <v>采气二厂</v>
      </c>
      <c r="F53" s="8" t="s">
        <v>572</v>
      </c>
      <c r="G53" s="66" t="s">
        <v>52</v>
      </c>
      <c r="H53" s="8" t="str">
        <f>VLOOKUP(G53,'1-1 基本信息'!$A$3:$J$87,10,0)</f>
        <v>采气一厂</v>
      </c>
      <c r="I53" s="64">
        <v>98.574299999999994</v>
      </c>
    </row>
    <row r="54" spans="1:9" ht="17.25" x14ac:dyDescent="0.3">
      <c r="A54" s="8" t="s">
        <v>45</v>
      </c>
      <c r="B54" s="8" t="str">
        <f>VLOOKUP(A54,'1-1 基本信息'!$A$3:$J$87,10,0)</f>
        <v>采气二厂</v>
      </c>
      <c r="C54" s="8">
        <v>96.33</v>
      </c>
      <c r="D54" s="8" t="s">
        <v>45</v>
      </c>
      <c r="E54" s="8" t="str">
        <f>VLOOKUP(D54,'1-1 基本信息'!$A$3:$J$87,10,0)</f>
        <v>采气二厂</v>
      </c>
      <c r="F54" s="8">
        <v>98.17</v>
      </c>
      <c r="G54" s="66" t="s">
        <v>416</v>
      </c>
      <c r="H54" s="8" t="e">
        <f>VLOOKUP(G54,'1-1 基本信息'!$A$3:$J$87,10,0)</f>
        <v>#N/A</v>
      </c>
      <c r="I54" s="64">
        <v>98.302299999999988</v>
      </c>
    </row>
    <row r="55" spans="1:9" ht="17.25" x14ac:dyDescent="0.3">
      <c r="A55" s="8" t="s">
        <v>417</v>
      </c>
      <c r="B55" s="8" t="str">
        <f>VLOOKUP(A55,'1-1 基本信息'!$A$3:$J$87,10,0)</f>
        <v>采气二厂</v>
      </c>
      <c r="C55" s="8">
        <v>97.69</v>
      </c>
      <c r="D55" s="8" t="s">
        <v>417</v>
      </c>
      <c r="E55" s="8" t="str">
        <f>VLOOKUP(D55,'1-1 基本信息'!$A$3:$J$87,10,0)</f>
        <v>采气二厂</v>
      </c>
      <c r="F55" s="8">
        <v>98.259999999999991</v>
      </c>
      <c r="G55" s="66" t="s">
        <v>41</v>
      </c>
      <c r="H55" s="8" t="str">
        <f>VLOOKUP(G55,'1-1 基本信息'!$A$3:$J$87,10,0)</f>
        <v>采气二厂</v>
      </c>
      <c r="I55" s="64">
        <v>100.76599999999999</v>
      </c>
    </row>
    <row r="56" spans="1:9" ht="17.25" x14ac:dyDescent="0.3">
      <c r="A56" s="8" t="s">
        <v>419</v>
      </c>
      <c r="B56" s="8" t="str">
        <f>VLOOKUP(A56,'1-1 基本信息'!$A$3:$J$87,10,0)</f>
        <v>采油一厂</v>
      </c>
      <c r="C56" s="8">
        <v>97.99</v>
      </c>
      <c r="D56" s="8" t="s">
        <v>419</v>
      </c>
      <c r="E56" s="8" t="str">
        <f>VLOOKUP(D56,'1-1 基本信息'!$A$3:$J$87,10,0)</f>
        <v>采油一厂</v>
      </c>
      <c r="F56" s="8">
        <v>98.77000000000001</v>
      </c>
      <c r="G56" s="66" t="s">
        <v>114</v>
      </c>
      <c r="H56" s="8" t="str">
        <f>VLOOKUP(G56,'1-1 基本信息'!$A$3:$J$87,10,0)</f>
        <v>采气二厂</v>
      </c>
      <c r="I56" s="64">
        <v>101.25399999999999</v>
      </c>
    </row>
    <row r="57" spans="1:9" ht="17.25" x14ac:dyDescent="0.3">
      <c r="A57" s="8" t="s">
        <v>83</v>
      </c>
      <c r="B57" s="8" t="str">
        <f>VLOOKUP(A57,'1-1 基本信息'!$A$3:$J$87,10,0)</f>
        <v>采油一厂</v>
      </c>
      <c r="C57" s="8">
        <v>98.3</v>
      </c>
      <c r="D57" s="8" t="s">
        <v>83</v>
      </c>
      <c r="E57" s="8" t="str">
        <f>VLOOKUP(D57,'1-1 基本信息'!$A$3:$J$87,10,0)</f>
        <v>采油一厂</v>
      </c>
      <c r="F57" s="8">
        <v>98.449999999999989</v>
      </c>
      <c r="G57" s="66" t="s">
        <v>84</v>
      </c>
      <c r="H57" s="8" t="str">
        <f>VLOOKUP(G57,'1-1 基本信息'!$A$3:$J$87,10,0)</f>
        <v>采气一厂</v>
      </c>
      <c r="I57" s="64">
        <v>100.34200000000001</v>
      </c>
    </row>
    <row r="58" spans="1:9" ht="17.25" x14ac:dyDescent="0.3">
      <c r="A58" s="8" t="s">
        <v>128</v>
      </c>
      <c r="B58" s="8" t="str">
        <f>VLOOKUP(A58,'1-1 基本信息'!$A$3:$J$87,10,0)</f>
        <v>采油一厂</v>
      </c>
      <c r="C58" s="8">
        <v>96.62</v>
      </c>
      <c r="D58" s="8" t="s">
        <v>128</v>
      </c>
      <c r="E58" s="8"/>
      <c r="F58" s="8">
        <v>97.550000000000011</v>
      </c>
      <c r="G58" s="66" t="s">
        <v>59</v>
      </c>
      <c r="H58" s="8" t="str">
        <f>VLOOKUP(G58,'1-1 基本信息'!$A$3:$J$87,10,0)</f>
        <v>采气二厂</v>
      </c>
      <c r="I58" s="64">
        <v>100.75</v>
      </c>
    </row>
    <row r="59" spans="1:9" ht="17.25" x14ac:dyDescent="0.3">
      <c r="A59" s="8" t="s">
        <v>119</v>
      </c>
      <c r="B59" s="8" t="str">
        <f>VLOOKUP(A59,'1-1 基本信息'!$A$3:$J$87,10,0)</f>
        <v>采油一厂</v>
      </c>
      <c r="C59" s="8">
        <v>96.86</v>
      </c>
      <c r="D59" s="8" t="s">
        <v>119</v>
      </c>
      <c r="E59" s="8"/>
      <c r="F59" s="8">
        <v>98.02000000000001</v>
      </c>
      <c r="G59" s="66" t="s">
        <v>54</v>
      </c>
      <c r="H59" s="8" t="str">
        <f>VLOOKUP(G59,'1-1 基本信息'!$A$3:$J$87,10,0)</f>
        <v>采气二厂</v>
      </c>
      <c r="I59" s="64">
        <v>100.77799999999999</v>
      </c>
    </row>
    <row r="60" spans="1:9" ht="17.25" x14ac:dyDescent="0.3">
      <c r="A60" s="8" t="s">
        <v>67</v>
      </c>
      <c r="B60" s="8" t="str">
        <f>VLOOKUP(A60,'1-1 基本信息'!$A$3:$J$87,10,0)</f>
        <v>勘探开发研究院</v>
      </c>
      <c r="C60" s="8" t="s">
        <v>572</v>
      </c>
      <c r="D60" s="8" t="s">
        <v>67</v>
      </c>
      <c r="E60" s="8"/>
      <c r="F60" s="8">
        <v>99.289999999999992</v>
      </c>
      <c r="G60" s="66" t="s">
        <v>417</v>
      </c>
      <c r="H60" s="8" t="str">
        <f>VLOOKUP(G60,'1-1 基本信息'!$A$3:$J$87,10,0)</f>
        <v>采气二厂</v>
      </c>
      <c r="I60" s="64">
        <v>100.97</v>
      </c>
    </row>
    <row r="61" spans="1:9" ht="17.25" x14ac:dyDescent="0.3">
      <c r="A61" s="8" t="s">
        <v>85</v>
      </c>
      <c r="B61" s="8" t="str">
        <f>VLOOKUP(A61,'1-1 基本信息'!$A$3:$J$87,10,0)</f>
        <v>勘探开发研究院</v>
      </c>
      <c r="C61" s="8">
        <v>96.72</v>
      </c>
      <c r="D61" s="8" t="s">
        <v>85</v>
      </c>
      <c r="E61" s="8"/>
      <c r="F61" s="8">
        <v>97.25</v>
      </c>
      <c r="G61" s="66" t="s">
        <v>418</v>
      </c>
      <c r="H61" s="8" t="e">
        <f>VLOOKUP(G61,'1-1 基本信息'!$A$3:$J$87,10,0)</f>
        <v>#N/A</v>
      </c>
      <c r="I61" s="64">
        <v>100.898</v>
      </c>
    </row>
    <row r="62" spans="1:9" ht="17.25" x14ac:dyDescent="0.3">
      <c r="A62" s="8" t="s">
        <v>105</v>
      </c>
      <c r="B62" s="8" t="str">
        <f>VLOOKUP(A62,'1-1 基本信息'!$A$3:$J$87,10,0)</f>
        <v>勘探开发研究院</v>
      </c>
      <c r="C62" s="8">
        <v>97.81</v>
      </c>
      <c r="D62" s="8" t="s">
        <v>105</v>
      </c>
      <c r="E62" s="8"/>
      <c r="F62" s="8">
        <v>99.13</v>
      </c>
      <c r="G62" s="66" t="s">
        <v>419</v>
      </c>
      <c r="H62" s="8" t="str">
        <f>VLOOKUP(G62,'1-1 基本信息'!$A$3:$J$87,10,0)</f>
        <v>采油一厂</v>
      </c>
      <c r="I62" s="64">
        <v>96.938400000000001</v>
      </c>
    </row>
    <row r="63" spans="1:9" ht="17.25" x14ac:dyDescent="0.3">
      <c r="A63" s="8" t="s">
        <v>55</v>
      </c>
      <c r="B63" s="8" t="str">
        <f>VLOOKUP(A63,'1-1 基本信息'!$A$3:$J$87,10,0)</f>
        <v>勘探开发研究院</v>
      </c>
      <c r="C63" s="8" t="s">
        <v>572</v>
      </c>
      <c r="D63" s="8" t="s">
        <v>55</v>
      </c>
      <c r="E63" s="8"/>
      <c r="F63" s="8">
        <v>99.14</v>
      </c>
      <c r="G63" s="66" t="s">
        <v>83</v>
      </c>
      <c r="H63" s="8" t="str">
        <f>VLOOKUP(G63,'1-1 基本信息'!$A$3:$J$87,10,0)</f>
        <v>采油一厂</v>
      </c>
      <c r="I63" s="64">
        <v>95.65440000000001</v>
      </c>
    </row>
    <row r="64" spans="1:9" ht="17.25" x14ac:dyDescent="0.3">
      <c r="A64" s="8" t="s">
        <v>69</v>
      </c>
      <c r="B64" s="8" t="str">
        <f>VLOOKUP(A64,'1-1 基本信息'!$A$3:$J$87,10,0)</f>
        <v>石油工程技术研究院</v>
      </c>
      <c r="C64" s="8" t="s">
        <v>572</v>
      </c>
      <c r="D64" s="8" t="s">
        <v>69</v>
      </c>
      <c r="E64" s="8"/>
      <c r="F64" s="8">
        <v>99.509999999999991</v>
      </c>
      <c r="G64" s="66" t="s">
        <v>89</v>
      </c>
      <c r="H64" s="8" t="str">
        <f>VLOOKUP(G64,'1-1 基本信息'!$A$3:$J$87,10,0)</f>
        <v>延安华延天然气有限公司</v>
      </c>
      <c r="I64" s="64">
        <v>95.978399999999993</v>
      </c>
    </row>
    <row r="65" spans="1:9" ht="17.25" x14ac:dyDescent="0.3">
      <c r="A65" s="8" t="s">
        <v>82</v>
      </c>
      <c r="B65" s="8" t="str">
        <f>VLOOKUP(A65,'1-1 基本信息'!$A$3:$J$87,10,0)</f>
        <v>石油工程技术研究院</v>
      </c>
      <c r="C65" s="8">
        <v>97.66</v>
      </c>
      <c r="D65" s="8" t="s">
        <v>82</v>
      </c>
      <c r="E65" s="8"/>
      <c r="F65" s="8">
        <v>98.17</v>
      </c>
      <c r="G65" s="66" t="s">
        <v>128</v>
      </c>
      <c r="H65" s="8" t="str">
        <f>VLOOKUP(G65,'1-1 基本信息'!$A$3:$J$87,10,0)</f>
        <v>采油一厂</v>
      </c>
      <c r="I65" s="64">
        <v>95.5184</v>
      </c>
    </row>
    <row r="66" spans="1:9" ht="17.25" x14ac:dyDescent="0.3">
      <c r="A66" s="8" t="s">
        <v>110</v>
      </c>
      <c r="B66" s="8" t="str">
        <f>VLOOKUP(A66,'1-1 基本信息'!$A$3:$J$87,10,0)</f>
        <v>石油工程技术研究院</v>
      </c>
      <c r="C66" s="8">
        <v>97.99</v>
      </c>
      <c r="D66" s="8" t="s">
        <v>110</v>
      </c>
      <c r="E66" s="8"/>
      <c r="F66" s="8">
        <v>99.039999999999992</v>
      </c>
      <c r="G66" s="66" t="s">
        <v>119</v>
      </c>
      <c r="H66" s="8" t="str">
        <f>VLOOKUP(G66,'1-1 基本信息'!$A$3:$J$87,10,0)</f>
        <v>采油一厂</v>
      </c>
      <c r="I66" s="64">
        <v>96.714399999999998</v>
      </c>
    </row>
    <row r="67" spans="1:9" ht="17.25" x14ac:dyDescent="0.3">
      <c r="A67" s="8" t="s">
        <v>140</v>
      </c>
      <c r="B67" s="8" t="str">
        <f>VLOOKUP(A67,'1-1 基本信息'!$A$3:$J$87,10,0)</f>
        <v>石油工程技术研究院</v>
      </c>
      <c r="C67" s="8" t="s">
        <v>572</v>
      </c>
      <c r="D67" s="8" t="s">
        <v>140</v>
      </c>
      <c r="E67" s="8"/>
      <c r="F67" s="8" t="s">
        <v>572</v>
      </c>
      <c r="G67" s="66" t="s">
        <v>95</v>
      </c>
      <c r="H67" s="8" t="e">
        <f>VLOOKUP(G67,'1-1 基本信息'!$A$3:$J$87,10,0)</f>
        <v>#N/A</v>
      </c>
      <c r="I67" s="64">
        <v>96.242400000000004</v>
      </c>
    </row>
    <row r="68" spans="1:9" ht="17.25" x14ac:dyDescent="0.3">
      <c r="A68" s="8" t="s">
        <v>80</v>
      </c>
      <c r="B68" s="8" t="str">
        <f>VLOOKUP(A68,'1-1 基本信息'!$A$3:$J$87,10,0)</f>
        <v>采油气工程服务中心</v>
      </c>
      <c r="C68" s="8">
        <v>96.6</v>
      </c>
      <c r="D68" s="8" t="s">
        <v>80</v>
      </c>
      <c r="E68" s="8"/>
      <c r="F68" s="8">
        <v>98.33</v>
      </c>
      <c r="G68" s="66" t="s">
        <v>94</v>
      </c>
      <c r="H68" s="8" t="str">
        <f>VLOOKUP(G68,'1-1 基本信息'!$A$3:$J$87,10,0)</f>
        <v>管理机关</v>
      </c>
      <c r="I68" s="64">
        <v>99.863799999999998</v>
      </c>
    </row>
    <row r="69" spans="1:9" ht="17.25" x14ac:dyDescent="0.3">
      <c r="A69" s="8" t="s">
        <v>131</v>
      </c>
      <c r="B69" s="8" t="str">
        <f>VLOOKUP(A69,'1-1 基本信息'!$A$3:$J$87,10,0)</f>
        <v>采油气工程服务中心</v>
      </c>
      <c r="C69" s="8">
        <v>95.78</v>
      </c>
      <c r="D69" s="8" t="s">
        <v>131</v>
      </c>
      <c r="E69" s="8"/>
      <c r="F69" s="8">
        <v>98.97</v>
      </c>
      <c r="G69" s="66" t="s">
        <v>85</v>
      </c>
      <c r="H69" s="8" t="str">
        <f>VLOOKUP(G69,'1-1 基本信息'!$A$3:$J$87,10,0)</f>
        <v>勘探开发研究院</v>
      </c>
      <c r="I69" s="64">
        <v>99.627799999999993</v>
      </c>
    </row>
    <row r="70" spans="1:9" ht="17.25" x14ac:dyDescent="0.3">
      <c r="A70" s="8" t="s">
        <v>121</v>
      </c>
      <c r="B70" s="8" t="str">
        <f>VLOOKUP(A70,'1-1 基本信息'!$A$3:$J$87,10,0)</f>
        <v>采油气工程服务中心</v>
      </c>
      <c r="C70" s="8">
        <v>96.210000000000008</v>
      </c>
      <c r="D70" s="8" t="s">
        <v>121</v>
      </c>
      <c r="E70" s="8"/>
      <c r="F70" s="8">
        <v>98.789999999999992</v>
      </c>
      <c r="G70" s="66" t="s">
        <v>75</v>
      </c>
      <c r="H70" s="8" t="str">
        <f>VLOOKUP(G70,'1-1 基本信息'!$A$3:$J$87,10,0)</f>
        <v>鄂南原油创新项目组</v>
      </c>
      <c r="I70" s="64">
        <v>99.623799999999989</v>
      </c>
    </row>
    <row r="71" spans="1:9" ht="17.25" x14ac:dyDescent="0.3">
      <c r="A71" s="8" t="s">
        <v>98</v>
      </c>
      <c r="B71" s="8" t="str">
        <f>VLOOKUP(A71,'1-1 基本信息'!$A$3:$J$87,10,0)</f>
        <v>采油气工程服务中心</v>
      </c>
      <c r="C71" s="8">
        <v>94.740000000000009</v>
      </c>
      <c r="D71" s="8" t="s">
        <v>98</v>
      </c>
      <c r="E71" s="8"/>
      <c r="F71" s="8">
        <v>98.22</v>
      </c>
      <c r="G71" s="66" t="s">
        <v>105</v>
      </c>
      <c r="H71" s="8" t="str">
        <f>VLOOKUP(G71,'1-1 基本信息'!$A$3:$J$87,10,0)</f>
        <v>勘探开发研究院</v>
      </c>
      <c r="I71" s="64">
        <v>98.987799999999993</v>
      </c>
    </row>
    <row r="72" spans="1:9" ht="17.25" x14ac:dyDescent="0.3">
      <c r="A72" s="8" t="s">
        <v>106</v>
      </c>
      <c r="B72" s="8" t="str">
        <f>VLOOKUP(A72,'1-1 基本信息'!$A$3:$J$87,10,0)</f>
        <v>采油气工程服务中心</v>
      </c>
      <c r="C72" s="8" t="s">
        <v>572</v>
      </c>
      <c r="D72" s="8" t="s">
        <v>106</v>
      </c>
      <c r="E72" s="8"/>
      <c r="F72" s="8">
        <v>97.449999999999989</v>
      </c>
      <c r="G72" s="66" t="s">
        <v>55</v>
      </c>
      <c r="H72" s="8" t="str">
        <f>VLOOKUP(G72,'1-1 基本信息'!$A$3:$J$87,10,0)</f>
        <v>勘探开发研究院</v>
      </c>
      <c r="I72" s="64">
        <v>100.10379999999999</v>
      </c>
    </row>
    <row r="73" spans="1:9" ht="17.25" x14ac:dyDescent="0.3">
      <c r="A73" s="8" t="s">
        <v>87</v>
      </c>
      <c r="B73" s="8" t="str">
        <f>VLOOKUP(A73,'1-1 基本信息'!$A$3:$J$87,10,0)</f>
        <v>石油工程监督中心</v>
      </c>
      <c r="C73" s="8">
        <v>96.49</v>
      </c>
      <c r="D73" s="8" t="s">
        <v>87</v>
      </c>
      <c r="E73" s="8"/>
      <c r="F73" s="8">
        <v>96.94</v>
      </c>
      <c r="G73" s="66" t="s">
        <v>67</v>
      </c>
      <c r="H73" s="8" t="str">
        <f>VLOOKUP(G73,'1-1 基本信息'!$A$3:$J$87,10,0)</f>
        <v>勘探开发研究院</v>
      </c>
      <c r="I73" s="64">
        <v>100.5478</v>
      </c>
    </row>
    <row r="74" spans="1:9" ht="17.25" x14ac:dyDescent="0.3">
      <c r="A74" s="8" t="s">
        <v>53</v>
      </c>
      <c r="B74" s="8" t="str">
        <f>VLOOKUP(A74,'1-1 基本信息'!$A$3:$J$87,10,0)</f>
        <v>石油工程监督中心</v>
      </c>
      <c r="C74" s="8">
        <v>95.5</v>
      </c>
      <c r="D74" s="8" t="s">
        <v>53</v>
      </c>
      <c r="E74" s="8"/>
      <c r="F74" s="8">
        <v>97.21</v>
      </c>
      <c r="G74" s="66" t="s">
        <v>420</v>
      </c>
      <c r="H74" s="8" t="e">
        <f>VLOOKUP(G74,'1-1 基本信息'!$A$3:$J$87,10,0)</f>
        <v>#N/A</v>
      </c>
      <c r="I74" s="64">
        <v>100.2638</v>
      </c>
    </row>
    <row r="75" spans="1:9" ht="17.25" x14ac:dyDescent="0.3">
      <c r="A75" s="8" t="s">
        <v>111</v>
      </c>
      <c r="B75" s="8" t="str">
        <f>VLOOKUP(A75,'1-1 基本信息'!$A$3:$J$87,10,0)</f>
        <v>石油工程监督中心</v>
      </c>
      <c r="C75" s="8">
        <v>97.62</v>
      </c>
      <c r="D75" s="8" t="s">
        <v>111</v>
      </c>
      <c r="E75" s="8"/>
      <c r="F75" s="8">
        <v>99.06</v>
      </c>
      <c r="G75" s="66" t="s">
        <v>81</v>
      </c>
      <c r="H75" s="8" t="e">
        <f>VLOOKUP(G75,'1-1 基本信息'!$A$3:$J$87,10,0)</f>
        <v>#N/A</v>
      </c>
      <c r="I75" s="64">
        <v>99.763800000000003</v>
      </c>
    </row>
    <row r="76" spans="1:9" ht="17.25" x14ac:dyDescent="0.3">
      <c r="A76" s="8" t="s">
        <v>423</v>
      </c>
      <c r="B76" s="8" t="str">
        <f>VLOOKUP(A76,'1-1 基本信息'!$A$3:$J$87,10,0)</f>
        <v>石油工程监督中心</v>
      </c>
      <c r="C76" s="8">
        <v>96.05</v>
      </c>
      <c r="D76" s="8" t="s">
        <v>423</v>
      </c>
      <c r="E76" s="8"/>
      <c r="F76" s="8">
        <v>97.72999999999999</v>
      </c>
      <c r="G76" s="66" t="s">
        <v>421</v>
      </c>
      <c r="H76" s="8" t="e">
        <f>VLOOKUP(G76,'1-1 基本信息'!$A$3:$J$87,10,0)</f>
        <v>#N/A</v>
      </c>
      <c r="I76" s="64">
        <v>97.959499999999991</v>
      </c>
    </row>
    <row r="77" spans="1:9" ht="17.25" x14ac:dyDescent="0.3">
      <c r="A77" s="8" t="s">
        <v>50</v>
      </c>
      <c r="B77" s="8" t="str">
        <f>VLOOKUP(A77,'1-1 基本信息'!$A$3:$J$87,10,0)</f>
        <v>物资供应中心</v>
      </c>
      <c r="C77" s="8">
        <v>97.54</v>
      </c>
      <c r="D77" s="8" t="s">
        <v>50</v>
      </c>
      <c r="E77" s="8"/>
      <c r="F77" s="8">
        <v>96.800000000000011</v>
      </c>
      <c r="G77" s="66" t="s">
        <v>82</v>
      </c>
      <c r="H77" s="8" t="str">
        <f>VLOOKUP(G77,'1-1 基本信息'!$A$3:$J$87,10,0)</f>
        <v>石油工程技术研究院</v>
      </c>
      <c r="I77" s="64">
        <v>97.203499999999991</v>
      </c>
    </row>
    <row r="78" spans="1:9" ht="17.25" x14ac:dyDescent="0.3">
      <c r="A78" s="8" t="s">
        <v>130</v>
      </c>
      <c r="B78" s="8" t="str">
        <f>VLOOKUP(A78,'1-1 基本信息'!$A$3:$J$87,10,0)</f>
        <v>物资供应中心</v>
      </c>
      <c r="C78" s="8">
        <v>97.51</v>
      </c>
      <c r="D78" s="8" t="s">
        <v>130</v>
      </c>
      <c r="E78" s="8"/>
      <c r="F78" s="8">
        <v>96.080000000000013</v>
      </c>
      <c r="G78" s="66" t="s">
        <v>422</v>
      </c>
      <c r="H78" s="8" t="e">
        <f>VLOOKUP(G78,'1-1 基本信息'!$A$3:$J$87,10,0)</f>
        <v>#N/A</v>
      </c>
      <c r="I78" s="64">
        <v>97.839499999999987</v>
      </c>
    </row>
    <row r="79" spans="1:9" ht="17.25" x14ac:dyDescent="0.3">
      <c r="A79" s="8" t="s">
        <v>43</v>
      </c>
      <c r="B79" s="8" t="str">
        <f>VLOOKUP(A79,'1-1 基本信息'!$A$3:$J$87,10,0)</f>
        <v>物资供应中心</v>
      </c>
      <c r="C79" s="8" t="s">
        <v>572</v>
      </c>
      <c r="D79" s="8" t="s">
        <v>43</v>
      </c>
      <c r="E79" s="8"/>
      <c r="F79" s="8">
        <v>97.64</v>
      </c>
      <c r="G79" s="66" t="s">
        <v>69</v>
      </c>
      <c r="H79" s="8" t="str">
        <f>VLOOKUP(G79,'1-1 基本信息'!$A$3:$J$87,10,0)</f>
        <v>石油工程技术研究院</v>
      </c>
      <c r="I79" s="64">
        <v>98.031499999999994</v>
      </c>
    </row>
    <row r="80" spans="1:9" ht="17.25" x14ac:dyDescent="0.3">
      <c r="A80" s="8" t="s">
        <v>107</v>
      </c>
      <c r="B80" s="8" t="str">
        <f>VLOOKUP(A80,'1-1 基本信息'!$A$3:$J$87,10,0)</f>
        <v>油气销售中心</v>
      </c>
      <c r="C80" s="8">
        <v>97.6</v>
      </c>
      <c r="D80" s="8" t="s">
        <v>107</v>
      </c>
      <c r="E80" s="8"/>
      <c r="F80" s="8">
        <v>96.7</v>
      </c>
      <c r="G80" s="66" t="s">
        <v>80</v>
      </c>
      <c r="H80" s="8" t="str">
        <f>VLOOKUP(G80,'1-1 基本信息'!$A$3:$J$87,10,0)</f>
        <v>采油气工程服务中心</v>
      </c>
      <c r="I80" s="64">
        <v>98.123899999999992</v>
      </c>
    </row>
    <row r="81" spans="1:9" ht="17.25" x14ac:dyDescent="0.3">
      <c r="A81" s="8" t="s">
        <v>62</v>
      </c>
      <c r="B81" s="8" t="str">
        <f>VLOOKUP(A81,'1-1 基本信息'!$A$3:$J$87,10,0)</f>
        <v>油气销售中心</v>
      </c>
      <c r="C81" s="8">
        <v>96.79</v>
      </c>
      <c r="D81" s="8" t="s">
        <v>62</v>
      </c>
      <c r="E81" s="8"/>
      <c r="F81" s="8">
        <v>96.490000000000009</v>
      </c>
      <c r="G81" s="66" t="s">
        <v>131</v>
      </c>
      <c r="H81" s="8" t="str">
        <f>VLOOKUP(G81,'1-1 基本信息'!$A$3:$J$87,10,0)</f>
        <v>采油气工程服务中心</v>
      </c>
      <c r="I81" s="64">
        <v>97.943899999999985</v>
      </c>
    </row>
    <row r="82" spans="1:9" ht="17.25" x14ac:dyDescent="0.3">
      <c r="A82" s="8" t="s">
        <v>137</v>
      </c>
      <c r="B82" s="8" t="str">
        <f>VLOOKUP(A82,'1-1 基本信息'!$A$3:$J$87,10,0)</f>
        <v>油气销售中心</v>
      </c>
      <c r="C82" s="8" t="s">
        <v>572</v>
      </c>
      <c r="D82" s="8" t="s">
        <v>137</v>
      </c>
      <c r="E82" s="8"/>
      <c r="F82" s="8">
        <v>96.93</v>
      </c>
      <c r="G82" s="66" t="s">
        <v>121</v>
      </c>
      <c r="H82" s="8" t="str">
        <f>VLOOKUP(G82,'1-1 基本信息'!$A$3:$J$87,10,0)</f>
        <v>采油气工程服务中心</v>
      </c>
      <c r="I82" s="64">
        <v>98.007899999999992</v>
      </c>
    </row>
    <row r="83" spans="1:9" ht="17.25" x14ac:dyDescent="0.3">
      <c r="A83" s="8" t="s">
        <v>89</v>
      </c>
      <c r="B83" s="8" t="str">
        <f>VLOOKUP(A83,'1-1 基本信息'!$A$3:$J$87,10,0)</f>
        <v>延安华延天然气有限公司</v>
      </c>
      <c r="C83" s="8">
        <v>97.07</v>
      </c>
      <c r="D83" s="8" t="s">
        <v>89</v>
      </c>
      <c r="E83" s="8"/>
      <c r="F83" s="8">
        <v>98.38</v>
      </c>
      <c r="G83" s="67" t="s">
        <v>98</v>
      </c>
      <c r="H83" s="8" t="str">
        <f>VLOOKUP(G83,'1-1 基本信息'!$A$3:$J$87,10,0)</f>
        <v>采油气工程服务中心</v>
      </c>
      <c r="I83" s="64">
        <v>97.795899999999989</v>
      </c>
    </row>
    <row r="84" spans="1:9" ht="17.25" x14ac:dyDescent="0.3">
      <c r="A84" s="8" t="s">
        <v>75</v>
      </c>
      <c r="B84" s="8" t="str">
        <f>VLOOKUP(A84,'1-1 基本信息'!$A$3:$J$87,10,0)</f>
        <v>鄂南原油创新项目组</v>
      </c>
      <c r="C84" s="8">
        <v>97.73</v>
      </c>
      <c r="D84" s="8" t="s">
        <v>75</v>
      </c>
      <c r="E84" s="8"/>
      <c r="F84" s="8">
        <v>99.14</v>
      </c>
      <c r="G84" s="67" t="s">
        <v>106</v>
      </c>
      <c r="H84" s="8" t="str">
        <f>VLOOKUP(G84,'1-1 基本信息'!$A$3:$J$87,10,0)</f>
        <v>采油气工程服务中心</v>
      </c>
      <c r="I84" s="64">
        <v>97.599899999999991</v>
      </c>
    </row>
    <row r="85" spans="1:9" ht="17.25" x14ac:dyDescent="0.3">
      <c r="A85" s="8" t="s">
        <v>93</v>
      </c>
      <c r="B85" s="8" t="str">
        <f>VLOOKUP(A85,'1-1 基本信息'!$A$3:$J$87,10,0)</f>
        <v>培训中心</v>
      </c>
      <c r="C85" s="8">
        <v>96.32</v>
      </c>
      <c r="D85" s="8" t="s">
        <v>93</v>
      </c>
      <c r="E85" s="8"/>
      <c r="F85" s="8">
        <v>97.47999999999999</v>
      </c>
      <c r="G85" s="67" t="s">
        <v>87</v>
      </c>
      <c r="H85" s="8" t="str">
        <f>VLOOKUP(G85,'1-1 基本信息'!$A$3:$J$87,10,0)</f>
        <v>石油工程监督中心</v>
      </c>
      <c r="I85" s="64">
        <v>97.031999999999996</v>
      </c>
    </row>
    <row r="86" spans="1:9" ht="17.25" x14ac:dyDescent="0.3">
      <c r="A86" s="8" t="s">
        <v>68</v>
      </c>
      <c r="B86" s="8" t="str">
        <f>VLOOKUP(A86,'1-1 基本信息'!$A$3:$J$87,10,0)</f>
        <v>郑州社区管理服务中心</v>
      </c>
      <c r="C86" s="8">
        <v>96.97</v>
      </c>
      <c r="D86" s="8" t="s">
        <v>68</v>
      </c>
      <c r="E86" s="8"/>
      <c r="F86" s="8">
        <v>95.12</v>
      </c>
      <c r="G86" s="67" t="s">
        <v>53</v>
      </c>
      <c r="H86" s="8" t="str">
        <f>VLOOKUP(G86,'1-1 基本信息'!$A$3:$J$87,10,0)</f>
        <v>石油工程监督中心</v>
      </c>
      <c r="I86" s="64">
        <v>96.632000000000005</v>
      </c>
    </row>
    <row r="87" spans="1:9" ht="17.25" x14ac:dyDescent="0.3">
      <c r="A87" s="8" t="s">
        <v>99</v>
      </c>
      <c r="B87" s="8" t="str">
        <f>VLOOKUP(A87,'1-1 基本信息'!$A$3:$J$87,10,0)</f>
        <v>郑州社区管理服务中心</v>
      </c>
      <c r="C87" s="8">
        <v>96.27</v>
      </c>
      <c r="D87" s="8" t="s">
        <v>99</v>
      </c>
      <c r="E87" s="8"/>
      <c r="F87" s="8">
        <v>95.45</v>
      </c>
      <c r="G87" s="67" t="s">
        <v>111</v>
      </c>
      <c r="H87" s="8" t="str">
        <f>VLOOKUP(G87,'1-1 基本信息'!$A$3:$J$87,10,0)</f>
        <v>石油工程监督中心</v>
      </c>
      <c r="I87" s="64">
        <v>97.051999999999992</v>
      </c>
    </row>
    <row r="88" spans="1:9" ht="17.25" x14ac:dyDescent="0.3">
      <c r="A88" s="8" t="s">
        <v>133</v>
      </c>
      <c r="B88" s="8" t="str">
        <f>VLOOKUP(A88,'1-1 基本信息'!$A$3:$J$87,10,0)</f>
        <v>新乡社区管理服务中心</v>
      </c>
      <c r="C88" s="8">
        <v>95.72</v>
      </c>
      <c r="D88" s="8" t="s">
        <v>133</v>
      </c>
      <c r="E88" s="8"/>
      <c r="F88" s="8">
        <v>95.45</v>
      </c>
      <c r="G88" s="67" t="s">
        <v>423</v>
      </c>
      <c r="H88" s="8" t="str">
        <f>VLOOKUP(G88,'1-1 基本信息'!$A$3:$J$87,10,0)</f>
        <v>石油工程监督中心</v>
      </c>
      <c r="I88" s="64">
        <v>97.103999999999985</v>
      </c>
    </row>
    <row r="89" spans="1:9" ht="17.25" x14ac:dyDescent="0.3">
      <c r="A89" s="8" t="s">
        <v>426</v>
      </c>
      <c r="B89" s="8" t="str">
        <f>VLOOKUP(A89,'1-1 基本信息'!$A$3:$J$87,10,0)</f>
        <v>新乡社区管理服务中心</v>
      </c>
      <c r="C89" s="8">
        <v>94.9</v>
      </c>
      <c r="D89" s="8" t="s">
        <v>426</v>
      </c>
      <c r="E89" s="8"/>
      <c r="F89" s="8">
        <v>98.16</v>
      </c>
      <c r="G89" s="67" t="s">
        <v>50</v>
      </c>
      <c r="H89" s="8" t="str">
        <f>VLOOKUP(G89,'1-1 基本信息'!$A$3:$J$87,10,0)</f>
        <v>物资供应中心</v>
      </c>
      <c r="I89" s="64">
        <v>99.454800000000006</v>
      </c>
    </row>
    <row r="90" spans="1:9" ht="17.25" x14ac:dyDescent="0.3">
      <c r="A90" s="26"/>
      <c r="B90" s="68"/>
      <c r="C90" s="8"/>
      <c r="D90" s="8"/>
      <c r="E90" s="8"/>
      <c r="F90" s="8"/>
      <c r="G90" s="67" t="s">
        <v>130</v>
      </c>
      <c r="H90" s="8" t="str">
        <f>VLOOKUP(G90,'1-1 基本信息'!$A$3:$J$87,10,0)</f>
        <v>物资供应中心</v>
      </c>
      <c r="I90" s="64">
        <v>98.55080000000001</v>
      </c>
    </row>
    <row r="91" spans="1:9" ht="17.25" x14ac:dyDescent="0.3">
      <c r="A91" s="26"/>
      <c r="B91" s="68"/>
      <c r="C91" s="8"/>
      <c r="D91" s="8"/>
      <c r="E91" s="8"/>
      <c r="F91" s="8"/>
      <c r="G91" s="67" t="s">
        <v>43</v>
      </c>
      <c r="H91" s="8" t="str">
        <f>VLOOKUP(G91,'1-1 基本信息'!$A$3:$J$87,10,0)</f>
        <v>物资供应中心</v>
      </c>
      <c r="I91" s="64">
        <v>99.694800000000015</v>
      </c>
    </row>
    <row r="92" spans="1:9" ht="17.25" x14ac:dyDescent="0.3">
      <c r="A92" s="26"/>
      <c r="B92" s="68"/>
      <c r="C92" s="8"/>
      <c r="D92" s="8"/>
      <c r="E92" s="8"/>
      <c r="F92" s="8"/>
      <c r="G92" s="67" t="s">
        <v>107</v>
      </c>
      <c r="H92" s="8" t="str">
        <f>VLOOKUP(G92,'1-1 基本信息'!$A$3:$J$87,10,0)</f>
        <v>油气销售中心</v>
      </c>
      <c r="I92" s="64">
        <v>97.685199999999995</v>
      </c>
    </row>
    <row r="93" spans="1:9" ht="17.25" x14ac:dyDescent="0.3">
      <c r="A93" s="26"/>
      <c r="B93" s="68"/>
      <c r="C93" s="8"/>
      <c r="D93" s="8"/>
      <c r="E93" s="8"/>
      <c r="F93" s="8"/>
      <c r="G93" s="67" t="s">
        <v>62</v>
      </c>
      <c r="H93" s="8" t="str">
        <f>VLOOKUP(G93,'1-1 基本信息'!$A$3:$J$87,10,0)</f>
        <v>油气销售中心</v>
      </c>
      <c r="I93" s="64">
        <v>97.709199999999996</v>
      </c>
    </row>
    <row r="94" spans="1:9" ht="17.25" x14ac:dyDescent="0.3">
      <c r="A94" s="8"/>
      <c r="B94" s="68"/>
      <c r="C94" s="8"/>
      <c r="D94" s="8"/>
      <c r="E94" s="8"/>
      <c r="F94" s="8"/>
      <c r="G94" s="67" t="s">
        <v>137</v>
      </c>
      <c r="H94" s="8" t="str">
        <f>VLOOKUP(G94,'1-1 基本信息'!$A$3:$J$87,10,0)</f>
        <v>油气销售中心</v>
      </c>
      <c r="I94" s="64">
        <v>97.93719999999999</v>
      </c>
    </row>
    <row r="95" spans="1:9" ht="17.25" x14ac:dyDescent="0.3">
      <c r="A95" s="8"/>
      <c r="B95" s="68"/>
      <c r="C95" s="8"/>
      <c r="D95" s="8"/>
      <c r="E95" s="8"/>
      <c r="F95" s="8"/>
      <c r="G95" s="67" t="s">
        <v>424</v>
      </c>
      <c r="H95" s="8" t="e">
        <f>VLOOKUP(G95,'1-1 基本信息'!$A$3:$J$87,10,0)</f>
        <v>#N/A</v>
      </c>
      <c r="I95" s="64">
        <v>96.27249999999998</v>
      </c>
    </row>
    <row r="96" spans="1:9" ht="17.25" x14ac:dyDescent="0.3">
      <c r="A96" s="8"/>
      <c r="B96" s="68"/>
      <c r="C96" s="8"/>
      <c r="D96" s="8"/>
      <c r="E96" s="8"/>
      <c r="F96" s="8"/>
      <c r="G96" s="66" t="s">
        <v>68</v>
      </c>
      <c r="H96" s="8" t="str">
        <f>VLOOKUP(G96,'1-1 基本信息'!$A$3:$J$87,10,0)</f>
        <v>郑州社区管理服务中心</v>
      </c>
      <c r="I96" s="64">
        <v>96.466800000000006</v>
      </c>
    </row>
    <row r="97" spans="1:9" ht="17.25" x14ac:dyDescent="0.3">
      <c r="A97" s="8"/>
      <c r="B97" s="68"/>
      <c r="C97" s="8"/>
      <c r="D97" s="8"/>
      <c r="E97" s="8"/>
      <c r="F97" s="8"/>
      <c r="G97" s="66" t="s">
        <v>425</v>
      </c>
      <c r="H97" s="8" t="e">
        <f>VLOOKUP(G97,'1-1 基本信息'!$A$3:$J$87,10,0)</f>
        <v>#N/A</v>
      </c>
      <c r="I97" s="64">
        <v>96.526800000000009</v>
      </c>
    </row>
    <row r="98" spans="1:9" ht="17.25" x14ac:dyDescent="0.3">
      <c r="A98" s="8"/>
      <c r="B98" s="68"/>
      <c r="C98" s="8"/>
      <c r="D98" s="8"/>
      <c r="E98" s="8"/>
      <c r="F98" s="8"/>
      <c r="G98" s="66" t="s">
        <v>99</v>
      </c>
      <c r="H98" s="8" t="str">
        <f>VLOOKUP(G98,'1-1 基本信息'!$A$3:$J$87,10,0)</f>
        <v>郑州社区管理服务中心</v>
      </c>
      <c r="I98" s="64">
        <v>96.902800000000013</v>
      </c>
    </row>
    <row r="99" spans="1:9" ht="17.25" x14ac:dyDescent="0.3">
      <c r="A99" s="8"/>
      <c r="B99" s="68"/>
      <c r="C99" s="8"/>
      <c r="D99" s="8"/>
      <c r="E99" s="8"/>
      <c r="F99" s="8"/>
      <c r="G99" s="66" t="s">
        <v>133</v>
      </c>
      <c r="H99" s="8" t="str">
        <f>VLOOKUP(G99,'1-1 基本信息'!$A$3:$J$87,10,0)</f>
        <v>新乡社区管理服务中心</v>
      </c>
      <c r="I99" s="64">
        <v>95.560699999999997</v>
      </c>
    </row>
    <row r="100" spans="1:9" ht="17.25" x14ac:dyDescent="0.3">
      <c r="A100" s="8"/>
      <c r="B100" s="68"/>
      <c r="C100" s="8"/>
      <c r="D100" s="8"/>
      <c r="E100" s="8"/>
      <c r="F100" s="8"/>
      <c r="G100" s="66" t="s">
        <v>426</v>
      </c>
      <c r="H100" s="8" t="str">
        <f>VLOOKUP(G100,'1-1 基本信息'!$A$3:$J$87,10,0)</f>
        <v>新乡社区管理服务中心</v>
      </c>
      <c r="I100" s="64">
        <v>95.252700000000004</v>
      </c>
    </row>
    <row r="101" spans="1:9" ht="17.25" x14ac:dyDescent="0.3">
      <c r="A101" s="8"/>
      <c r="B101" s="68"/>
      <c r="C101" s="8"/>
      <c r="D101" s="8"/>
      <c r="E101" s="8"/>
      <c r="F101" s="8"/>
      <c r="G101" s="66" t="s">
        <v>113</v>
      </c>
      <c r="H101" s="8" t="e">
        <f>VLOOKUP(G101,'1-1 基本信息'!$A$3:$J$87,10,0)</f>
        <v>#N/A</v>
      </c>
      <c r="I101" s="64">
        <v>96.596699999999998</v>
      </c>
    </row>
    <row r="102" spans="1:9" ht="17.25" x14ac:dyDescent="0.3">
      <c r="A102" s="8"/>
      <c r="B102" s="68"/>
      <c r="C102" s="8"/>
      <c r="D102" s="8"/>
      <c r="E102" s="8"/>
      <c r="F102" s="8"/>
      <c r="G102" s="66" t="s">
        <v>139</v>
      </c>
      <c r="H102" s="8" t="e">
        <f>VLOOKUP(G102,'1-1 基本信息'!$A$3:$J$87,10,0)</f>
        <v>#N/A</v>
      </c>
      <c r="I102" s="64">
        <v>96.672699999999992</v>
      </c>
    </row>
    <row r="103" spans="1:9" x14ac:dyDescent="0.3">
      <c r="A103" s="8"/>
      <c r="B103" s="68"/>
      <c r="C103" s="8"/>
      <c r="D103" s="8"/>
      <c r="E103" s="8"/>
      <c r="F103" s="8"/>
      <c r="G103" s="8"/>
      <c r="H103" s="69"/>
      <c r="I103" s="8"/>
    </row>
    <row r="104" spans="1:9" x14ac:dyDescent="0.3">
      <c r="A104" s="8"/>
      <c r="B104" s="68"/>
      <c r="C104" s="8"/>
      <c r="D104" s="8"/>
      <c r="E104" s="8"/>
      <c r="F104" s="8"/>
      <c r="G104" s="8"/>
      <c r="H104" s="69"/>
      <c r="I104" s="8"/>
    </row>
    <row r="105" spans="1:9" x14ac:dyDescent="0.3">
      <c r="A105" s="8"/>
      <c r="B105" s="68"/>
      <c r="C105" s="8"/>
      <c r="D105" s="8"/>
      <c r="E105" s="8"/>
      <c r="F105" s="8"/>
      <c r="G105" s="8"/>
      <c r="H105" s="69"/>
      <c r="I105" s="8"/>
    </row>
    <row r="106" spans="1:9" x14ac:dyDescent="0.3">
      <c r="A106" s="8"/>
      <c r="B106" s="68"/>
      <c r="C106" s="8"/>
      <c r="D106" s="8"/>
      <c r="E106" s="8"/>
      <c r="F106" s="8"/>
      <c r="G106" s="8"/>
      <c r="H106" s="69"/>
      <c r="I106" s="8"/>
    </row>
    <row r="107" spans="1:9" x14ac:dyDescent="0.3">
      <c r="A107" s="8"/>
      <c r="B107" s="68"/>
      <c r="C107" s="8"/>
      <c r="D107" s="8"/>
      <c r="E107" s="8"/>
      <c r="F107" s="8"/>
      <c r="G107" s="8"/>
      <c r="H107" s="69"/>
      <c r="I107" s="8"/>
    </row>
    <row r="108" spans="1:9" x14ac:dyDescent="0.3">
      <c r="A108" s="8"/>
      <c r="B108" s="5"/>
      <c r="C108" s="8"/>
      <c r="D108" s="8"/>
      <c r="E108" s="8"/>
      <c r="F108" s="8"/>
      <c r="G108" s="8"/>
      <c r="H108" s="69"/>
      <c r="I108" s="8"/>
    </row>
    <row r="109" spans="1:9" x14ac:dyDescent="0.3">
      <c r="A109" s="8"/>
      <c r="B109" s="5"/>
      <c r="C109" s="8"/>
      <c r="D109" s="8"/>
      <c r="E109" s="8"/>
      <c r="F109" s="8"/>
      <c r="G109" s="8"/>
      <c r="H109" s="69"/>
      <c r="I109" s="8"/>
    </row>
    <row r="110" spans="1:9" x14ac:dyDescent="0.3">
      <c r="A110" s="8"/>
      <c r="B110" s="5"/>
      <c r="C110" s="8"/>
      <c r="D110" s="8"/>
      <c r="E110" s="8"/>
      <c r="F110" s="8"/>
      <c r="G110" s="8"/>
      <c r="H110" s="69"/>
      <c r="I110" s="8"/>
    </row>
    <row r="111" spans="1:9" x14ac:dyDescent="0.3">
      <c r="A111" s="8"/>
      <c r="B111" s="5"/>
      <c r="C111" s="8"/>
      <c r="D111" s="8"/>
      <c r="E111" s="8"/>
      <c r="F111" s="8"/>
      <c r="G111" s="8"/>
      <c r="H111" s="69"/>
      <c r="I111" s="8"/>
    </row>
    <row r="112" spans="1:9" x14ac:dyDescent="0.3">
      <c r="A112" s="8"/>
      <c r="B112" s="5"/>
      <c r="C112" s="8"/>
      <c r="D112" s="8"/>
      <c r="E112" s="8"/>
      <c r="F112" s="8"/>
      <c r="G112" s="8"/>
      <c r="H112" s="69"/>
      <c r="I112" s="8"/>
    </row>
    <row r="113" spans="1:9" x14ac:dyDescent="0.3">
      <c r="A113" s="8"/>
      <c r="B113" s="5"/>
      <c r="C113" s="8"/>
      <c r="D113" s="8"/>
      <c r="E113" s="8"/>
      <c r="F113" s="8"/>
      <c r="G113" s="8"/>
      <c r="H113" s="69"/>
      <c r="I113" s="8"/>
    </row>
    <row r="114" spans="1:9" x14ac:dyDescent="0.3">
      <c r="A114" s="8"/>
      <c r="B114" s="5"/>
      <c r="C114" s="8"/>
      <c r="D114" s="8"/>
      <c r="E114" s="8"/>
      <c r="F114" s="8"/>
      <c r="G114" s="8"/>
      <c r="H114" s="69"/>
      <c r="I114" s="8"/>
    </row>
    <row r="115" spans="1:9" x14ac:dyDescent="0.3">
      <c r="A115" s="8"/>
      <c r="B115" s="5"/>
      <c r="C115" s="8"/>
      <c r="D115" s="8"/>
      <c r="E115" s="8"/>
      <c r="F115" s="8"/>
      <c r="G115" s="8"/>
      <c r="H115" s="69"/>
      <c r="I115" s="8"/>
    </row>
    <row r="116" spans="1:9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x14ac:dyDescent="0.3">
      <c r="D154" s="8"/>
      <c r="E154" s="8"/>
      <c r="F154" s="8"/>
      <c r="G154" s="8"/>
      <c r="H154" s="8"/>
      <c r="I154" s="8"/>
    </row>
    <row r="155" spans="1:9" x14ac:dyDescent="0.3">
      <c r="D155" s="8"/>
      <c r="E155" s="8"/>
      <c r="F155" s="8"/>
      <c r="G155" s="8"/>
      <c r="H155" s="8"/>
      <c r="I155" s="8"/>
    </row>
    <row r="156" spans="1:9" x14ac:dyDescent="0.3">
      <c r="D156" s="8"/>
      <c r="E156" s="8"/>
      <c r="F156" s="8"/>
      <c r="G156" s="8"/>
      <c r="H156" s="8"/>
      <c r="I156" s="8"/>
    </row>
    <row r="157" spans="1:9" x14ac:dyDescent="0.3">
      <c r="D157" s="8"/>
      <c r="E157" s="8"/>
      <c r="F157" s="8"/>
      <c r="G157" s="8"/>
      <c r="H157" s="8"/>
      <c r="I157" s="8"/>
    </row>
    <row r="158" spans="1:9" x14ac:dyDescent="0.3">
      <c r="D158" s="8"/>
      <c r="E158" s="8"/>
      <c r="F158" s="8"/>
      <c r="G158" s="8"/>
      <c r="H158" s="8"/>
      <c r="I158" s="8"/>
    </row>
  </sheetData>
  <phoneticPr fontId="3" type="noConversion"/>
  <hyperlinks>
    <hyperlink ref="A1" location="'0-使用说明'!D1" display="'0-使用说明'!D1" xr:uid="{3A40089B-80CE-4887-94C5-E771794D57E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31F2-7393-4D76-BEB4-A1F0C3C1C12B}">
  <sheetPr codeName="Sheet5"/>
  <dimension ref="A1:Z418"/>
  <sheetViews>
    <sheetView workbookViewId="0">
      <pane xSplit="4" ySplit="2" topLeftCell="E3" activePane="bottomRight" state="frozenSplit"/>
      <selection activeCell="D2" sqref="D2:E2"/>
      <selection pane="topRight" activeCell="D2" sqref="D2:E2"/>
      <selection pane="bottomLeft" activeCell="D2" sqref="D2:E2"/>
      <selection pane="bottomRight"/>
    </sheetView>
  </sheetViews>
  <sheetFormatPr defaultRowHeight="16.5" x14ac:dyDescent="0.3"/>
  <cols>
    <col min="1" max="1" width="9" style="52"/>
    <col min="2" max="2" width="39.125" style="52" customWidth="1"/>
    <col min="3" max="3" width="16.75" style="52" customWidth="1"/>
    <col min="4" max="4" width="9" style="52"/>
    <col min="5" max="5" width="9.5" style="59" bestFit="1" customWidth="1"/>
    <col min="6" max="6" width="0" style="52" hidden="1" customWidth="1"/>
    <col min="7" max="11" width="9" style="52"/>
    <col min="12" max="12" width="9" style="59"/>
    <col min="13" max="13" width="9" style="52" hidden="1" customWidth="1"/>
    <col min="14" max="15" width="9" style="52"/>
    <col min="16" max="16" width="9" style="60"/>
    <col min="17" max="18" width="9" style="52"/>
    <col min="19" max="19" width="9" style="59"/>
    <col min="20" max="20" width="0" style="52" hidden="1" customWidth="1"/>
    <col min="21" max="16384" width="9" style="52"/>
  </cols>
  <sheetData>
    <row r="1" spans="1:26" ht="36" x14ac:dyDescent="0.3">
      <c r="A1" s="116" t="s">
        <v>897</v>
      </c>
      <c r="B1" s="12" t="s">
        <v>881</v>
      </c>
      <c r="D1" s="105" t="s">
        <v>860</v>
      </c>
      <c r="E1" s="102" t="str">
        <f ca="1">(YEAR(TODAY())-3)&amp;"年"</f>
        <v>2018年</v>
      </c>
      <c r="F1" s="102"/>
      <c r="G1" s="102"/>
      <c r="H1" s="102"/>
      <c r="I1" s="102"/>
      <c r="J1" s="102"/>
      <c r="K1" s="102"/>
      <c r="L1" s="103" t="str">
        <f ca="1">(YEAR(TODAY())-2)&amp;"年"</f>
        <v>2019年</v>
      </c>
      <c r="M1" s="103"/>
      <c r="N1" s="103"/>
      <c r="O1" s="103"/>
      <c r="P1" s="103"/>
      <c r="Q1" s="103"/>
      <c r="R1" s="103"/>
      <c r="S1" s="104" t="str">
        <f ca="1">(YEAR(TODAY())-1)&amp;"年"</f>
        <v>2020年</v>
      </c>
      <c r="T1" s="104"/>
      <c r="U1" s="104"/>
      <c r="V1" s="104"/>
      <c r="W1" s="104"/>
      <c r="X1" s="104"/>
      <c r="Y1" s="104"/>
      <c r="Z1" s="8"/>
    </row>
    <row r="2" spans="1:26" x14ac:dyDescent="0.3">
      <c r="A2" s="106" t="s">
        <v>1</v>
      </c>
      <c r="B2" s="17" t="s">
        <v>401</v>
      </c>
      <c r="C2" s="17" t="s">
        <v>405</v>
      </c>
      <c r="D2" s="17" t="s">
        <v>28</v>
      </c>
      <c r="E2" s="17" t="s">
        <v>861</v>
      </c>
      <c r="F2" s="17"/>
      <c r="G2" s="17" t="s">
        <v>862</v>
      </c>
      <c r="H2" s="17" t="s">
        <v>863</v>
      </c>
      <c r="I2" s="17" t="s">
        <v>864</v>
      </c>
      <c r="J2" s="17" t="s">
        <v>865</v>
      </c>
      <c r="K2" s="17" t="s">
        <v>866</v>
      </c>
      <c r="L2" s="17" t="str">
        <f ca="1">(YEAR(TODAY())-2)&amp;"绩效得分（原始）"</f>
        <v>2019绩效得分（原始）</v>
      </c>
      <c r="M2" s="17"/>
      <c r="N2" s="17" t="s">
        <v>862</v>
      </c>
      <c r="O2" s="17" t="s">
        <v>863</v>
      </c>
      <c r="P2" s="17" t="s">
        <v>864</v>
      </c>
      <c r="Q2" s="17" t="s">
        <v>865</v>
      </c>
      <c r="R2" s="17" t="s">
        <v>866</v>
      </c>
      <c r="S2" s="17" t="str">
        <f ca="1">(YEAR(TODAY())-1)&amp;"绩效得分（原始）"</f>
        <v>2020绩效得分（原始）</v>
      </c>
      <c r="T2" s="17"/>
      <c r="U2" s="17" t="s">
        <v>862</v>
      </c>
      <c r="V2" s="17" t="s">
        <v>863</v>
      </c>
      <c r="W2" s="17" t="s">
        <v>864</v>
      </c>
      <c r="X2" s="17" t="s">
        <v>865</v>
      </c>
      <c r="Y2" s="17" t="s">
        <v>866</v>
      </c>
      <c r="Z2" s="17" t="s">
        <v>432</v>
      </c>
    </row>
    <row r="3" spans="1:26" x14ac:dyDescent="0.3">
      <c r="A3" s="8" t="s">
        <v>92</v>
      </c>
      <c r="B3" s="70" t="str">
        <f>IFERROR(VLOOKUP('1-2-2 关键绩效'!$A3,'1-1 基本信息'!$A:$K,7,0),"")</f>
        <v>公司副总工程师、油地工作保卫部经理、党支部书记</v>
      </c>
      <c r="C3" s="8" t="str">
        <f>IFERROR(VLOOKUP($A3,'1-1 基本信息'!$A:$J,10,0),"")</f>
        <v>管理机关</v>
      </c>
      <c r="D3" s="8" t="str">
        <f>IFERROR(VLOOKUP(A3,'1-1 基本信息'!$A:$I,8,0),"")</f>
        <v>中层正职</v>
      </c>
      <c r="E3" s="57">
        <f>IFERROR(VLOOKUP($A3,'1-2-1 绩效数据'!$A:$C,3,0),"")</f>
        <v>96.75</v>
      </c>
      <c r="F3" s="8" t="str">
        <f>IF(E3&lt;&gt;"","1","2")</f>
        <v>1</v>
      </c>
      <c r="G3" s="8">
        <f t="shared" ref="G3:G66" si="0">IF(E3&lt;&gt;"",COUNTIFS($C:$C,$C3,F:F,"1"),"")</f>
        <v>30</v>
      </c>
      <c r="H3" s="8">
        <f t="shared" ref="H3:H66" si="1">IF(E3&lt;&gt;"",COUNTIFS($C:$C,$C3,E:E,"&gt;"&amp;E3)+1,"")</f>
        <v>10</v>
      </c>
      <c r="I3" s="58">
        <f>IFERROR(H3/G3,"")</f>
        <v>0.33333333333333331</v>
      </c>
      <c r="J3" s="8">
        <f>IF(I3&lt;&gt;"",IF(G3&gt;=10,IF(I3&lt;=10%,1,IF(I3&lt;=20%,2,IF(I3&lt;=80%,3,IF(I3&lt;=90%,4,5)))),IF(G3=8,IF(I3=1,1,IF(I3=2,2,IF(I3=3,3,IF(I3=4,3,IF(I3=5,4,IF(I3=6,4,IF(I3=7,5,5))))))),IF(G3=7,IF(I3=1,1,IF(I3=2,2,IF(I3=3,3,IF(I3=4,4,IF(I3=5,4,IF(I3=6,5,5)))))),IF(G3=6,IF(I3=1,1,IF(I3=2,2,IF(I3=3,3,IF(I3=4,4,IF(I3=5,5,5))))),IF(G3=5,IF(I3=1,1,IF(I3=2,2,IF(I3=3,3,IF(I3=4,4,5)))),IF(G3=4,IF(I3=1,1,IF(I3=2,2,IF(I3=3,3,4))),IF(G3=3,IF(I3=1,1,IF(I3=2,2,3)),IF(G3=2,IF(I3=1,1,2),IF(G3=1,IF(I3=1,1,"")))))))))),"")</f>
        <v>3</v>
      </c>
      <c r="K3" s="8">
        <f>IF(J3&lt;&gt;"",IF(J3=1,100,IF(J3=2,90,IF(J3=3,80,IF(J3=4,70,IF(J3=5,60))))),"")</f>
        <v>80</v>
      </c>
      <c r="L3" s="57">
        <f>IFERROR(VLOOKUP($A3,'1-2-1 绩效数据'!$D:$F,3,0),"")</f>
        <v>98.47</v>
      </c>
      <c r="M3" s="8" t="str">
        <f>IF($L3&lt;&gt;"","1","2")</f>
        <v>1</v>
      </c>
      <c r="N3" s="8">
        <f t="shared" ref="N3:N66" si="2">IF(L3&lt;&gt;"",COUNTIFS($C:$C,$C3,M:M,"1"),"")</f>
        <v>37</v>
      </c>
      <c r="O3" s="8">
        <f t="shared" ref="O3:O66" si="3">IF(L3&lt;&gt;"",COUNTIFS($C:$C,$C3,L:L,"&gt;"&amp;L3)+1,"")</f>
        <v>7</v>
      </c>
      <c r="P3" s="58">
        <f>IFERROR(O3/N3,"")</f>
        <v>0.1891891891891892</v>
      </c>
      <c r="Q3" s="8">
        <f>IF(P3&lt;&gt;"",IF(N3&gt;=10,IF(P3&lt;=10%,1,IF(P3&lt;=20%,2,IF(P3&lt;=80%,3,IF(P3&lt;=90%,4,5)))),IF(N3=8,IF(P3=1,1,IF(P3=2,2,IF(P3=3,3,IF(P3=4,3,IF(P3=5,4,IF(P3=6,4,IF(P3=7,5,5))))))),IF(N3=7,IF(P3=1,1,IF(P3=2,2,IF(P3=3,3,IF(P3=4,4,IF(P3=5,4,IF(P3=6,5,5)))))),IF(N3=6,IF(P3=1,1,IF(P3=2,2,IF(P3=3,3,IF(P3=4,4,IF(P3=5,5,5))))),IF(N3=5,IF(P3=1,1,IF(P3=2,2,IF(P3=3,3,IF(P3=4,4,5)))),IF(N3=4,IF(P3=1,1,IF(P3=2,2,IF(P3=3,3,4))),IF(N3=3,IF(P3=1,1,IF(P3=2,2,3)),IF(N3=2,IF(P3=1,1,2),IF(N3=1,IF(P3=1,1,"")))))))))),"")</f>
        <v>2</v>
      </c>
      <c r="R3" s="8">
        <f>IF(Q3&lt;&gt;"",IF(Q3=1,100,IF(Q3=2,90,IF(Q3=3,80,IF(Q3=4,70,IF(Q3=5,60))))),"")</f>
        <v>90</v>
      </c>
      <c r="S3" s="57">
        <f>IFERROR(VLOOKUP(A3,'1-2-1 绩效数据'!$G:$I,3,0),"")</f>
        <v>95.864000000000004</v>
      </c>
      <c r="T3" s="8" t="str">
        <f>IF(S3&lt;&gt;"","1","2")</f>
        <v>1</v>
      </c>
      <c r="U3" s="8">
        <f t="shared" ref="U3:U66" si="4">IF(S3&lt;&gt;"",COUNTIFS($C:$C,$C3,T:T,"1"),"")</f>
        <v>36</v>
      </c>
      <c r="V3" s="8">
        <f t="shared" ref="V3:V66" si="5">IF(S3&lt;&gt;"",COUNTIFS($C:$C,$C3,S:S,"&gt;"&amp;S3)+1,"")</f>
        <v>30</v>
      </c>
      <c r="W3" s="58">
        <f>IFERROR(V3/U3,"")</f>
        <v>0.83333333333333337</v>
      </c>
      <c r="X3" s="8">
        <f>IF(W3&lt;&gt;"",IF(U3&gt;=10,IF(W3&lt;=10%,1,IF(W3&lt;=20%,2,IF(W3&lt;=80%,3,IF(W3&lt;=90%,4,5)))),IF(U3=8,IF(W3=1,1,IF(W3=2,2,IF(W3=3,3,IF(W3=4,3,IF(W3=5,4,IF(W3=6,4,IF(W3=7,5,5))))))),IF(U3=7,IF(W3=1,1,IF(W3=2,2,IF(W3=3,3,IF(W3=4,4,IF(W3=5,4,IF(W3=6,5,5)))))),IF(U3=6,IF(W3=1,1,IF(W3=2,2,IF(W3=3,3,IF(W3=4,4,IF(W3=5,5,5))))),IF(U3=5,IF(W3=1,1,IF(W3=2,2,IF(W3=3,3,IF(W3=4,4,5)))),IF(U3=4,IF(W3=1,1,IF(W3=2,2,IF(W3=3,3,4))),IF(U3=3,IF(W3=1,1,IF(W3=2,2,3)),IF(U3=2,IF(W3=1,1,2),IF(U3=1,IF(W3=1,1,"")))))))))),"")</f>
        <v>4</v>
      </c>
      <c r="Y3" s="8">
        <f>IF(X3&lt;&gt;"",IF(X3=1,100,IF(X3=2,90,IF(X3=3,80,IF(X3=4,70,IF(X3=5,60))))),"")</f>
        <v>70</v>
      </c>
      <c r="Z3" s="57">
        <f>IFERROR(AVERAGE(K3,R3,Y3),"")</f>
        <v>80</v>
      </c>
    </row>
    <row r="4" spans="1:26" x14ac:dyDescent="0.3">
      <c r="A4" s="8" t="s">
        <v>88</v>
      </c>
      <c r="B4" s="70" t="str">
        <f>IFERROR(VLOOKUP('1-2-2 关键绩效'!$A4,'1-1 基本信息'!$A:$K,7,0),"")</f>
        <v>公司副总会计师、审计部经理、党支部书记</v>
      </c>
      <c r="C4" s="8" t="str">
        <f>IFERROR(VLOOKUP($A4,'1-1 基本信息'!$A:$J,10,0),"")</f>
        <v>管理机关</v>
      </c>
      <c r="D4" s="8" t="str">
        <f>IFERROR(VLOOKUP(A4,'1-1 基本信息'!$A:$I,8,0),"")</f>
        <v>中层正职</v>
      </c>
      <c r="E4" s="57">
        <f>IFERROR(VLOOKUP($A4,'1-2-1 绩效数据'!$A:$C,3,0),"")</f>
        <v>95.32</v>
      </c>
      <c r="F4" s="8" t="str">
        <f t="shared" ref="F4:F67" si="6">IF(E4&lt;&gt;"","1","2")</f>
        <v>1</v>
      </c>
      <c r="G4" s="8">
        <f t="shared" si="0"/>
        <v>30</v>
      </c>
      <c r="H4" s="8">
        <f t="shared" si="1"/>
        <v>23</v>
      </c>
      <c r="I4" s="58">
        <f t="shared" ref="I4:I67" si="7">IFERROR(H4/G4,"")</f>
        <v>0.76666666666666672</v>
      </c>
      <c r="J4" s="8">
        <f t="shared" ref="J4:J67" si="8">IF(I4&lt;&gt;"",IF(G4&gt;=10,IF(I4&lt;=10%,1,IF(I4&lt;=20%,2,IF(I4&lt;=80%,3,IF(I4&lt;=90%,4,5)))),IF(G4=8,IF(I4=1,1,IF(I4=2,2,IF(I4=3,3,IF(I4=4,3,IF(I4=5,4,IF(I4=6,4,IF(I4=7,5,5))))))),IF(G4=7,IF(I4=1,1,IF(I4=2,2,IF(I4=3,3,IF(I4=4,4,IF(I4=5,4,IF(I4=6,5,5)))))),IF(G4=6,IF(I4=1,1,IF(I4=2,2,IF(I4=3,3,IF(I4=4,4,IF(I4=5,5,5))))),IF(G4=5,IF(I4=1,1,IF(I4=2,2,IF(I4=3,3,IF(I4=4,4,5)))),IF(G4=4,IF(I4=1,1,IF(I4=2,2,IF(I4=3,3,4))),IF(G4=3,IF(I4=1,1,IF(I4=2,2,3)),IF(G4=2,IF(I4=1,1,2),IF(G4=1,IF(I4=1,1,"")))))))))),"")</f>
        <v>3</v>
      </c>
      <c r="K4" s="8">
        <f t="shared" ref="K4:K67" si="9">IF(J4&lt;&gt;"",IF(J4=1,100,IF(J4=2,90,IF(J4=3,80,IF(J4=4,70,IF(J4=5,60))))),"")</f>
        <v>80</v>
      </c>
      <c r="L4" s="57">
        <f>IFERROR(VLOOKUP($A4,'1-2-1 绩效数据'!$D:$F,3,0),"")</f>
        <v>96.18</v>
      </c>
      <c r="M4" s="8" t="str">
        <f>IF($L4&lt;&gt;"","1","2")</f>
        <v>1</v>
      </c>
      <c r="N4" s="8">
        <f t="shared" si="2"/>
        <v>37</v>
      </c>
      <c r="O4" s="8">
        <f t="shared" si="3"/>
        <v>19</v>
      </c>
      <c r="P4" s="58">
        <f t="shared" ref="P4:P67" si="10">IFERROR(O4/N4,"")</f>
        <v>0.51351351351351349</v>
      </c>
      <c r="Q4" s="8">
        <f t="shared" ref="Q4:Q67" si="11">IF(P4&lt;&gt;"",IF(N4&gt;=10,IF(P4&lt;=10%,1,IF(P4&lt;=20%,2,IF(P4&lt;=80%,3,IF(P4&lt;=90%,4,5)))),IF(N4=8,IF(P4=1,1,IF(P4=2,2,IF(P4=3,3,IF(P4=4,3,IF(P4=5,4,IF(P4=6,4,IF(P4=7,5,5))))))),IF(N4=7,IF(P4=1,1,IF(P4=2,2,IF(P4=3,3,IF(P4=4,4,IF(P4=5,4,IF(P4=6,5,5)))))),IF(N4=6,IF(P4=1,1,IF(P4=2,2,IF(P4=3,3,IF(P4=4,4,IF(P4=5,5,5))))),IF(N4=5,IF(P4=1,1,IF(P4=2,2,IF(P4=3,3,IF(P4=4,4,5)))),IF(N4=4,IF(P4=1,1,IF(P4=2,2,IF(P4=3,3,4))),IF(N4=3,IF(P4=1,1,IF(P4=2,2,3)),IF(N4=2,IF(P4=1,1,2),IF(N4=1,IF(P4=1,1,"")))))))))),"")</f>
        <v>3</v>
      </c>
      <c r="R4" s="8">
        <f t="shared" ref="R4:R67" si="12">IF(Q4&lt;&gt;"",IF(Q4=1,100,IF(Q4=2,90,IF(Q4=3,80,IF(Q4=4,70,IF(Q4=5,60))))),"")</f>
        <v>80</v>
      </c>
      <c r="S4" s="57">
        <f>IFERROR(VLOOKUP(A4,'1-2-1 绩效数据'!$G:$I,3,0),"")</f>
        <v>95.22</v>
      </c>
      <c r="T4" s="8" t="str">
        <f t="shared" ref="T4:T67" si="13">IF(S4&lt;&gt;"","1","2")</f>
        <v>1</v>
      </c>
      <c r="U4" s="8">
        <f t="shared" si="4"/>
        <v>36</v>
      </c>
      <c r="V4" s="8">
        <f t="shared" si="5"/>
        <v>33</v>
      </c>
      <c r="W4" s="58">
        <f t="shared" ref="W4:W67" si="14">IFERROR(V4/U4,"")</f>
        <v>0.91666666666666663</v>
      </c>
      <c r="X4" s="8">
        <f t="shared" ref="X4:X67" si="15">IF(W4&lt;&gt;"",IF(U4&gt;=10,IF(W4&lt;=10%,1,IF(W4&lt;=20%,2,IF(W4&lt;=80%,3,IF(W4&lt;=90%,4,5)))),IF(U4=8,IF(W4=1,1,IF(W4=2,2,IF(W4=3,3,IF(W4=4,3,IF(W4=5,4,IF(W4=6,4,IF(W4=7,5,5))))))),IF(U4=7,IF(W4=1,1,IF(W4=2,2,IF(W4=3,3,IF(W4=4,4,IF(W4=5,4,IF(W4=6,5,5)))))),IF(U4=6,IF(W4=1,1,IF(W4=2,2,IF(W4=3,3,IF(W4=4,4,IF(W4=5,5,5))))),IF(U4=5,IF(W4=1,1,IF(W4=2,2,IF(W4=3,3,IF(W4=4,4,5)))),IF(U4=4,IF(W4=1,1,IF(W4=2,2,IF(W4=3,3,4))),IF(U4=3,IF(W4=1,1,IF(W4=2,2,3)),IF(U4=2,IF(W4=1,1,2),IF(U4=1,IF(W4=1,1,"")))))))))),"")</f>
        <v>5</v>
      </c>
      <c r="Y4" s="8">
        <f t="shared" ref="Y4:Y67" si="16">IF(X4&lt;&gt;"",IF(X4=1,100,IF(X4=2,90,IF(X4=3,80,IF(X4=4,70,IF(X4=5,60))))),"")</f>
        <v>60</v>
      </c>
      <c r="Z4" s="57">
        <f t="shared" ref="Z4:Z67" si="17">IFERROR(AVERAGE(K4,R4,Y4),"")</f>
        <v>73.333333333333329</v>
      </c>
    </row>
    <row r="5" spans="1:26" x14ac:dyDescent="0.3">
      <c r="A5" s="8" t="s">
        <v>103</v>
      </c>
      <c r="B5" s="70" t="str">
        <f>IFERROR(VLOOKUP('1-2-2 关键绩效'!$A5,'1-1 基本信息'!$A:$K,7,0),"")</f>
        <v>公司安全总监、安全环保部经理、党支部书记</v>
      </c>
      <c r="C5" s="8" t="str">
        <f>IFERROR(VLOOKUP($A5,'1-1 基本信息'!$A:$J,10,0),"")</f>
        <v>管理机关</v>
      </c>
      <c r="D5" s="8" t="str">
        <f>IFERROR(VLOOKUP(A5,'1-1 基本信息'!$A:$I,8,0),"")</f>
        <v>中层正职</v>
      </c>
      <c r="E5" s="57">
        <f>IFERROR(VLOOKUP($A5,'1-2-1 绩效数据'!$A:$C,3,0),"")</f>
        <v>95.34</v>
      </c>
      <c r="F5" s="8" t="str">
        <f t="shared" si="6"/>
        <v>1</v>
      </c>
      <c r="G5" s="8">
        <f t="shared" si="0"/>
        <v>30</v>
      </c>
      <c r="H5" s="8">
        <f t="shared" si="1"/>
        <v>21</v>
      </c>
      <c r="I5" s="58">
        <f t="shared" si="7"/>
        <v>0.7</v>
      </c>
      <c r="J5" s="8">
        <f t="shared" si="8"/>
        <v>3</v>
      </c>
      <c r="K5" s="8">
        <f t="shared" si="9"/>
        <v>80</v>
      </c>
      <c r="L5" s="57">
        <f>IFERROR(VLOOKUP($A5,'1-2-1 绩效数据'!$D:$F,3,0),"")</f>
        <v>97.01</v>
      </c>
      <c r="M5" s="8" t="str">
        <f t="shared" ref="M5:M68" si="18">IF($L5&lt;&gt;"","1","2")</f>
        <v>1</v>
      </c>
      <c r="N5" s="8">
        <f t="shared" si="2"/>
        <v>37</v>
      </c>
      <c r="O5" s="8">
        <f t="shared" si="3"/>
        <v>12</v>
      </c>
      <c r="P5" s="58">
        <f t="shared" si="10"/>
        <v>0.32432432432432434</v>
      </c>
      <c r="Q5" s="8">
        <f t="shared" si="11"/>
        <v>3</v>
      </c>
      <c r="R5" s="8">
        <f t="shared" si="12"/>
        <v>80</v>
      </c>
      <c r="S5" s="57">
        <f>IFERROR(VLOOKUP(A5,'1-2-1 绩效数据'!$G:$I,3,0),"")</f>
        <v>100.542</v>
      </c>
      <c r="T5" s="8" t="str">
        <f t="shared" si="13"/>
        <v>1</v>
      </c>
      <c r="U5" s="8">
        <f t="shared" si="4"/>
        <v>36</v>
      </c>
      <c r="V5" s="8">
        <f t="shared" si="5"/>
        <v>5</v>
      </c>
      <c r="W5" s="58">
        <f t="shared" si="14"/>
        <v>0.1388888888888889</v>
      </c>
      <c r="X5" s="8">
        <f t="shared" si="15"/>
        <v>2</v>
      </c>
      <c r="Y5" s="8">
        <f t="shared" si="16"/>
        <v>90</v>
      </c>
      <c r="Z5" s="57">
        <f t="shared" si="17"/>
        <v>83.333333333333329</v>
      </c>
    </row>
    <row r="6" spans="1:26" x14ac:dyDescent="0.3">
      <c r="A6" s="8" t="s">
        <v>112</v>
      </c>
      <c r="B6" s="70" t="str">
        <f>IFERROR(VLOOKUP('1-2-2 关键绩效'!$A6,'1-1 基本信息'!$A:$K,7,0),"")</f>
        <v>公司副总工程师</v>
      </c>
      <c r="C6" s="8" t="str">
        <f>IFERROR(VLOOKUP($A6,'1-1 基本信息'!$A:$J,10,0),"")</f>
        <v>管理机关</v>
      </c>
      <c r="D6" s="8" t="str">
        <f>IFERROR(VLOOKUP(A6,'1-1 基本信息'!$A:$I,8,0),"")</f>
        <v>中层正职</v>
      </c>
      <c r="E6" s="57">
        <f>IFERROR(VLOOKUP($A6,'1-2-1 绩效数据'!$A:$C,3,0),"")</f>
        <v>94.87</v>
      </c>
      <c r="F6" s="8" t="str">
        <f t="shared" si="6"/>
        <v>1</v>
      </c>
      <c r="G6" s="8">
        <f t="shared" si="0"/>
        <v>30</v>
      </c>
      <c r="H6" s="8">
        <f t="shared" si="1"/>
        <v>27</v>
      </c>
      <c r="I6" s="58">
        <f t="shared" si="7"/>
        <v>0.9</v>
      </c>
      <c r="J6" s="8">
        <f t="shared" si="8"/>
        <v>4</v>
      </c>
      <c r="K6" s="8">
        <f t="shared" si="9"/>
        <v>70</v>
      </c>
      <c r="L6" s="57">
        <f>IFERROR(VLOOKUP($A6,'1-2-1 绩效数据'!$D:$F,3,0),"")</f>
        <v>93.460000000000008</v>
      </c>
      <c r="M6" s="8" t="str">
        <f t="shared" si="18"/>
        <v>1</v>
      </c>
      <c r="N6" s="8">
        <f t="shared" si="2"/>
        <v>37</v>
      </c>
      <c r="O6" s="8">
        <f t="shared" si="3"/>
        <v>36</v>
      </c>
      <c r="P6" s="58">
        <f t="shared" si="10"/>
        <v>0.97297297297297303</v>
      </c>
      <c r="Q6" s="8">
        <f t="shared" si="11"/>
        <v>5</v>
      </c>
      <c r="R6" s="8">
        <f t="shared" si="12"/>
        <v>60</v>
      </c>
      <c r="S6" s="57">
        <f>IFERROR(VLOOKUP(A6,'1-2-1 绩效数据'!$G:$I,3,0),"")</f>
        <v>99.804000000000002</v>
      </c>
      <c r="T6" s="8" t="str">
        <f t="shared" si="13"/>
        <v>1</v>
      </c>
      <c r="U6" s="8">
        <f t="shared" si="4"/>
        <v>36</v>
      </c>
      <c r="V6" s="8">
        <f t="shared" si="5"/>
        <v>7</v>
      </c>
      <c r="W6" s="58">
        <f t="shared" si="14"/>
        <v>0.19444444444444445</v>
      </c>
      <c r="X6" s="8">
        <f t="shared" si="15"/>
        <v>2</v>
      </c>
      <c r="Y6" s="8">
        <f t="shared" si="16"/>
        <v>90</v>
      </c>
      <c r="Z6" s="57">
        <f t="shared" si="17"/>
        <v>73.333333333333329</v>
      </c>
    </row>
    <row r="7" spans="1:26" x14ac:dyDescent="0.3">
      <c r="A7" s="8" t="s">
        <v>109</v>
      </c>
      <c r="B7" s="70" t="str">
        <f>IFERROR(VLOOKUP('1-2-2 关键绩效'!$A7,'1-1 基本信息'!$A:$K,7,0),"")</f>
        <v>公司副总政工师、党委组织部部长、人力资源部经理、党支部书记、机关党委副书记</v>
      </c>
      <c r="C7" s="8" t="str">
        <f>IFERROR(VLOOKUP($A7,'1-1 基本信息'!$A:$J,10,0),"")</f>
        <v>管理机关</v>
      </c>
      <c r="D7" s="8" t="str">
        <f>IFERROR(VLOOKUP(A7,'1-1 基本信息'!$A:$I,8,0),"")</f>
        <v>中层正职</v>
      </c>
      <c r="E7" s="57">
        <f>IFERROR(VLOOKUP($A7,'1-2-1 绩效数据'!$A:$C,3,0),"")</f>
        <v>96.360000000000014</v>
      </c>
      <c r="F7" s="8" t="str">
        <f t="shared" si="6"/>
        <v>1</v>
      </c>
      <c r="G7" s="8">
        <f t="shared" si="0"/>
        <v>30</v>
      </c>
      <c r="H7" s="8">
        <f t="shared" si="1"/>
        <v>12</v>
      </c>
      <c r="I7" s="58">
        <f t="shared" si="7"/>
        <v>0.4</v>
      </c>
      <c r="J7" s="8">
        <f t="shared" si="8"/>
        <v>3</v>
      </c>
      <c r="K7" s="8">
        <f t="shared" si="9"/>
        <v>80</v>
      </c>
      <c r="L7" s="57">
        <f>IFERROR(VLOOKUP($A7,'1-2-1 绩效数据'!$D:$F,3,0),"")</f>
        <v>98.43</v>
      </c>
      <c r="M7" s="8" t="str">
        <f t="shared" si="18"/>
        <v>1</v>
      </c>
      <c r="N7" s="8">
        <f t="shared" si="2"/>
        <v>37</v>
      </c>
      <c r="O7" s="8">
        <f t="shared" si="3"/>
        <v>8</v>
      </c>
      <c r="P7" s="58">
        <f t="shared" si="10"/>
        <v>0.21621621621621623</v>
      </c>
      <c r="Q7" s="8">
        <f t="shared" si="11"/>
        <v>3</v>
      </c>
      <c r="R7" s="8">
        <f t="shared" si="12"/>
        <v>80</v>
      </c>
      <c r="S7" s="57">
        <f>IFERROR(VLOOKUP(A7,'1-2-1 绩效数据'!$G:$I,3,0),"")</f>
        <v>98.555999999999997</v>
      </c>
      <c r="T7" s="8" t="str">
        <f t="shared" si="13"/>
        <v>1</v>
      </c>
      <c r="U7" s="8">
        <f t="shared" si="4"/>
        <v>36</v>
      </c>
      <c r="V7" s="8">
        <f t="shared" si="5"/>
        <v>22</v>
      </c>
      <c r="W7" s="58">
        <f t="shared" si="14"/>
        <v>0.61111111111111116</v>
      </c>
      <c r="X7" s="8">
        <f t="shared" si="15"/>
        <v>3</v>
      </c>
      <c r="Y7" s="8">
        <f t="shared" si="16"/>
        <v>80</v>
      </c>
      <c r="Z7" s="57">
        <f t="shared" si="17"/>
        <v>80</v>
      </c>
    </row>
    <row r="8" spans="1:26" x14ac:dyDescent="0.3">
      <c r="A8" s="8" t="s">
        <v>410</v>
      </c>
      <c r="B8" s="70" t="str">
        <f>IFERROR(VLOOKUP('1-2-2 关键绩效'!$A8,'1-1 基本信息'!$A:$K,7,0),"")</f>
        <v>公司副总政工师、企管与法律部经理、党支部书记</v>
      </c>
      <c r="C8" s="8" t="str">
        <f>IFERROR(VLOOKUP($A8,'1-1 基本信息'!$A:$J,10,0),"")</f>
        <v>管理机关</v>
      </c>
      <c r="D8" s="8" t="str">
        <f>IFERROR(VLOOKUP(A8,'1-1 基本信息'!$A:$I,8,0),"")</f>
        <v>中层正职</v>
      </c>
      <c r="E8" s="57">
        <f>IFERROR(VLOOKUP($A8,'1-2-1 绩效数据'!$A:$C,3,0),"")</f>
        <v>96.300000000000011</v>
      </c>
      <c r="F8" s="8" t="str">
        <f t="shared" si="6"/>
        <v>1</v>
      </c>
      <c r="G8" s="8">
        <f t="shared" si="0"/>
        <v>30</v>
      </c>
      <c r="H8" s="8">
        <f t="shared" si="1"/>
        <v>13</v>
      </c>
      <c r="I8" s="58">
        <f t="shared" si="7"/>
        <v>0.43333333333333335</v>
      </c>
      <c r="J8" s="8">
        <f t="shared" si="8"/>
        <v>3</v>
      </c>
      <c r="K8" s="8">
        <f t="shared" si="9"/>
        <v>80</v>
      </c>
      <c r="L8" s="57">
        <f>IFERROR(VLOOKUP($A8,'1-2-1 绩效数据'!$D:$F,3,0),"")</f>
        <v>98.300000000000011</v>
      </c>
      <c r="M8" s="8" t="str">
        <f t="shared" si="18"/>
        <v>1</v>
      </c>
      <c r="N8" s="8">
        <f t="shared" si="2"/>
        <v>37</v>
      </c>
      <c r="O8" s="8">
        <f t="shared" si="3"/>
        <v>10</v>
      </c>
      <c r="P8" s="58">
        <f t="shared" si="10"/>
        <v>0.27027027027027029</v>
      </c>
      <c r="Q8" s="8">
        <f t="shared" si="11"/>
        <v>3</v>
      </c>
      <c r="R8" s="8">
        <f t="shared" si="12"/>
        <v>80</v>
      </c>
      <c r="S8" s="57">
        <f>IFERROR(VLOOKUP(A8,'1-2-1 绩效数据'!$G:$I,3,0),"")</f>
        <v>99.07</v>
      </c>
      <c r="T8" s="8" t="str">
        <f t="shared" si="13"/>
        <v>1</v>
      </c>
      <c r="U8" s="8">
        <f t="shared" si="4"/>
        <v>36</v>
      </c>
      <c r="V8" s="8">
        <f t="shared" si="5"/>
        <v>15</v>
      </c>
      <c r="W8" s="58">
        <f t="shared" si="14"/>
        <v>0.41666666666666669</v>
      </c>
      <c r="X8" s="8">
        <f t="shared" si="15"/>
        <v>3</v>
      </c>
      <c r="Y8" s="8">
        <f t="shared" si="16"/>
        <v>80</v>
      </c>
      <c r="Z8" s="57">
        <f t="shared" si="17"/>
        <v>80</v>
      </c>
    </row>
    <row r="9" spans="1:26" x14ac:dyDescent="0.3">
      <c r="A9" s="8" t="s">
        <v>407</v>
      </c>
      <c r="B9" s="70" t="str">
        <f>IFERROR(VLOOKUP('1-2-2 关键绩效'!$A9,'1-1 基本信息'!$A:$K,7,0),"")</f>
        <v>公司副总工程师、生产运行管理部经理、党支部书记</v>
      </c>
      <c r="C9" s="8" t="str">
        <f>IFERROR(VLOOKUP($A9,'1-1 基本信息'!$A:$J,10,0),"")</f>
        <v>管理机关</v>
      </c>
      <c r="D9" s="8" t="str">
        <f>IFERROR(VLOOKUP(A9,'1-1 基本信息'!$A:$I,8,0),"")</f>
        <v>中层正职</v>
      </c>
      <c r="E9" s="57">
        <f>IFERROR(VLOOKUP($A9,'1-2-1 绩效数据'!$A:$C,3,0),"")</f>
        <v>96.53</v>
      </c>
      <c r="F9" s="8" t="str">
        <f t="shared" si="6"/>
        <v>1</v>
      </c>
      <c r="G9" s="8">
        <f t="shared" si="0"/>
        <v>30</v>
      </c>
      <c r="H9" s="8">
        <f t="shared" si="1"/>
        <v>11</v>
      </c>
      <c r="I9" s="58">
        <f t="shared" si="7"/>
        <v>0.36666666666666664</v>
      </c>
      <c r="J9" s="8">
        <f t="shared" si="8"/>
        <v>3</v>
      </c>
      <c r="K9" s="8">
        <f t="shared" si="9"/>
        <v>80</v>
      </c>
      <c r="L9" s="57">
        <f>IFERROR(VLOOKUP($A9,'1-2-1 绩效数据'!$D:$F,3,0),"")</f>
        <v>98.64</v>
      </c>
      <c r="M9" s="8" t="str">
        <f t="shared" si="18"/>
        <v>1</v>
      </c>
      <c r="N9" s="8">
        <f t="shared" si="2"/>
        <v>37</v>
      </c>
      <c r="O9" s="8">
        <f t="shared" si="3"/>
        <v>6</v>
      </c>
      <c r="P9" s="58">
        <f t="shared" si="10"/>
        <v>0.16216216216216217</v>
      </c>
      <c r="Q9" s="8">
        <f t="shared" si="11"/>
        <v>2</v>
      </c>
      <c r="R9" s="8">
        <f t="shared" si="12"/>
        <v>90</v>
      </c>
      <c r="S9" s="57">
        <f>IFERROR(VLOOKUP(A9,'1-2-1 绩效数据'!$G:$I,3,0),"")</f>
        <v>101.92399999999999</v>
      </c>
      <c r="T9" s="8" t="str">
        <f t="shared" si="13"/>
        <v>1</v>
      </c>
      <c r="U9" s="8">
        <f t="shared" si="4"/>
        <v>36</v>
      </c>
      <c r="V9" s="8">
        <f t="shared" si="5"/>
        <v>1</v>
      </c>
      <c r="W9" s="58">
        <f t="shared" si="14"/>
        <v>2.7777777777777776E-2</v>
      </c>
      <c r="X9" s="8">
        <f t="shared" si="15"/>
        <v>1</v>
      </c>
      <c r="Y9" s="8">
        <f t="shared" si="16"/>
        <v>100</v>
      </c>
      <c r="Z9" s="57">
        <f t="shared" si="17"/>
        <v>90</v>
      </c>
    </row>
    <row r="10" spans="1:26" x14ac:dyDescent="0.3">
      <c r="A10" s="8" t="s">
        <v>134</v>
      </c>
      <c r="B10" s="70" t="str">
        <f>IFERROR(VLOOKUP('1-2-2 关键绩效'!$A10,'1-1 基本信息'!$A:$K,7,0),"")</f>
        <v>综合管理部经理、党委办公室主任、信访稳定办公室主任、外事办公室主任、党支部书记</v>
      </c>
      <c r="C10" s="8" t="str">
        <f>IFERROR(VLOOKUP($A10,'1-1 基本信息'!$A:$J,10,0),"")</f>
        <v>管理机关</v>
      </c>
      <c r="D10" s="8" t="str">
        <f>IFERROR(VLOOKUP(A10,'1-1 基本信息'!$A:$I,8,0),"")</f>
        <v>中层正职</v>
      </c>
      <c r="E10" s="57">
        <f>IFERROR(VLOOKUP($A10,'1-2-1 绩效数据'!$A:$C,3,0),"")</f>
        <v>97.17</v>
      </c>
      <c r="F10" s="8" t="str">
        <f t="shared" si="6"/>
        <v>1</v>
      </c>
      <c r="G10" s="8">
        <f t="shared" si="0"/>
        <v>30</v>
      </c>
      <c r="H10" s="8">
        <f t="shared" si="1"/>
        <v>7</v>
      </c>
      <c r="I10" s="58">
        <f t="shared" si="7"/>
        <v>0.23333333333333334</v>
      </c>
      <c r="J10" s="8">
        <f t="shared" si="8"/>
        <v>3</v>
      </c>
      <c r="K10" s="8">
        <f t="shared" si="9"/>
        <v>80</v>
      </c>
      <c r="L10" s="57">
        <f>IFERROR(VLOOKUP($A10,'1-2-1 绩效数据'!$D:$F,3,0),"")</f>
        <v>98.330000000000013</v>
      </c>
      <c r="M10" s="8" t="str">
        <f t="shared" si="18"/>
        <v>1</v>
      </c>
      <c r="N10" s="8">
        <f t="shared" si="2"/>
        <v>37</v>
      </c>
      <c r="O10" s="8">
        <f t="shared" si="3"/>
        <v>9</v>
      </c>
      <c r="P10" s="58">
        <f t="shared" si="10"/>
        <v>0.24324324324324326</v>
      </c>
      <c r="Q10" s="8">
        <f t="shared" si="11"/>
        <v>3</v>
      </c>
      <c r="R10" s="8">
        <f t="shared" si="12"/>
        <v>80</v>
      </c>
      <c r="S10" s="57">
        <f>IFERROR(VLOOKUP(A10,'1-2-1 绩效数据'!$G:$I,3,0),"")</f>
        <v>100.75399999999999</v>
      </c>
      <c r="T10" s="8" t="str">
        <f t="shared" si="13"/>
        <v>1</v>
      </c>
      <c r="U10" s="8">
        <f t="shared" si="4"/>
        <v>36</v>
      </c>
      <c r="V10" s="8">
        <f t="shared" si="5"/>
        <v>3</v>
      </c>
      <c r="W10" s="58">
        <f t="shared" si="14"/>
        <v>8.3333333333333329E-2</v>
      </c>
      <c r="X10" s="8">
        <f t="shared" si="15"/>
        <v>1</v>
      </c>
      <c r="Y10" s="8">
        <f t="shared" si="16"/>
        <v>100</v>
      </c>
      <c r="Z10" s="57">
        <f t="shared" si="17"/>
        <v>86.666666666666671</v>
      </c>
    </row>
    <row r="11" spans="1:26" x14ac:dyDescent="0.3">
      <c r="A11" s="8" t="s">
        <v>74</v>
      </c>
      <c r="B11" s="70" t="str">
        <f>IFERROR(VLOOKUP('1-2-2 关键绩效'!$A11,'1-1 基本信息'!$A:$K,7,0),"")</f>
        <v>综合管理部副经理、党委办公室副主任、团委书记（中层副职）</v>
      </c>
      <c r="C11" s="8" t="str">
        <f>IFERROR(VLOOKUP($A11,'1-1 基本信息'!$A:$J,10,0),"")</f>
        <v>管理机关</v>
      </c>
      <c r="D11" s="8" t="str">
        <f>IFERROR(VLOOKUP(A11,'1-1 基本信息'!$A:$I,8,0),"")</f>
        <v>中层副职</v>
      </c>
      <c r="E11" s="57">
        <f>IFERROR(VLOOKUP($A11,'1-2-1 绩效数据'!$A:$C,3,0),"")</f>
        <v>94.990000000000009</v>
      </c>
      <c r="F11" s="8" t="str">
        <f t="shared" si="6"/>
        <v>1</v>
      </c>
      <c r="G11" s="8">
        <f t="shared" si="0"/>
        <v>30</v>
      </c>
      <c r="H11" s="8">
        <f t="shared" si="1"/>
        <v>26</v>
      </c>
      <c r="I11" s="58">
        <f t="shared" si="7"/>
        <v>0.8666666666666667</v>
      </c>
      <c r="J11" s="8">
        <f t="shared" si="8"/>
        <v>4</v>
      </c>
      <c r="K11" s="8">
        <f t="shared" si="9"/>
        <v>70</v>
      </c>
      <c r="L11" s="57">
        <f>IFERROR(VLOOKUP($A11,'1-2-1 绩效数据'!$D:$F,3,0),"")</f>
        <v>95.68</v>
      </c>
      <c r="M11" s="8" t="str">
        <f t="shared" si="18"/>
        <v>1</v>
      </c>
      <c r="N11" s="8">
        <f t="shared" si="2"/>
        <v>37</v>
      </c>
      <c r="O11" s="8">
        <f t="shared" si="3"/>
        <v>25</v>
      </c>
      <c r="P11" s="58">
        <f t="shared" si="10"/>
        <v>0.67567567567567566</v>
      </c>
      <c r="Q11" s="8">
        <f t="shared" si="11"/>
        <v>3</v>
      </c>
      <c r="R11" s="8">
        <f t="shared" si="12"/>
        <v>80</v>
      </c>
      <c r="S11" s="57">
        <f>IFERROR(VLOOKUP(A11,'1-2-1 绩效数据'!$G:$I,3,0),"")</f>
        <v>98.701999999999998</v>
      </c>
      <c r="T11" s="8" t="str">
        <f t="shared" si="13"/>
        <v>1</v>
      </c>
      <c r="U11" s="8">
        <f t="shared" si="4"/>
        <v>36</v>
      </c>
      <c r="V11" s="8">
        <f t="shared" si="5"/>
        <v>20</v>
      </c>
      <c r="W11" s="58">
        <f t="shared" si="14"/>
        <v>0.55555555555555558</v>
      </c>
      <c r="X11" s="8">
        <f t="shared" si="15"/>
        <v>3</v>
      </c>
      <c r="Y11" s="8">
        <f t="shared" si="16"/>
        <v>80</v>
      </c>
      <c r="Z11" s="57">
        <f t="shared" si="17"/>
        <v>76.666666666666671</v>
      </c>
    </row>
    <row r="12" spans="1:26" x14ac:dyDescent="0.3">
      <c r="A12" s="8" t="s">
        <v>46</v>
      </c>
      <c r="B12" s="70" t="str">
        <f>IFERROR(VLOOKUP('1-2-2 关键绩效'!$A12,'1-1 基本信息'!$A:$K,7,0),"")</f>
        <v>综合管理部副经理、外事办公室副主任</v>
      </c>
      <c r="C12" s="8" t="str">
        <f>IFERROR(VLOOKUP($A12,'1-1 基本信息'!$A:$J,10,0),"")</f>
        <v>管理机关</v>
      </c>
      <c r="D12" s="8" t="str">
        <f>IFERROR(VLOOKUP(A12,'1-1 基本信息'!$A:$I,8,0),"")</f>
        <v>中层副职</v>
      </c>
      <c r="E12" s="57" t="str">
        <f>IFERROR(VLOOKUP($A12,'1-2-1 绩效数据'!$A:$C,3,0),"")</f>
        <v/>
      </c>
      <c r="F12" s="8" t="str">
        <f t="shared" si="6"/>
        <v>2</v>
      </c>
      <c r="G12" s="8" t="str">
        <f t="shared" si="0"/>
        <v/>
      </c>
      <c r="H12" s="8" t="str">
        <f t="shared" si="1"/>
        <v/>
      </c>
      <c r="I12" s="58" t="str">
        <f t="shared" si="7"/>
        <v/>
      </c>
      <c r="J12" s="8" t="str">
        <f t="shared" si="8"/>
        <v/>
      </c>
      <c r="K12" s="8" t="str">
        <f t="shared" si="9"/>
        <v/>
      </c>
      <c r="L12" s="57">
        <f>IFERROR(VLOOKUP($A12,'1-2-1 绩效数据'!$D:$F,3,0),"")</f>
        <v>95.68</v>
      </c>
      <c r="M12" s="8" t="str">
        <f t="shared" si="18"/>
        <v>1</v>
      </c>
      <c r="N12" s="8">
        <f t="shared" si="2"/>
        <v>37</v>
      </c>
      <c r="O12" s="8">
        <f t="shared" si="3"/>
        <v>25</v>
      </c>
      <c r="P12" s="58">
        <f t="shared" si="10"/>
        <v>0.67567567567567566</v>
      </c>
      <c r="Q12" s="8">
        <f t="shared" si="11"/>
        <v>3</v>
      </c>
      <c r="R12" s="8">
        <f t="shared" si="12"/>
        <v>80</v>
      </c>
      <c r="S12" s="57">
        <f>IFERROR(VLOOKUP(A12,'1-2-1 绩效数据'!$G:$I,3,0),"")</f>
        <v>99.403999999999996</v>
      </c>
      <c r="T12" s="8" t="str">
        <f t="shared" si="13"/>
        <v>1</v>
      </c>
      <c r="U12" s="8">
        <f t="shared" si="4"/>
        <v>36</v>
      </c>
      <c r="V12" s="8">
        <f t="shared" si="5"/>
        <v>10</v>
      </c>
      <c r="W12" s="58">
        <f t="shared" si="14"/>
        <v>0.27777777777777779</v>
      </c>
      <c r="X12" s="8">
        <f t="shared" si="15"/>
        <v>3</v>
      </c>
      <c r="Y12" s="8">
        <f t="shared" si="16"/>
        <v>80</v>
      </c>
      <c r="Z12" s="57">
        <f t="shared" si="17"/>
        <v>80</v>
      </c>
    </row>
    <row r="13" spans="1:26" x14ac:dyDescent="0.3">
      <c r="A13" s="8" t="s">
        <v>58</v>
      </c>
      <c r="B13" s="70" t="str">
        <f>IFERROR(VLOOKUP('1-2-2 关键绩效'!$A13,'1-1 基本信息'!$A:$K,7,0),"")</f>
        <v>党委组织部副部长、人力资源部副经理</v>
      </c>
      <c r="C13" s="8" t="str">
        <f>IFERROR(VLOOKUP($A13,'1-1 基本信息'!$A:$J,10,0),"")</f>
        <v>管理机关</v>
      </c>
      <c r="D13" s="8" t="str">
        <f>IFERROR(VLOOKUP(A13,'1-1 基本信息'!$A:$I,8,0),"")</f>
        <v>中层副职</v>
      </c>
      <c r="E13" s="57">
        <f>IFERROR(VLOOKUP($A13,'1-2-1 绩效数据'!$A:$C,3,0),"")</f>
        <v>95.34</v>
      </c>
      <c r="F13" s="8" t="str">
        <f t="shared" si="6"/>
        <v>1</v>
      </c>
      <c r="G13" s="8">
        <f t="shared" si="0"/>
        <v>30</v>
      </c>
      <c r="H13" s="8">
        <f t="shared" si="1"/>
        <v>21</v>
      </c>
      <c r="I13" s="58">
        <f t="shared" si="7"/>
        <v>0.7</v>
      </c>
      <c r="J13" s="8">
        <f t="shared" si="8"/>
        <v>3</v>
      </c>
      <c r="K13" s="8">
        <f t="shared" si="9"/>
        <v>80</v>
      </c>
      <c r="L13" s="57">
        <f>IFERROR(VLOOKUP($A13,'1-2-1 绩效数据'!$D:$F,3,0),"")</f>
        <v>95.61</v>
      </c>
      <c r="M13" s="8" t="str">
        <f t="shared" si="18"/>
        <v>1</v>
      </c>
      <c r="N13" s="8">
        <f t="shared" si="2"/>
        <v>37</v>
      </c>
      <c r="O13" s="8">
        <f t="shared" si="3"/>
        <v>27</v>
      </c>
      <c r="P13" s="58">
        <f t="shared" si="10"/>
        <v>0.72972972972972971</v>
      </c>
      <c r="Q13" s="8">
        <f t="shared" si="11"/>
        <v>3</v>
      </c>
      <c r="R13" s="8">
        <f t="shared" si="12"/>
        <v>80</v>
      </c>
      <c r="S13" s="57">
        <f>IFERROR(VLOOKUP(A13,'1-2-1 绩效数据'!$G:$I,3,0),"")</f>
        <v>98.382000000000005</v>
      </c>
      <c r="T13" s="8" t="str">
        <f t="shared" si="13"/>
        <v>1</v>
      </c>
      <c r="U13" s="8">
        <f t="shared" si="4"/>
        <v>36</v>
      </c>
      <c r="V13" s="8">
        <f t="shared" si="5"/>
        <v>23</v>
      </c>
      <c r="W13" s="58">
        <f t="shared" si="14"/>
        <v>0.63888888888888884</v>
      </c>
      <c r="X13" s="8">
        <f t="shared" si="15"/>
        <v>3</v>
      </c>
      <c r="Y13" s="8">
        <f t="shared" si="16"/>
        <v>80</v>
      </c>
      <c r="Z13" s="57">
        <f t="shared" si="17"/>
        <v>80</v>
      </c>
    </row>
    <row r="14" spans="1:26" x14ac:dyDescent="0.3">
      <c r="A14" s="8" t="s">
        <v>104</v>
      </c>
      <c r="B14" s="70" t="str">
        <f>IFERROR(VLOOKUP('1-2-2 关键绩效'!$A14,'1-1 基本信息'!$A:$K,7,0),"")</f>
        <v>党委组织部副部长、人力资源部副经理</v>
      </c>
      <c r="C14" s="8" t="str">
        <f>IFERROR(VLOOKUP($A14,'1-1 基本信息'!$A:$J,10,0),"")</f>
        <v>管理机关</v>
      </c>
      <c r="D14" s="8" t="str">
        <f>IFERROR(VLOOKUP(A14,'1-1 基本信息'!$A:$I,8,0),"")</f>
        <v>中层副职</v>
      </c>
      <c r="E14" s="57" t="str">
        <f>IFERROR(VLOOKUP($A14,'1-2-1 绩效数据'!$A:$C,3,0),"")</f>
        <v/>
      </c>
      <c r="F14" s="8" t="str">
        <f t="shared" si="6"/>
        <v>2</v>
      </c>
      <c r="G14" s="8" t="str">
        <f t="shared" si="0"/>
        <v/>
      </c>
      <c r="H14" s="8" t="str">
        <f t="shared" si="1"/>
        <v/>
      </c>
      <c r="I14" s="58" t="str">
        <f t="shared" si="7"/>
        <v/>
      </c>
      <c r="J14" s="8" t="str">
        <f t="shared" si="8"/>
        <v/>
      </c>
      <c r="K14" s="8" t="str">
        <f t="shared" si="9"/>
        <v/>
      </c>
      <c r="L14" s="57">
        <f>IFERROR(VLOOKUP($A14,'1-2-1 绩效数据'!$D:$F,3,0),"")</f>
        <v>95.85</v>
      </c>
      <c r="M14" s="8" t="str">
        <f t="shared" si="18"/>
        <v>1</v>
      </c>
      <c r="N14" s="8">
        <f t="shared" si="2"/>
        <v>37</v>
      </c>
      <c r="O14" s="8">
        <f t="shared" si="3"/>
        <v>23</v>
      </c>
      <c r="P14" s="58">
        <f t="shared" si="10"/>
        <v>0.6216216216216216</v>
      </c>
      <c r="Q14" s="8">
        <f t="shared" si="11"/>
        <v>3</v>
      </c>
      <c r="R14" s="8">
        <f t="shared" si="12"/>
        <v>80</v>
      </c>
      <c r="S14" s="57">
        <f>IFERROR(VLOOKUP(A14,'1-2-1 绩效数据'!$G:$I,3,0),"")</f>
        <v>98.713999999999999</v>
      </c>
      <c r="T14" s="8" t="str">
        <f t="shared" si="13"/>
        <v>1</v>
      </c>
      <c r="U14" s="8">
        <f t="shared" si="4"/>
        <v>36</v>
      </c>
      <c r="V14" s="8">
        <f t="shared" si="5"/>
        <v>19</v>
      </c>
      <c r="W14" s="58">
        <f t="shared" si="14"/>
        <v>0.52777777777777779</v>
      </c>
      <c r="X14" s="8">
        <f t="shared" si="15"/>
        <v>3</v>
      </c>
      <c r="Y14" s="8">
        <f t="shared" si="16"/>
        <v>80</v>
      </c>
      <c r="Z14" s="57">
        <f t="shared" si="17"/>
        <v>80</v>
      </c>
    </row>
    <row r="15" spans="1:26" x14ac:dyDescent="0.3">
      <c r="A15" s="8" t="s">
        <v>108</v>
      </c>
      <c r="B15" s="70" t="str">
        <f>IFERROR(VLOOKUP('1-2-2 关键绩效'!$A15,'1-1 基本信息'!$A:$K,7,0),"")</f>
        <v>党委宣传部部长、新闻中心主任、党支部书记</v>
      </c>
      <c r="C15" s="8" t="str">
        <f>IFERROR(VLOOKUP($A15,'1-1 基本信息'!$A:$J,10,0),"")</f>
        <v>管理机关</v>
      </c>
      <c r="D15" s="8" t="str">
        <f>IFERROR(VLOOKUP(A15,'1-1 基本信息'!$A:$I,8,0),"")</f>
        <v>中层正职</v>
      </c>
      <c r="E15" s="57">
        <f>IFERROR(VLOOKUP($A15,'1-2-1 绩效数据'!$A:$C,3,0),"")</f>
        <v>95.13</v>
      </c>
      <c r="F15" s="8" t="str">
        <f t="shared" si="6"/>
        <v>1</v>
      </c>
      <c r="G15" s="8">
        <f t="shared" si="0"/>
        <v>30</v>
      </c>
      <c r="H15" s="8">
        <f t="shared" si="1"/>
        <v>24</v>
      </c>
      <c r="I15" s="58">
        <f t="shared" si="7"/>
        <v>0.8</v>
      </c>
      <c r="J15" s="8">
        <f t="shared" si="8"/>
        <v>3</v>
      </c>
      <c r="K15" s="8">
        <f t="shared" si="9"/>
        <v>80</v>
      </c>
      <c r="L15" s="57">
        <f>IFERROR(VLOOKUP($A15,'1-2-1 绩效数据'!$D:$F,3,0),"")</f>
        <v>95.710000000000008</v>
      </c>
      <c r="M15" s="8" t="str">
        <f t="shared" si="18"/>
        <v>1</v>
      </c>
      <c r="N15" s="8">
        <f t="shared" si="2"/>
        <v>37</v>
      </c>
      <c r="O15" s="8">
        <f t="shared" si="3"/>
        <v>24</v>
      </c>
      <c r="P15" s="58">
        <f t="shared" si="10"/>
        <v>0.64864864864864868</v>
      </c>
      <c r="Q15" s="8">
        <f t="shared" si="11"/>
        <v>3</v>
      </c>
      <c r="R15" s="8">
        <f t="shared" si="12"/>
        <v>80</v>
      </c>
      <c r="S15" s="57">
        <f>IFERROR(VLOOKUP(A15,'1-2-1 绩效数据'!$G:$I,3,0),"")</f>
        <v>95.765999999999991</v>
      </c>
      <c r="T15" s="8" t="str">
        <f t="shared" si="13"/>
        <v>1</v>
      </c>
      <c r="U15" s="8">
        <f t="shared" si="4"/>
        <v>36</v>
      </c>
      <c r="V15" s="8">
        <f t="shared" si="5"/>
        <v>31</v>
      </c>
      <c r="W15" s="58">
        <f t="shared" si="14"/>
        <v>0.86111111111111116</v>
      </c>
      <c r="X15" s="8">
        <f t="shared" si="15"/>
        <v>4</v>
      </c>
      <c r="Y15" s="8">
        <f t="shared" si="16"/>
        <v>70</v>
      </c>
      <c r="Z15" s="57">
        <f t="shared" si="17"/>
        <v>76.666666666666671</v>
      </c>
    </row>
    <row r="16" spans="1:26" x14ac:dyDescent="0.3">
      <c r="A16" s="8" t="s">
        <v>898</v>
      </c>
      <c r="B16" s="70" t="str">
        <f>IFERROR(VLOOKUP('1-2-2 关键绩效'!$A16,'1-1 基本信息'!$A:$K,7,0),"")</f>
        <v>纪委监督部主任、纪委副书记、党支部书记</v>
      </c>
      <c r="C16" s="8" t="str">
        <f>IFERROR(VLOOKUP($A16,'1-1 基本信息'!$A:$J,10,0),"")</f>
        <v>管理机关</v>
      </c>
      <c r="D16" s="8" t="str">
        <f>IFERROR(VLOOKUP(A16,'1-1 基本信息'!$A:$I,8,0),"")</f>
        <v>中层正职</v>
      </c>
      <c r="E16" s="57">
        <f>IFERROR(VLOOKUP($A16,'1-2-1 绩效数据'!$A:$C,3,0),"")</f>
        <v>94.860000000000014</v>
      </c>
      <c r="F16" s="8" t="str">
        <f t="shared" si="6"/>
        <v>1</v>
      </c>
      <c r="G16" s="8">
        <f t="shared" si="0"/>
        <v>30</v>
      </c>
      <c r="H16" s="8">
        <f t="shared" si="1"/>
        <v>28</v>
      </c>
      <c r="I16" s="58">
        <f t="shared" si="7"/>
        <v>0.93333333333333335</v>
      </c>
      <c r="J16" s="8">
        <f t="shared" si="8"/>
        <v>5</v>
      </c>
      <c r="K16" s="8">
        <f t="shared" si="9"/>
        <v>60</v>
      </c>
      <c r="L16" s="57">
        <f>IFERROR(VLOOKUP($A16,'1-2-1 绩效数据'!$D:$F,3,0),"")</f>
        <v>96.449999999999989</v>
      </c>
      <c r="M16" s="8" t="str">
        <f t="shared" si="18"/>
        <v>1</v>
      </c>
      <c r="N16" s="8">
        <f t="shared" si="2"/>
        <v>37</v>
      </c>
      <c r="O16" s="8">
        <f t="shared" si="3"/>
        <v>16</v>
      </c>
      <c r="P16" s="58">
        <f t="shared" si="10"/>
        <v>0.43243243243243246</v>
      </c>
      <c r="Q16" s="8">
        <f t="shared" si="11"/>
        <v>3</v>
      </c>
      <c r="R16" s="8">
        <f t="shared" si="12"/>
        <v>80</v>
      </c>
      <c r="S16" s="57">
        <f>IFERROR(VLOOKUP(A16,'1-2-1 绩效数据'!$G:$I,3,0),"")</f>
        <v>97.811999999999983</v>
      </c>
      <c r="T16" s="8" t="str">
        <f t="shared" si="13"/>
        <v>1</v>
      </c>
      <c r="U16" s="8">
        <f t="shared" si="4"/>
        <v>36</v>
      </c>
      <c r="V16" s="8">
        <f t="shared" si="5"/>
        <v>27</v>
      </c>
      <c r="W16" s="58">
        <f t="shared" si="14"/>
        <v>0.75</v>
      </c>
      <c r="X16" s="8">
        <f t="shared" si="15"/>
        <v>3</v>
      </c>
      <c r="Y16" s="8">
        <f t="shared" si="16"/>
        <v>80</v>
      </c>
      <c r="Z16" s="57">
        <f t="shared" si="17"/>
        <v>73.333333333333329</v>
      </c>
    </row>
    <row r="17" spans="1:26" x14ac:dyDescent="0.3">
      <c r="A17" s="8" t="s">
        <v>100</v>
      </c>
      <c r="B17" s="70" t="str">
        <f>IFERROR(VLOOKUP('1-2-2 关键绩效'!$A17,'1-1 基本信息'!$A:$K,7,0),"")</f>
        <v>纪委监督部副主任、纪委纪检员（按中层副职管理），内蒙古华胜能源有限公司监事</v>
      </c>
      <c r="C17" s="8" t="str">
        <f>IFERROR(VLOOKUP($A17,'1-1 基本信息'!$A:$J,10,0),"")</f>
        <v>管理机关</v>
      </c>
      <c r="D17" s="8" t="str">
        <f>IFERROR(VLOOKUP(A17,'1-1 基本信息'!$A:$I,8,0),"")</f>
        <v>中层副职</v>
      </c>
      <c r="E17" s="57" t="str">
        <f>IFERROR(VLOOKUP($A17,'1-2-1 绩效数据'!$A:$C,3,0),"")</f>
        <v/>
      </c>
      <c r="F17" s="8" t="str">
        <f t="shared" si="6"/>
        <v>2</v>
      </c>
      <c r="G17" s="8" t="str">
        <f t="shared" si="0"/>
        <v/>
      </c>
      <c r="H17" s="8" t="str">
        <f t="shared" si="1"/>
        <v/>
      </c>
      <c r="I17" s="58" t="str">
        <f t="shared" si="7"/>
        <v/>
      </c>
      <c r="J17" s="8" t="str">
        <f t="shared" si="8"/>
        <v/>
      </c>
      <c r="K17" s="8" t="str">
        <f t="shared" si="9"/>
        <v/>
      </c>
      <c r="L17" s="57">
        <f>IFERROR(VLOOKUP($A17,'1-2-1 绩效数据'!$D:$F,3,0),"")</f>
        <v>94.759999999999991</v>
      </c>
      <c r="M17" s="8" t="str">
        <f t="shared" si="18"/>
        <v>1</v>
      </c>
      <c r="N17" s="8">
        <f t="shared" si="2"/>
        <v>37</v>
      </c>
      <c r="O17" s="8">
        <f t="shared" si="3"/>
        <v>33</v>
      </c>
      <c r="P17" s="58">
        <f t="shared" si="10"/>
        <v>0.89189189189189189</v>
      </c>
      <c r="Q17" s="8">
        <f t="shared" si="11"/>
        <v>4</v>
      </c>
      <c r="R17" s="8">
        <f t="shared" si="12"/>
        <v>70</v>
      </c>
      <c r="S17" s="57" t="str">
        <f>IFERROR(VLOOKUP(A17,'1-2-1 绩效数据'!$G:$I,3,0),"")</f>
        <v/>
      </c>
      <c r="T17" s="8" t="str">
        <f t="shared" si="13"/>
        <v>2</v>
      </c>
      <c r="U17" s="8" t="str">
        <f t="shared" si="4"/>
        <v/>
      </c>
      <c r="V17" s="8" t="str">
        <f t="shared" si="5"/>
        <v/>
      </c>
      <c r="W17" s="58" t="str">
        <f t="shared" si="14"/>
        <v/>
      </c>
      <c r="X17" s="8" t="str">
        <f t="shared" si="15"/>
        <v/>
      </c>
      <c r="Y17" s="8" t="str">
        <f t="shared" si="16"/>
        <v/>
      </c>
      <c r="Z17" s="57">
        <f t="shared" si="17"/>
        <v>70</v>
      </c>
    </row>
    <row r="18" spans="1:26" x14ac:dyDescent="0.3">
      <c r="A18" s="8" t="s">
        <v>47</v>
      </c>
      <c r="B18" s="70" t="str">
        <f>IFERROR(VLOOKUP('1-2-2 关键绩效'!$A18,'1-1 基本信息'!$A:$K,7,0),"")</f>
        <v>华北石油局有限公司工会副主席、党支部书记</v>
      </c>
      <c r="C18" s="8" t="str">
        <f>IFERROR(VLOOKUP($A18,'1-1 基本信息'!$A:$J,10,0),"")</f>
        <v>管理机关</v>
      </c>
      <c r="D18" s="8" t="str">
        <f>IFERROR(VLOOKUP(A18,'1-1 基本信息'!$A:$I,8,0),"")</f>
        <v>中层正职</v>
      </c>
      <c r="E18" s="57">
        <f>IFERROR(VLOOKUP($A18,'1-2-1 绩效数据'!$A:$C,3,0),"")</f>
        <v>98.47</v>
      </c>
      <c r="F18" s="8" t="str">
        <f t="shared" si="6"/>
        <v>1</v>
      </c>
      <c r="G18" s="8">
        <f t="shared" si="0"/>
        <v>30</v>
      </c>
      <c r="H18" s="8">
        <f t="shared" si="1"/>
        <v>3</v>
      </c>
      <c r="I18" s="58">
        <f t="shared" si="7"/>
        <v>0.1</v>
      </c>
      <c r="J18" s="8">
        <f t="shared" si="8"/>
        <v>1</v>
      </c>
      <c r="K18" s="8">
        <f t="shared" si="9"/>
        <v>100</v>
      </c>
      <c r="L18" s="57">
        <f>IFERROR(VLOOKUP($A18,'1-2-1 绩效数据'!$D:$F,3,0),"")</f>
        <v>99.22</v>
      </c>
      <c r="M18" s="8" t="str">
        <f t="shared" si="18"/>
        <v>1</v>
      </c>
      <c r="N18" s="8">
        <f t="shared" si="2"/>
        <v>37</v>
      </c>
      <c r="O18" s="8">
        <f t="shared" si="3"/>
        <v>3</v>
      </c>
      <c r="P18" s="58">
        <f t="shared" si="10"/>
        <v>8.1081081081081086E-2</v>
      </c>
      <c r="Q18" s="8">
        <f t="shared" si="11"/>
        <v>1</v>
      </c>
      <c r="R18" s="8">
        <f t="shared" si="12"/>
        <v>100</v>
      </c>
      <c r="S18" s="57">
        <f>IFERROR(VLOOKUP(A18,'1-2-1 绩效数据'!$G:$I,3,0),"")</f>
        <v>98.298000000000002</v>
      </c>
      <c r="T18" s="8" t="str">
        <f t="shared" si="13"/>
        <v>1</v>
      </c>
      <c r="U18" s="8">
        <f t="shared" si="4"/>
        <v>36</v>
      </c>
      <c r="V18" s="8">
        <f t="shared" si="5"/>
        <v>24</v>
      </c>
      <c r="W18" s="58">
        <f t="shared" si="14"/>
        <v>0.66666666666666663</v>
      </c>
      <c r="X18" s="8">
        <f t="shared" si="15"/>
        <v>3</v>
      </c>
      <c r="Y18" s="8">
        <f t="shared" si="16"/>
        <v>80</v>
      </c>
      <c r="Z18" s="57">
        <f t="shared" si="17"/>
        <v>93.333333333333329</v>
      </c>
    </row>
    <row r="19" spans="1:26" x14ac:dyDescent="0.3">
      <c r="A19" s="8" t="s">
        <v>76</v>
      </c>
      <c r="B19" s="70" t="str">
        <f>IFERROR(VLOOKUP('1-2-2 关键绩效'!$A19,'1-1 基本信息'!$A:$K,7,0),"")</f>
        <v>油气勘探管理部经理、党支部书记</v>
      </c>
      <c r="C19" s="8" t="str">
        <f>IFERROR(VLOOKUP($A19,'1-1 基本信息'!$A:$J,10,0),"")</f>
        <v>管理机关</v>
      </c>
      <c r="D19" s="8" t="str">
        <f>IFERROR(VLOOKUP(A19,'1-1 基本信息'!$A:$I,8,0),"")</f>
        <v>中层正职</v>
      </c>
      <c r="E19" s="57">
        <f>IFERROR(VLOOKUP($A19,'1-2-1 绩效数据'!$A:$C,3,0),"")</f>
        <v>95.71</v>
      </c>
      <c r="F19" s="8" t="str">
        <f t="shared" si="6"/>
        <v>1</v>
      </c>
      <c r="G19" s="8">
        <f t="shared" si="0"/>
        <v>30</v>
      </c>
      <c r="H19" s="8">
        <f t="shared" si="1"/>
        <v>16</v>
      </c>
      <c r="I19" s="58">
        <f t="shared" si="7"/>
        <v>0.53333333333333333</v>
      </c>
      <c r="J19" s="8">
        <f t="shared" si="8"/>
        <v>3</v>
      </c>
      <c r="K19" s="8">
        <f t="shared" si="9"/>
        <v>80</v>
      </c>
      <c r="L19" s="57">
        <f>IFERROR(VLOOKUP($A19,'1-2-1 绩效数据'!$D:$F,3,0),"")</f>
        <v>95.5</v>
      </c>
      <c r="M19" s="8" t="str">
        <f t="shared" si="18"/>
        <v>1</v>
      </c>
      <c r="N19" s="8">
        <f t="shared" si="2"/>
        <v>37</v>
      </c>
      <c r="O19" s="8">
        <f t="shared" si="3"/>
        <v>29</v>
      </c>
      <c r="P19" s="58">
        <f t="shared" si="10"/>
        <v>0.78378378378378377</v>
      </c>
      <c r="Q19" s="8">
        <f t="shared" si="11"/>
        <v>3</v>
      </c>
      <c r="R19" s="8">
        <f t="shared" si="12"/>
        <v>80</v>
      </c>
      <c r="S19" s="57">
        <f>IFERROR(VLOOKUP(A19,'1-2-1 绩效数据'!$G:$I,3,0),"")</f>
        <v>98.792000000000002</v>
      </c>
      <c r="T19" s="8" t="str">
        <f t="shared" si="13"/>
        <v>1</v>
      </c>
      <c r="U19" s="8">
        <f t="shared" si="4"/>
        <v>36</v>
      </c>
      <c r="V19" s="8">
        <f t="shared" si="5"/>
        <v>18</v>
      </c>
      <c r="W19" s="58">
        <f t="shared" si="14"/>
        <v>0.5</v>
      </c>
      <c r="X19" s="8">
        <f t="shared" si="15"/>
        <v>3</v>
      </c>
      <c r="Y19" s="8">
        <f t="shared" si="16"/>
        <v>80</v>
      </c>
      <c r="Z19" s="57">
        <f t="shared" si="17"/>
        <v>80</v>
      </c>
    </row>
    <row r="20" spans="1:26" x14ac:dyDescent="0.3">
      <c r="A20" s="8" t="s">
        <v>125</v>
      </c>
      <c r="B20" s="70" t="str">
        <f>IFERROR(VLOOKUP('1-2-2 关键绩效'!$A20,'1-1 基本信息'!$A:$K,7,0),"")</f>
        <v>油气勘探管理部副经理</v>
      </c>
      <c r="C20" s="8" t="str">
        <f>IFERROR(VLOOKUP($A20,'1-1 基本信息'!$A:$J,10,0),"")</f>
        <v>管理机关</v>
      </c>
      <c r="D20" s="8" t="str">
        <f>IFERROR(VLOOKUP(A20,'1-1 基本信息'!$A:$I,8,0),"")</f>
        <v>中层副职</v>
      </c>
      <c r="E20" s="57" t="str">
        <f>IFERROR(VLOOKUP($A20,'1-2-1 绩效数据'!$A:$C,3,0),"")</f>
        <v/>
      </c>
      <c r="F20" s="8" t="str">
        <f t="shared" si="6"/>
        <v>2</v>
      </c>
      <c r="G20" s="8" t="str">
        <f t="shared" si="0"/>
        <v/>
      </c>
      <c r="H20" s="8" t="str">
        <f t="shared" si="1"/>
        <v/>
      </c>
      <c r="I20" s="58" t="str">
        <f t="shared" si="7"/>
        <v/>
      </c>
      <c r="J20" s="8" t="str">
        <f t="shared" si="8"/>
        <v/>
      </c>
      <c r="K20" s="8" t="str">
        <f t="shared" si="9"/>
        <v/>
      </c>
      <c r="L20" s="57">
        <f>IFERROR(VLOOKUP($A20,'1-2-1 绩效数据'!$D:$F,3,0),"")</f>
        <v>94.63</v>
      </c>
      <c r="M20" s="8" t="str">
        <f t="shared" si="18"/>
        <v>1</v>
      </c>
      <c r="N20" s="8">
        <f t="shared" si="2"/>
        <v>37</v>
      </c>
      <c r="O20" s="8">
        <f t="shared" si="3"/>
        <v>34</v>
      </c>
      <c r="P20" s="58">
        <f t="shared" si="10"/>
        <v>0.91891891891891897</v>
      </c>
      <c r="Q20" s="8">
        <f t="shared" si="11"/>
        <v>5</v>
      </c>
      <c r="R20" s="8">
        <f t="shared" si="12"/>
        <v>60</v>
      </c>
      <c r="S20" s="57">
        <f>IFERROR(VLOOKUP(A20,'1-2-1 绩效数据'!$G:$I,3,0),"")</f>
        <v>98.592000000000013</v>
      </c>
      <c r="T20" s="8" t="str">
        <f t="shared" si="13"/>
        <v>1</v>
      </c>
      <c r="U20" s="8">
        <f t="shared" si="4"/>
        <v>36</v>
      </c>
      <c r="V20" s="8">
        <f t="shared" si="5"/>
        <v>21</v>
      </c>
      <c r="W20" s="58">
        <f t="shared" si="14"/>
        <v>0.58333333333333337</v>
      </c>
      <c r="X20" s="8">
        <f t="shared" si="15"/>
        <v>3</v>
      </c>
      <c r="Y20" s="8">
        <f t="shared" si="16"/>
        <v>80</v>
      </c>
      <c r="Z20" s="57">
        <f t="shared" si="17"/>
        <v>70</v>
      </c>
    </row>
    <row r="21" spans="1:26" x14ac:dyDescent="0.3">
      <c r="A21" s="8" t="s">
        <v>94</v>
      </c>
      <c r="B21" s="70" t="str">
        <f>IFERROR(VLOOKUP('1-2-2 关键绩效'!$A21,'1-1 基本信息'!$A:$K,7,0),"")</f>
        <v>公司首席专家，油气开发管理部经理、党支部书记</v>
      </c>
      <c r="C21" s="8" t="str">
        <f>IFERROR(VLOOKUP($A21,'1-1 基本信息'!$A:$J,10,0),"")</f>
        <v>管理机关</v>
      </c>
      <c r="D21" s="8" t="str">
        <f>IFERROR(VLOOKUP(A21,'1-1 基本信息'!$A:$I,8,0),"")</f>
        <v>中层正职</v>
      </c>
      <c r="E21" s="57">
        <f>IFERROR(VLOOKUP($A21,'1-2-1 绩效数据'!$A:$C,3,0),"")</f>
        <v>99</v>
      </c>
      <c r="F21" s="8" t="str">
        <f t="shared" si="6"/>
        <v>1</v>
      </c>
      <c r="G21" s="8">
        <f t="shared" si="0"/>
        <v>30</v>
      </c>
      <c r="H21" s="8">
        <f t="shared" si="1"/>
        <v>1</v>
      </c>
      <c r="I21" s="58">
        <f t="shared" si="7"/>
        <v>3.3333333333333333E-2</v>
      </c>
      <c r="J21" s="8">
        <f t="shared" si="8"/>
        <v>1</v>
      </c>
      <c r="K21" s="8">
        <f t="shared" si="9"/>
        <v>100</v>
      </c>
      <c r="L21" s="57">
        <f>IFERROR(VLOOKUP($A21,'1-2-1 绩效数据'!$D:$F,3,0),"")</f>
        <v>99.14</v>
      </c>
      <c r="M21" s="8" t="str">
        <f t="shared" si="18"/>
        <v>1</v>
      </c>
      <c r="N21" s="8">
        <f t="shared" si="2"/>
        <v>37</v>
      </c>
      <c r="O21" s="8">
        <f t="shared" si="3"/>
        <v>4</v>
      </c>
      <c r="P21" s="58">
        <f t="shared" si="10"/>
        <v>0.10810810810810811</v>
      </c>
      <c r="Q21" s="8">
        <f t="shared" si="11"/>
        <v>2</v>
      </c>
      <c r="R21" s="8">
        <f t="shared" si="12"/>
        <v>90</v>
      </c>
      <c r="S21" s="57">
        <f>IFERROR(VLOOKUP(A21,'1-2-1 绩效数据'!$G:$I,3,0),"")</f>
        <v>99.863799999999998</v>
      </c>
      <c r="T21" s="8" t="str">
        <f t="shared" si="13"/>
        <v>1</v>
      </c>
      <c r="U21" s="8">
        <f t="shared" si="4"/>
        <v>36</v>
      </c>
      <c r="V21" s="8">
        <f t="shared" si="5"/>
        <v>6</v>
      </c>
      <c r="W21" s="58">
        <f t="shared" si="14"/>
        <v>0.16666666666666666</v>
      </c>
      <c r="X21" s="8">
        <f t="shared" si="15"/>
        <v>2</v>
      </c>
      <c r="Y21" s="8">
        <f t="shared" si="16"/>
        <v>90</v>
      </c>
      <c r="Z21" s="57">
        <f t="shared" si="17"/>
        <v>93.333333333333329</v>
      </c>
    </row>
    <row r="22" spans="1:26" x14ac:dyDescent="0.3">
      <c r="A22" s="8" t="s">
        <v>138</v>
      </c>
      <c r="B22" s="70" t="str">
        <f>IFERROR(VLOOKUP('1-2-2 关键绩效'!$A22,'1-1 基本信息'!$A:$K,7,0),"")</f>
        <v>油气开发管理部副经理</v>
      </c>
      <c r="C22" s="8" t="str">
        <f>IFERROR(VLOOKUP($A22,'1-1 基本信息'!$A:$J,10,0),"")</f>
        <v>管理机关</v>
      </c>
      <c r="D22" s="8" t="str">
        <f>IFERROR(VLOOKUP(A22,'1-1 基本信息'!$A:$I,8,0),"")</f>
        <v>中层副职</v>
      </c>
      <c r="E22" s="57">
        <f>IFERROR(VLOOKUP($A22,'1-2-1 绩效数据'!$A:$C,3,0),"")</f>
        <v>95.65</v>
      </c>
      <c r="F22" s="8" t="str">
        <f t="shared" si="6"/>
        <v>1</v>
      </c>
      <c r="G22" s="8">
        <f t="shared" si="0"/>
        <v>30</v>
      </c>
      <c r="H22" s="8">
        <f t="shared" si="1"/>
        <v>17</v>
      </c>
      <c r="I22" s="58">
        <f t="shared" si="7"/>
        <v>0.56666666666666665</v>
      </c>
      <c r="J22" s="8">
        <f t="shared" si="8"/>
        <v>3</v>
      </c>
      <c r="K22" s="8">
        <f t="shared" si="9"/>
        <v>80</v>
      </c>
      <c r="L22" s="57">
        <f>IFERROR(VLOOKUP($A22,'1-2-1 绩效数据'!$D:$F,3,0),"")</f>
        <v>96.12</v>
      </c>
      <c r="M22" s="8" t="str">
        <f t="shared" si="18"/>
        <v>1</v>
      </c>
      <c r="N22" s="8">
        <f t="shared" si="2"/>
        <v>37</v>
      </c>
      <c r="O22" s="8">
        <f t="shared" si="3"/>
        <v>21</v>
      </c>
      <c r="P22" s="58">
        <f t="shared" si="10"/>
        <v>0.56756756756756754</v>
      </c>
      <c r="Q22" s="8">
        <f t="shared" si="11"/>
        <v>3</v>
      </c>
      <c r="R22" s="8">
        <f t="shared" si="12"/>
        <v>80</v>
      </c>
      <c r="S22" s="57">
        <f>IFERROR(VLOOKUP(A22,'1-2-1 绩效数据'!$G:$I,3,0),"")</f>
        <v>99.323999999999998</v>
      </c>
      <c r="T22" s="8" t="str">
        <f t="shared" si="13"/>
        <v>1</v>
      </c>
      <c r="U22" s="8">
        <f t="shared" si="4"/>
        <v>36</v>
      </c>
      <c r="V22" s="8">
        <f t="shared" si="5"/>
        <v>12</v>
      </c>
      <c r="W22" s="58">
        <f t="shared" si="14"/>
        <v>0.33333333333333331</v>
      </c>
      <c r="X22" s="8">
        <f t="shared" si="15"/>
        <v>3</v>
      </c>
      <c r="Y22" s="8">
        <f t="shared" si="16"/>
        <v>80</v>
      </c>
      <c r="Z22" s="57">
        <f t="shared" si="17"/>
        <v>80</v>
      </c>
    </row>
    <row r="23" spans="1:26" x14ac:dyDescent="0.3">
      <c r="A23" s="8" t="s">
        <v>117</v>
      </c>
      <c r="B23" s="70" t="str">
        <f>IFERROR(VLOOKUP('1-2-2 关键绩效'!$A23,'1-1 基本信息'!$A:$K,7,0),"")</f>
        <v>油气开发管理部副经理</v>
      </c>
      <c r="C23" s="8" t="str">
        <f>IFERROR(VLOOKUP($A23,'1-1 基本信息'!$A:$J,10,0),"")</f>
        <v>管理机关</v>
      </c>
      <c r="D23" s="8" t="str">
        <f>IFERROR(VLOOKUP(A23,'1-1 基本信息'!$A:$I,8,0),"")</f>
        <v>中层副职</v>
      </c>
      <c r="E23" s="57">
        <f>IFERROR(VLOOKUP($A23,'1-2-1 绩效数据'!$A:$C,3,0),"")</f>
        <v>97.42</v>
      </c>
      <c r="F23" s="8" t="str">
        <f t="shared" si="6"/>
        <v>1</v>
      </c>
      <c r="G23" s="8">
        <f t="shared" si="0"/>
        <v>30</v>
      </c>
      <c r="H23" s="8">
        <f t="shared" si="1"/>
        <v>6</v>
      </c>
      <c r="I23" s="58">
        <f t="shared" si="7"/>
        <v>0.2</v>
      </c>
      <c r="J23" s="8">
        <f t="shared" si="8"/>
        <v>2</v>
      </c>
      <c r="K23" s="8">
        <f t="shared" si="9"/>
        <v>90</v>
      </c>
      <c r="L23" s="57">
        <f>IFERROR(VLOOKUP($A23,'1-2-1 绩效数据'!$D:$F,3,0),"")</f>
        <v>96.16</v>
      </c>
      <c r="M23" s="8" t="str">
        <f t="shared" si="18"/>
        <v>1</v>
      </c>
      <c r="N23" s="8">
        <f t="shared" si="2"/>
        <v>37</v>
      </c>
      <c r="O23" s="8">
        <f t="shared" si="3"/>
        <v>20</v>
      </c>
      <c r="P23" s="58">
        <f t="shared" si="10"/>
        <v>0.54054054054054057</v>
      </c>
      <c r="Q23" s="8">
        <f t="shared" si="11"/>
        <v>3</v>
      </c>
      <c r="R23" s="8">
        <f t="shared" si="12"/>
        <v>80</v>
      </c>
      <c r="S23" s="57">
        <f>IFERROR(VLOOKUP(A23,'1-2-1 绩效数据'!$G:$I,3,0),"")</f>
        <v>97.081999999999994</v>
      </c>
      <c r="T23" s="8" t="str">
        <f t="shared" si="13"/>
        <v>1</v>
      </c>
      <c r="U23" s="8">
        <f t="shared" si="4"/>
        <v>36</v>
      </c>
      <c r="V23" s="8">
        <f t="shared" si="5"/>
        <v>28</v>
      </c>
      <c r="W23" s="58">
        <f t="shared" si="14"/>
        <v>0.77777777777777779</v>
      </c>
      <c r="X23" s="8">
        <f t="shared" si="15"/>
        <v>3</v>
      </c>
      <c r="Y23" s="8">
        <f t="shared" si="16"/>
        <v>80</v>
      </c>
      <c r="Z23" s="57">
        <f t="shared" si="17"/>
        <v>83.333333333333329</v>
      </c>
    </row>
    <row r="24" spans="1:26" x14ac:dyDescent="0.3">
      <c r="A24" s="8" t="s">
        <v>118</v>
      </c>
      <c r="B24" s="70" t="str">
        <f>IFERROR(VLOOKUP('1-2-2 关键绩效'!$A24,'1-1 基本信息'!$A:$K,7,0),"")</f>
        <v>工程技术管理部经理、党支部书记</v>
      </c>
      <c r="C24" s="8" t="str">
        <f>IFERROR(VLOOKUP($A24,'1-1 基本信息'!$A:$J,10,0),"")</f>
        <v>管理机关</v>
      </c>
      <c r="D24" s="8" t="str">
        <f>IFERROR(VLOOKUP(A24,'1-1 基本信息'!$A:$I,8,0),"")</f>
        <v>中层正职</v>
      </c>
      <c r="E24" s="57">
        <f>IFERROR(VLOOKUP($A24,'1-2-1 绩效数据'!$A:$C,3,0),"")</f>
        <v>96.78</v>
      </c>
      <c r="F24" s="8" t="str">
        <f t="shared" si="6"/>
        <v>1</v>
      </c>
      <c r="G24" s="8">
        <f t="shared" si="0"/>
        <v>30</v>
      </c>
      <c r="H24" s="8">
        <f t="shared" si="1"/>
        <v>9</v>
      </c>
      <c r="I24" s="58">
        <f t="shared" si="7"/>
        <v>0.3</v>
      </c>
      <c r="J24" s="8">
        <f t="shared" si="8"/>
        <v>3</v>
      </c>
      <c r="K24" s="8">
        <f t="shared" si="9"/>
        <v>80</v>
      </c>
      <c r="L24" s="57">
        <f>IFERROR(VLOOKUP($A24,'1-2-1 绩效数据'!$D:$F,3,0),"")</f>
        <v>97.050000000000011</v>
      </c>
      <c r="M24" s="8" t="str">
        <f t="shared" si="18"/>
        <v>1</v>
      </c>
      <c r="N24" s="8">
        <f t="shared" si="2"/>
        <v>37</v>
      </c>
      <c r="O24" s="8">
        <f t="shared" si="3"/>
        <v>11</v>
      </c>
      <c r="P24" s="58">
        <f t="shared" si="10"/>
        <v>0.29729729729729731</v>
      </c>
      <c r="Q24" s="8">
        <f t="shared" si="11"/>
        <v>3</v>
      </c>
      <c r="R24" s="8">
        <f t="shared" si="12"/>
        <v>80</v>
      </c>
      <c r="S24" s="57">
        <f>IFERROR(VLOOKUP(A24,'1-2-1 绩效数据'!$G:$I,3,0),"")</f>
        <v>99.382000000000005</v>
      </c>
      <c r="T24" s="8" t="str">
        <f t="shared" si="13"/>
        <v>1</v>
      </c>
      <c r="U24" s="8">
        <f t="shared" si="4"/>
        <v>36</v>
      </c>
      <c r="V24" s="8">
        <f t="shared" si="5"/>
        <v>11</v>
      </c>
      <c r="W24" s="58">
        <f t="shared" si="14"/>
        <v>0.30555555555555558</v>
      </c>
      <c r="X24" s="8">
        <f t="shared" si="15"/>
        <v>3</v>
      </c>
      <c r="Y24" s="8">
        <f t="shared" si="16"/>
        <v>80</v>
      </c>
      <c r="Z24" s="57">
        <f t="shared" si="17"/>
        <v>80</v>
      </c>
    </row>
    <row r="25" spans="1:26" x14ac:dyDescent="0.3">
      <c r="A25" s="8" t="s">
        <v>466</v>
      </c>
      <c r="B25" s="70" t="str">
        <f>IFERROR(VLOOKUP('1-2-2 关键绩效'!$A25,'1-1 基本信息'!$A:$K,7,0),"")</f>
        <v>工程技术管理部副经理</v>
      </c>
      <c r="C25" s="8" t="str">
        <f>IFERROR(VLOOKUP($A25,'1-1 基本信息'!$A:$J,10,0),"")</f>
        <v>管理机关</v>
      </c>
      <c r="D25" s="8" t="str">
        <f>IFERROR(VLOOKUP(A25,'1-1 基本信息'!$A:$I,8,0),"")</f>
        <v>中层副职</v>
      </c>
      <c r="E25" s="57" t="str">
        <f>IFERROR(VLOOKUP($A25,'1-2-1 绩效数据'!$A:$C,3,0),"")</f>
        <v/>
      </c>
      <c r="F25" s="8" t="str">
        <f t="shared" si="6"/>
        <v>2</v>
      </c>
      <c r="G25" s="8" t="str">
        <f t="shared" si="0"/>
        <v/>
      </c>
      <c r="H25" s="8" t="str">
        <f t="shared" si="1"/>
        <v/>
      </c>
      <c r="I25" s="58" t="str">
        <f t="shared" si="7"/>
        <v/>
      </c>
      <c r="J25" s="8" t="str">
        <f t="shared" si="8"/>
        <v/>
      </c>
      <c r="K25" s="8" t="str">
        <f t="shared" si="9"/>
        <v/>
      </c>
      <c r="L25" s="57" t="str">
        <f>IFERROR(VLOOKUP($A25,'1-2-1 绩效数据'!$D:$F,3,0),"")</f>
        <v/>
      </c>
      <c r="M25" s="8" t="str">
        <f t="shared" si="18"/>
        <v>2</v>
      </c>
      <c r="N25" s="8" t="str">
        <f t="shared" si="2"/>
        <v/>
      </c>
      <c r="O25" s="8" t="str">
        <f t="shared" si="3"/>
        <v/>
      </c>
      <c r="P25" s="58" t="str">
        <f t="shared" si="10"/>
        <v/>
      </c>
      <c r="Q25" s="8" t="str">
        <f t="shared" si="11"/>
        <v/>
      </c>
      <c r="R25" s="8" t="str">
        <f t="shared" si="12"/>
        <v/>
      </c>
      <c r="S25" s="57" t="str">
        <f>IFERROR(VLOOKUP(A25,'1-2-1 绩效数据'!$G:$I,3,0),"")</f>
        <v/>
      </c>
      <c r="T25" s="8" t="str">
        <f t="shared" si="13"/>
        <v>2</v>
      </c>
      <c r="U25" s="8" t="str">
        <f t="shared" si="4"/>
        <v/>
      </c>
      <c r="V25" s="8" t="str">
        <f t="shared" si="5"/>
        <v/>
      </c>
      <c r="W25" s="58" t="str">
        <f t="shared" si="14"/>
        <v/>
      </c>
      <c r="X25" s="8" t="str">
        <f t="shared" si="15"/>
        <v/>
      </c>
      <c r="Y25" s="8" t="str">
        <f t="shared" si="16"/>
        <v/>
      </c>
      <c r="Z25" s="57" t="str">
        <f t="shared" si="17"/>
        <v/>
      </c>
    </row>
    <row r="26" spans="1:26" x14ac:dyDescent="0.3">
      <c r="A26" s="8" t="s">
        <v>61</v>
      </c>
      <c r="B26" s="70" t="str">
        <f>IFERROR(VLOOKUP('1-2-2 关键绩效'!$A26,'1-1 基本信息'!$A:$K,7,0),"")</f>
        <v>生产运行管理部副经理</v>
      </c>
      <c r="C26" s="8" t="str">
        <f>IFERROR(VLOOKUP($A26,'1-1 基本信息'!$A:$J,10,0),"")</f>
        <v>管理机关</v>
      </c>
      <c r="D26" s="8" t="str">
        <f>IFERROR(VLOOKUP(A26,'1-1 基本信息'!$A:$I,8,0),"")</f>
        <v>中层副职</v>
      </c>
      <c r="E26" s="57">
        <f>IFERROR(VLOOKUP($A26,'1-2-1 绩效数据'!$A:$C,3,0),"")</f>
        <v>95.54</v>
      </c>
      <c r="F26" s="8" t="str">
        <f t="shared" si="6"/>
        <v>1</v>
      </c>
      <c r="G26" s="8">
        <f t="shared" si="0"/>
        <v>30</v>
      </c>
      <c r="H26" s="8">
        <f t="shared" si="1"/>
        <v>19</v>
      </c>
      <c r="I26" s="58">
        <f t="shared" si="7"/>
        <v>0.6333333333333333</v>
      </c>
      <c r="J26" s="8">
        <f t="shared" si="8"/>
        <v>3</v>
      </c>
      <c r="K26" s="8">
        <f t="shared" si="9"/>
        <v>80</v>
      </c>
      <c r="L26" s="57">
        <f>IFERROR(VLOOKUP($A26,'1-2-1 绩效数据'!$D:$F,3,0),"")</f>
        <v>96.94</v>
      </c>
      <c r="M26" s="8" t="str">
        <f t="shared" si="18"/>
        <v>1</v>
      </c>
      <c r="N26" s="8">
        <f t="shared" si="2"/>
        <v>37</v>
      </c>
      <c r="O26" s="8">
        <f t="shared" si="3"/>
        <v>13</v>
      </c>
      <c r="P26" s="58">
        <f t="shared" si="10"/>
        <v>0.35135135135135137</v>
      </c>
      <c r="Q26" s="8">
        <f t="shared" si="11"/>
        <v>3</v>
      </c>
      <c r="R26" s="8">
        <f t="shared" si="12"/>
        <v>80</v>
      </c>
      <c r="S26" s="57">
        <f>IFERROR(VLOOKUP(A26,'1-2-1 绩效数据'!$G:$I,3,0),"")</f>
        <v>101.22800000000001</v>
      </c>
      <c r="T26" s="8" t="str">
        <f t="shared" si="13"/>
        <v>1</v>
      </c>
      <c r="U26" s="8">
        <f t="shared" si="4"/>
        <v>36</v>
      </c>
      <c r="V26" s="8">
        <f t="shared" si="5"/>
        <v>2</v>
      </c>
      <c r="W26" s="58">
        <f t="shared" si="14"/>
        <v>5.5555555555555552E-2</v>
      </c>
      <c r="X26" s="8">
        <f t="shared" si="15"/>
        <v>1</v>
      </c>
      <c r="Y26" s="8">
        <f t="shared" si="16"/>
        <v>100</v>
      </c>
      <c r="Z26" s="57">
        <f t="shared" si="17"/>
        <v>86.666666666666671</v>
      </c>
    </row>
    <row r="27" spans="1:26" x14ac:dyDescent="0.3">
      <c r="A27" s="8" t="s">
        <v>49</v>
      </c>
      <c r="B27" s="70" t="str">
        <f>IFERROR(VLOOKUP('1-2-2 关键绩效'!$A27,'1-1 基本信息'!$A:$K,7,0),"")</f>
        <v>生产运行管理部副经理</v>
      </c>
      <c r="C27" s="8" t="str">
        <f>IFERROR(VLOOKUP($A27,'1-1 基本信息'!$A:$J,10,0),"")</f>
        <v>管理机关</v>
      </c>
      <c r="D27" s="8" t="str">
        <f>IFERROR(VLOOKUP(A27,'1-1 基本信息'!$A:$I,8,0),"")</f>
        <v>中层副职</v>
      </c>
      <c r="E27" s="57">
        <f>IFERROR(VLOOKUP($A27,'1-2-1 绩效数据'!$A:$C,3,0),"")</f>
        <v>97.95</v>
      </c>
      <c r="F27" s="8" t="str">
        <f t="shared" si="6"/>
        <v>1</v>
      </c>
      <c r="G27" s="8">
        <f t="shared" si="0"/>
        <v>30</v>
      </c>
      <c r="H27" s="8">
        <f t="shared" si="1"/>
        <v>4</v>
      </c>
      <c r="I27" s="58">
        <f t="shared" si="7"/>
        <v>0.13333333333333333</v>
      </c>
      <c r="J27" s="8">
        <f t="shared" si="8"/>
        <v>2</v>
      </c>
      <c r="K27" s="8">
        <f t="shared" si="9"/>
        <v>90</v>
      </c>
      <c r="L27" s="57">
        <f>IFERROR(VLOOKUP($A27,'1-2-1 绩效数据'!$D:$F,3,0),"")</f>
        <v>99.02</v>
      </c>
      <c r="M27" s="8" t="str">
        <f t="shared" si="18"/>
        <v>1</v>
      </c>
      <c r="N27" s="8">
        <f t="shared" si="2"/>
        <v>37</v>
      </c>
      <c r="O27" s="8">
        <f t="shared" si="3"/>
        <v>5</v>
      </c>
      <c r="P27" s="58">
        <f t="shared" si="10"/>
        <v>0.13513513513513514</v>
      </c>
      <c r="Q27" s="8">
        <f t="shared" si="11"/>
        <v>2</v>
      </c>
      <c r="R27" s="8">
        <f t="shared" si="12"/>
        <v>90</v>
      </c>
      <c r="S27" s="57">
        <f>IFERROR(VLOOKUP(A27,'1-2-1 绩效数据'!$G:$I,3,0),"")</f>
        <v>100.568</v>
      </c>
      <c r="T27" s="8" t="str">
        <f t="shared" si="13"/>
        <v>1</v>
      </c>
      <c r="U27" s="8">
        <f t="shared" si="4"/>
        <v>36</v>
      </c>
      <c r="V27" s="8">
        <f t="shared" si="5"/>
        <v>4</v>
      </c>
      <c r="W27" s="58">
        <f t="shared" si="14"/>
        <v>0.1111111111111111</v>
      </c>
      <c r="X27" s="8">
        <f t="shared" si="15"/>
        <v>2</v>
      </c>
      <c r="Y27" s="8">
        <f t="shared" si="16"/>
        <v>90</v>
      </c>
      <c r="Z27" s="57">
        <f t="shared" si="17"/>
        <v>90</v>
      </c>
    </row>
    <row r="28" spans="1:26" x14ac:dyDescent="0.3">
      <c r="A28" s="8" t="s">
        <v>116</v>
      </c>
      <c r="B28" s="70" t="str">
        <f>IFERROR(VLOOKUP('1-2-2 关键绩效'!$A28,'1-1 基本信息'!$A:$K,7,0),"")</f>
        <v>企管与法律部副经理</v>
      </c>
      <c r="C28" s="8" t="str">
        <f>IFERROR(VLOOKUP($A28,'1-1 基本信息'!$A:$J,10,0),"")</f>
        <v>管理机关</v>
      </c>
      <c r="D28" s="8" t="str">
        <f>IFERROR(VLOOKUP(A28,'1-1 基本信息'!$A:$I,8,0),"")</f>
        <v>中层副职</v>
      </c>
      <c r="E28" s="57" t="str">
        <f>IFERROR(VLOOKUP($A28,'1-2-1 绩效数据'!$A:$C,3,0),"")</f>
        <v/>
      </c>
      <c r="F28" s="8" t="str">
        <f t="shared" si="6"/>
        <v>2</v>
      </c>
      <c r="G28" s="8" t="str">
        <f t="shared" si="0"/>
        <v/>
      </c>
      <c r="H28" s="8" t="str">
        <f t="shared" si="1"/>
        <v/>
      </c>
      <c r="I28" s="58" t="str">
        <f t="shared" si="7"/>
        <v/>
      </c>
      <c r="J28" s="8" t="str">
        <f t="shared" si="8"/>
        <v/>
      </c>
      <c r="K28" s="8" t="str">
        <f t="shared" si="9"/>
        <v/>
      </c>
      <c r="L28" s="57">
        <f>IFERROR(VLOOKUP($A28,'1-2-1 绩效数据'!$D:$F,3,0),"")</f>
        <v>94.19</v>
      </c>
      <c r="M28" s="8" t="str">
        <f t="shared" si="18"/>
        <v>1</v>
      </c>
      <c r="N28" s="8">
        <f t="shared" si="2"/>
        <v>37</v>
      </c>
      <c r="O28" s="8">
        <f t="shared" si="3"/>
        <v>35</v>
      </c>
      <c r="P28" s="58">
        <f t="shared" si="10"/>
        <v>0.94594594594594594</v>
      </c>
      <c r="Q28" s="8">
        <f t="shared" si="11"/>
        <v>5</v>
      </c>
      <c r="R28" s="8">
        <f t="shared" si="12"/>
        <v>60</v>
      </c>
      <c r="S28" s="57">
        <f>IFERROR(VLOOKUP(A28,'1-2-1 绩效数据'!$G:$I,3,0),"")</f>
        <v>98.085999999999999</v>
      </c>
      <c r="T28" s="8" t="str">
        <f t="shared" si="13"/>
        <v>1</v>
      </c>
      <c r="U28" s="8">
        <f t="shared" si="4"/>
        <v>36</v>
      </c>
      <c r="V28" s="8">
        <f t="shared" si="5"/>
        <v>25</v>
      </c>
      <c r="W28" s="58">
        <f t="shared" si="14"/>
        <v>0.69444444444444442</v>
      </c>
      <c r="X28" s="8">
        <f t="shared" si="15"/>
        <v>3</v>
      </c>
      <c r="Y28" s="8">
        <f t="shared" si="16"/>
        <v>80</v>
      </c>
      <c r="Z28" s="57">
        <f t="shared" si="17"/>
        <v>70</v>
      </c>
    </row>
    <row r="29" spans="1:26" x14ac:dyDescent="0.3">
      <c r="A29" s="8" t="s">
        <v>132</v>
      </c>
      <c r="B29" s="70" t="str">
        <f>IFERROR(VLOOKUP('1-2-2 关键绩效'!$A29,'1-1 基本信息'!$A:$K,7,0),"")</f>
        <v>投资发展部经理、党支部书记</v>
      </c>
      <c r="C29" s="8" t="str">
        <f>IFERROR(VLOOKUP($A29,'1-1 基本信息'!$A:$J,10,0),"")</f>
        <v>管理机关</v>
      </c>
      <c r="D29" s="8" t="str">
        <f>IFERROR(VLOOKUP(A29,'1-1 基本信息'!$A:$I,8,0),"")</f>
        <v>中层正职</v>
      </c>
      <c r="E29" s="57">
        <f>IFERROR(VLOOKUP($A29,'1-2-1 绩效数据'!$A:$C,3,0),"")</f>
        <v>97.13</v>
      </c>
      <c r="F29" s="8" t="str">
        <f t="shared" si="6"/>
        <v>1</v>
      </c>
      <c r="G29" s="8">
        <f t="shared" si="0"/>
        <v>30</v>
      </c>
      <c r="H29" s="8">
        <f t="shared" si="1"/>
        <v>8</v>
      </c>
      <c r="I29" s="58">
        <f t="shared" si="7"/>
        <v>0.26666666666666666</v>
      </c>
      <c r="J29" s="8">
        <f t="shared" si="8"/>
        <v>3</v>
      </c>
      <c r="K29" s="8">
        <f t="shared" si="9"/>
        <v>80</v>
      </c>
      <c r="L29" s="57">
        <f>IFERROR(VLOOKUP($A29,'1-2-1 绩效数据'!$D:$F,3,0),"")</f>
        <v>96.84</v>
      </c>
      <c r="M29" s="8" t="str">
        <f t="shared" si="18"/>
        <v>1</v>
      </c>
      <c r="N29" s="8">
        <f t="shared" si="2"/>
        <v>37</v>
      </c>
      <c r="O29" s="8">
        <f t="shared" si="3"/>
        <v>14</v>
      </c>
      <c r="P29" s="58">
        <f t="shared" si="10"/>
        <v>0.3783783783783784</v>
      </c>
      <c r="Q29" s="8">
        <f t="shared" si="11"/>
        <v>3</v>
      </c>
      <c r="R29" s="8">
        <f t="shared" si="12"/>
        <v>80</v>
      </c>
      <c r="S29" s="57">
        <f>IFERROR(VLOOKUP(A29,'1-2-1 绩效数据'!$G:$I,3,0),"")</f>
        <v>99.542000000000002</v>
      </c>
      <c r="T29" s="8" t="str">
        <f t="shared" si="13"/>
        <v>1</v>
      </c>
      <c r="U29" s="8">
        <f t="shared" si="4"/>
        <v>36</v>
      </c>
      <c r="V29" s="8">
        <f t="shared" si="5"/>
        <v>9</v>
      </c>
      <c r="W29" s="58">
        <f t="shared" si="14"/>
        <v>0.25</v>
      </c>
      <c r="X29" s="8">
        <f t="shared" si="15"/>
        <v>3</v>
      </c>
      <c r="Y29" s="8">
        <f t="shared" si="16"/>
        <v>80</v>
      </c>
      <c r="Z29" s="57">
        <f t="shared" si="17"/>
        <v>80</v>
      </c>
    </row>
    <row r="30" spans="1:26" x14ac:dyDescent="0.3">
      <c r="A30" s="8" t="s">
        <v>90</v>
      </c>
      <c r="B30" s="70" t="str">
        <f>IFERROR(VLOOKUP('1-2-2 关键绩效'!$A30,'1-1 基本信息'!$A:$K,7,0),"")</f>
        <v>投资发展部副经理</v>
      </c>
      <c r="C30" s="8" t="str">
        <f>IFERROR(VLOOKUP($A30,'1-1 基本信息'!$A:$J,10,0),"")</f>
        <v>管理机关</v>
      </c>
      <c r="D30" s="8" t="str">
        <f>IFERROR(VLOOKUP(A30,'1-1 基本信息'!$A:$I,8,0),"")</f>
        <v>中层副职</v>
      </c>
      <c r="E30" s="57">
        <f>IFERROR(VLOOKUP($A30,'1-2-1 绩效数据'!$A:$C,3,0),"")</f>
        <v>95.91</v>
      </c>
      <c r="F30" s="8" t="str">
        <f t="shared" si="6"/>
        <v>1</v>
      </c>
      <c r="G30" s="8">
        <f t="shared" si="0"/>
        <v>30</v>
      </c>
      <c r="H30" s="8">
        <f t="shared" si="1"/>
        <v>15</v>
      </c>
      <c r="I30" s="58">
        <f t="shared" si="7"/>
        <v>0.5</v>
      </c>
      <c r="J30" s="8">
        <f t="shared" si="8"/>
        <v>3</v>
      </c>
      <c r="K30" s="8">
        <f t="shared" si="9"/>
        <v>80</v>
      </c>
      <c r="L30" s="57">
        <f>IFERROR(VLOOKUP($A30,'1-2-1 绩效数据'!$D:$F,3,0),"")</f>
        <v>95.990000000000009</v>
      </c>
      <c r="M30" s="8" t="str">
        <f t="shared" si="18"/>
        <v>1</v>
      </c>
      <c r="N30" s="8">
        <f t="shared" si="2"/>
        <v>37</v>
      </c>
      <c r="O30" s="8">
        <f t="shared" si="3"/>
        <v>22</v>
      </c>
      <c r="P30" s="58">
        <f t="shared" si="10"/>
        <v>0.59459459459459463</v>
      </c>
      <c r="Q30" s="8">
        <f t="shared" si="11"/>
        <v>3</v>
      </c>
      <c r="R30" s="8">
        <f t="shared" si="12"/>
        <v>80</v>
      </c>
      <c r="S30" s="57">
        <f>IFERROR(VLOOKUP(A30,'1-2-1 绩效数据'!$G:$I,3,0),"")</f>
        <v>99.277999999999992</v>
      </c>
      <c r="T30" s="8" t="str">
        <f t="shared" si="13"/>
        <v>1</v>
      </c>
      <c r="U30" s="8">
        <f t="shared" si="4"/>
        <v>36</v>
      </c>
      <c r="V30" s="8">
        <f t="shared" si="5"/>
        <v>13</v>
      </c>
      <c r="W30" s="58">
        <f t="shared" si="14"/>
        <v>0.3611111111111111</v>
      </c>
      <c r="X30" s="8">
        <f t="shared" si="15"/>
        <v>3</v>
      </c>
      <c r="Y30" s="8">
        <f t="shared" si="16"/>
        <v>80</v>
      </c>
      <c r="Z30" s="57">
        <f t="shared" si="17"/>
        <v>80</v>
      </c>
    </row>
    <row r="31" spans="1:26" x14ac:dyDescent="0.3">
      <c r="A31" s="8" t="s">
        <v>126</v>
      </c>
      <c r="B31" s="70" t="str">
        <f>IFERROR(VLOOKUP('1-2-2 关键绩效'!$A31,'1-1 基本信息'!$A:$K,7,0),"")</f>
        <v>财务资产部经理、党支部书记</v>
      </c>
      <c r="C31" s="8" t="str">
        <f>IFERROR(VLOOKUP($A31,'1-1 基本信息'!$A:$J,10,0),"")</f>
        <v>管理机关</v>
      </c>
      <c r="D31" s="8" t="str">
        <f>IFERROR(VLOOKUP(A31,'1-1 基本信息'!$A:$I,8,0),"")</f>
        <v>中层正职</v>
      </c>
      <c r="E31" s="57">
        <f>IFERROR(VLOOKUP($A31,'1-2-1 绩效数据'!$A:$C,3,0),"")</f>
        <v>95.54</v>
      </c>
      <c r="F31" s="8" t="str">
        <f t="shared" si="6"/>
        <v>1</v>
      </c>
      <c r="G31" s="8">
        <f t="shared" si="0"/>
        <v>30</v>
      </c>
      <c r="H31" s="8">
        <f t="shared" si="1"/>
        <v>19</v>
      </c>
      <c r="I31" s="58">
        <f t="shared" si="7"/>
        <v>0.6333333333333333</v>
      </c>
      <c r="J31" s="8">
        <f t="shared" si="8"/>
        <v>3</v>
      </c>
      <c r="K31" s="8">
        <f t="shared" si="9"/>
        <v>80</v>
      </c>
      <c r="L31" s="57">
        <f>IFERROR(VLOOKUP($A31,'1-2-1 绩效数据'!$D:$F,3,0),"")</f>
        <v>96.25</v>
      </c>
      <c r="M31" s="8" t="str">
        <f t="shared" si="18"/>
        <v>1</v>
      </c>
      <c r="N31" s="8">
        <f t="shared" si="2"/>
        <v>37</v>
      </c>
      <c r="O31" s="8">
        <f t="shared" si="3"/>
        <v>18</v>
      </c>
      <c r="P31" s="58">
        <f t="shared" si="10"/>
        <v>0.48648648648648651</v>
      </c>
      <c r="Q31" s="8">
        <f t="shared" si="11"/>
        <v>3</v>
      </c>
      <c r="R31" s="8">
        <f t="shared" si="12"/>
        <v>80</v>
      </c>
      <c r="S31" s="57">
        <f>IFERROR(VLOOKUP(A31,'1-2-1 绩效数据'!$G:$I,3,0),"")</f>
        <v>98.843999999999994</v>
      </c>
      <c r="T31" s="8" t="str">
        <f t="shared" si="13"/>
        <v>1</v>
      </c>
      <c r="U31" s="8">
        <f t="shared" si="4"/>
        <v>36</v>
      </c>
      <c r="V31" s="8">
        <f t="shared" si="5"/>
        <v>17</v>
      </c>
      <c r="W31" s="58">
        <f t="shared" si="14"/>
        <v>0.47222222222222221</v>
      </c>
      <c r="X31" s="8">
        <f t="shared" si="15"/>
        <v>3</v>
      </c>
      <c r="Y31" s="8">
        <f t="shared" si="16"/>
        <v>80</v>
      </c>
      <c r="Z31" s="57">
        <f t="shared" si="17"/>
        <v>80</v>
      </c>
    </row>
    <row r="32" spans="1:26" x14ac:dyDescent="0.3">
      <c r="A32" s="8" t="s">
        <v>70</v>
      </c>
      <c r="B32" s="70" t="str">
        <f>IFERROR(VLOOKUP('1-2-2 关键绩效'!$A32,'1-1 基本信息'!$A:$K,7,0),"")</f>
        <v>财务资产部副经理</v>
      </c>
      <c r="C32" s="8" t="str">
        <f>IFERROR(VLOOKUP($A32,'1-1 基本信息'!$A:$J,10,0),"")</f>
        <v>管理机关</v>
      </c>
      <c r="D32" s="8" t="str">
        <f>IFERROR(VLOOKUP(A32,'1-1 基本信息'!$A:$I,8,0),"")</f>
        <v>中层副职</v>
      </c>
      <c r="E32" s="57" t="str">
        <f>IFERROR(VLOOKUP($A32,'1-2-1 绩效数据'!$A:$C,3,0),"")</f>
        <v/>
      </c>
      <c r="F32" s="8" t="str">
        <f t="shared" si="6"/>
        <v>2</v>
      </c>
      <c r="G32" s="8" t="str">
        <f t="shared" si="0"/>
        <v/>
      </c>
      <c r="H32" s="8" t="str">
        <f t="shared" si="1"/>
        <v/>
      </c>
      <c r="I32" s="58" t="str">
        <f t="shared" si="7"/>
        <v/>
      </c>
      <c r="J32" s="8" t="str">
        <f t="shared" si="8"/>
        <v/>
      </c>
      <c r="K32" s="8" t="str">
        <f t="shared" si="9"/>
        <v/>
      </c>
      <c r="L32" s="57">
        <f>IFERROR(VLOOKUP($A32,'1-2-1 绩效数据'!$D:$F,3,0),"")</f>
        <v>94.93</v>
      </c>
      <c r="M32" s="8" t="str">
        <f t="shared" si="18"/>
        <v>1</v>
      </c>
      <c r="N32" s="8">
        <f t="shared" si="2"/>
        <v>37</v>
      </c>
      <c r="O32" s="8">
        <f t="shared" si="3"/>
        <v>31</v>
      </c>
      <c r="P32" s="58">
        <f t="shared" si="10"/>
        <v>0.83783783783783783</v>
      </c>
      <c r="Q32" s="8">
        <f t="shared" si="11"/>
        <v>4</v>
      </c>
      <c r="R32" s="8">
        <f t="shared" si="12"/>
        <v>70</v>
      </c>
      <c r="S32" s="57">
        <f>IFERROR(VLOOKUP(A32,'1-2-1 绩效数据'!$G:$I,3,0),"")</f>
        <v>96.701999999999998</v>
      </c>
      <c r="T32" s="8" t="str">
        <f t="shared" si="13"/>
        <v>1</v>
      </c>
      <c r="U32" s="8">
        <f t="shared" si="4"/>
        <v>36</v>
      </c>
      <c r="V32" s="8">
        <f t="shared" si="5"/>
        <v>29</v>
      </c>
      <c r="W32" s="58">
        <f t="shared" si="14"/>
        <v>0.80555555555555558</v>
      </c>
      <c r="X32" s="8">
        <f t="shared" si="15"/>
        <v>4</v>
      </c>
      <c r="Y32" s="8">
        <f t="shared" si="16"/>
        <v>70</v>
      </c>
      <c r="Z32" s="57">
        <f t="shared" si="17"/>
        <v>70</v>
      </c>
    </row>
    <row r="33" spans="1:26" x14ac:dyDescent="0.3">
      <c r="A33" s="8" t="s">
        <v>60</v>
      </c>
      <c r="B33" s="70" t="str">
        <f>IFERROR(VLOOKUP('1-2-2 关键绩效'!$A33,'1-1 基本信息'!$A:$K,7,0),"")</f>
        <v>安全环保部副经理、安全环保督查大队副队长</v>
      </c>
      <c r="C33" s="8" t="str">
        <f>IFERROR(VLOOKUP($A33,'1-1 基本信息'!$A:$J,10,0),"")</f>
        <v>管理机关</v>
      </c>
      <c r="D33" s="8" t="str">
        <f>IFERROR(VLOOKUP(A33,'1-1 基本信息'!$A:$I,8,0),"")</f>
        <v>中层副职</v>
      </c>
      <c r="E33" s="57">
        <f>IFERROR(VLOOKUP($A33,'1-2-1 绩效数据'!$A:$C,3,0),"")</f>
        <v>95.03</v>
      </c>
      <c r="F33" s="8" t="str">
        <f t="shared" si="6"/>
        <v>1</v>
      </c>
      <c r="G33" s="8">
        <f t="shared" si="0"/>
        <v>30</v>
      </c>
      <c r="H33" s="8">
        <f t="shared" si="1"/>
        <v>25</v>
      </c>
      <c r="I33" s="58">
        <f t="shared" si="7"/>
        <v>0.83333333333333337</v>
      </c>
      <c r="J33" s="8">
        <f t="shared" si="8"/>
        <v>4</v>
      </c>
      <c r="K33" s="8">
        <f t="shared" si="9"/>
        <v>70</v>
      </c>
      <c r="L33" s="57">
        <f>IFERROR(VLOOKUP($A33,'1-2-1 绩效数据'!$D:$F,3,0),"")</f>
        <v>96.43</v>
      </c>
      <c r="M33" s="8" t="str">
        <f t="shared" si="18"/>
        <v>1</v>
      </c>
      <c r="N33" s="8">
        <f t="shared" si="2"/>
        <v>37</v>
      </c>
      <c r="O33" s="8">
        <f t="shared" si="3"/>
        <v>17</v>
      </c>
      <c r="P33" s="58">
        <f t="shared" si="10"/>
        <v>0.45945945945945948</v>
      </c>
      <c r="Q33" s="8">
        <f t="shared" si="11"/>
        <v>3</v>
      </c>
      <c r="R33" s="8">
        <f t="shared" si="12"/>
        <v>80</v>
      </c>
      <c r="S33" s="57">
        <f>IFERROR(VLOOKUP(A33,'1-2-1 绩效数据'!$G:$I,3,0),"")</f>
        <v>99.251999999999995</v>
      </c>
      <c r="T33" s="8" t="str">
        <f t="shared" si="13"/>
        <v>1</v>
      </c>
      <c r="U33" s="8">
        <f t="shared" si="4"/>
        <v>36</v>
      </c>
      <c r="V33" s="8">
        <f t="shared" si="5"/>
        <v>14</v>
      </c>
      <c r="W33" s="58">
        <f t="shared" si="14"/>
        <v>0.3888888888888889</v>
      </c>
      <c r="X33" s="8">
        <f t="shared" si="15"/>
        <v>3</v>
      </c>
      <c r="Y33" s="8">
        <f t="shared" si="16"/>
        <v>80</v>
      </c>
      <c r="Z33" s="57">
        <f t="shared" si="17"/>
        <v>76.666666666666671</v>
      </c>
    </row>
    <row r="34" spans="1:26" x14ac:dyDescent="0.3">
      <c r="A34" s="8" t="s">
        <v>86</v>
      </c>
      <c r="B34" s="70" t="str">
        <f>IFERROR(VLOOKUP('1-2-2 关键绩效'!$A34,'1-1 基本信息'!$A:$K,7,0),"")</f>
        <v>油地工作保卫部副经理</v>
      </c>
      <c r="C34" s="8" t="str">
        <f>IFERROR(VLOOKUP($A34,'1-1 基本信息'!$A:$J,10,0),"")</f>
        <v>管理机关</v>
      </c>
      <c r="D34" s="8" t="str">
        <f>IFERROR(VLOOKUP(A34,'1-1 基本信息'!$A:$I,8,0),"")</f>
        <v>中层副职</v>
      </c>
      <c r="E34" s="57">
        <f>IFERROR(VLOOKUP($A34,'1-2-1 绩效数据'!$A:$C,3,0),"")</f>
        <v>92.960000000000008</v>
      </c>
      <c r="F34" s="8" t="str">
        <f t="shared" si="6"/>
        <v>1</v>
      </c>
      <c r="G34" s="8">
        <f t="shared" si="0"/>
        <v>30</v>
      </c>
      <c r="H34" s="8">
        <f t="shared" si="1"/>
        <v>30</v>
      </c>
      <c r="I34" s="58">
        <f t="shared" si="7"/>
        <v>1</v>
      </c>
      <c r="J34" s="8">
        <f t="shared" si="8"/>
        <v>5</v>
      </c>
      <c r="K34" s="8">
        <f t="shared" si="9"/>
        <v>60</v>
      </c>
      <c r="L34" s="57">
        <f>IFERROR(VLOOKUP($A34,'1-2-1 绩效数据'!$D:$F,3,0),"")</f>
        <v>94.789999999999992</v>
      </c>
      <c r="M34" s="8" t="str">
        <f t="shared" si="18"/>
        <v>1</v>
      </c>
      <c r="N34" s="8">
        <f t="shared" si="2"/>
        <v>37</v>
      </c>
      <c r="O34" s="8">
        <f t="shared" si="3"/>
        <v>32</v>
      </c>
      <c r="P34" s="58">
        <f t="shared" si="10"/>
        <v>0.86486486486486491</v>
      </c>
      <c r="Q34" s="8">
        <f t="shared" si="11"/>
        <v>4</v>
      </c>
      <c r="R34" s="8">
        <f t="shared" si="12"/>
        <v>70</v>
      </c>
      <c r="S34" s="57">
        <f>IFERROR(VLOOKUP(A34,'1-2-1 绩效数据'!$G:$I,3,0),"")</f>
        <v>93.5</v>
      </c>
      <c r="T34" s="8" t="str">
        <f t="shared" si="13"/>
        <v>1</v>
      </c>
      <c r="U34" s="8">
        <f t="shared" si="4"/>
        <v>36</v>
      </c>
      <c r="V34" s="8">
        <f t="shared" si="5"/>
        <v>36</v>
      </c>
      <c r="W34" s="58">
        <f t="shared" si="14"/>
        <v>1</v>
      </c>
      <c r="X34" s="8">
        <f t="shared" si="15"/>
        <v>5</v>
      </c>
      <c r="Y34" s="8">
        <f t="shared" si="16"/>
        <v>60</v>
      </c>
      <c r="Z34" s="57">
        <f t="shared" si="17"/>
        <v>63.333333333333336</v>
      </c>
    </row>
    <row r="35" spans="1:26" x14ac:dyDescent="0.3">
      <c r="A35" s="8" t="s">
        <v>71</v>
      </c>
      <c r="B35" s="70" t="str">
        <f>IFERROR(VLOOKUP('1-2-2 关键绩效'!$A35,'1-1 基本信息'!$A:$K,7,0),"")</f>
        <v>科技管理部经理、党支部书记</v>
      </c>
      <c r="C35" s="8" t="str">
        <f>IFERROR(VLOOKUP($A35,'1-1 基本信息'!$A:$J,10,0),"")</f>
        <v>管理机关</v>
      </c>
      <c r="D35" s="8" t="str">
        <f>IFERROR(VLOOKUP(A35,'1-1 基本信息'!$A:$I,8,0),"")</f>
        <v>中层正职</v>
      </c>
      <c r="E35" s="57">
        <f>IFERROR(VLOOKUP($A35,'1-2-1 绩效数据'!$A:$C,3,0),"")</f>
        <v>98.48</v>
      </c>
      <c r="F35" s="8" t="str">
        <f t="shared" si="6"/>
        <v>1</v>
      </c>
      <c r="G35" s="8">
        <f t="shared" si="0"/>
        <v>30</v>
      </c>
      <c r="H35" s="8">
        <f t="shared" si="1"/>
        <v>2</v>
      </c>
      <c r="I35" s="58">
        <f t="shared" si="7"/>
        <v>6.6666666666666666E-2</v>
      </c>
      <c r="J35" s="8">
        <f t="shared" si="8"/>
        <v>1</v>
      </c>
      <c r="K35" s="8">
        <f t="shared" si="9"/>
        <v>100</v>
      </c>
      <c r="L35" s="57">
        <f>IFERROR(VLOOKUP($A35,'1-2-1 绩效数据'!$D:$F,3,0),"")</f>
        <v>99.53</v>
      </c>
      <c r="M35" s="8" t="str">
        <f t="shared" si="18"/>
        <v>1</v>
      </c>
      <c r="N35" s="8">
        <f t="shared" si="2"/>
        <v>37</v>
      </c>
      <c r="O35" s="8">
        <f t="shared" si="3"/>
        <v>1</v>
      </c>
      <c r="P35" s="58">
        <f t="shared" si="10"/>
        <v>2.7027027027027029E-2</v>
      </c>
      <c r="Q35" s="8">
        <f t="shared" si="11"/>
        <v>1</v>
      </c>
      <c r="R35" s="8">
        <f t="shared" si="12"/>
        <v>100</v>
      </c>
      <c r="S35" s="57">
        <f>IFERROR(VLOOKUP(A35,'1-2-1 绩效数据'!$G:$I,3,0),"")</f>
        <v>94.597999999999999</v>
      </c>
      <c r="T35" s="8" t="str">
        <f t="shared" si="13"/>
        <v>1</v>
      </c>
      <c r="U35" s="8">
        <f t="shared" si="4"/>
        <v>36</v>
      </c>
      <c r="V35" s="8">
        <f t="shared" si="5"/>
        <v>34</v>
      </c>
      <c r="W35" s="58">
        <f t="shared" si="14"/>
        <v>0.94444444444444442</v>
      </c>
      <c r="X35" s="8">
        <f t="shared" si="15"/>
        <v>5</v>
      </c>
      <c r="Y35" s="8">
        <f t="shared" si="16"/>
        <v>60</v>
      </c>
      <c r="Z35" s="57">
        <f t="shared" si="17"/>
        <v>86.666666666666671</v>
      </c>
    </row>
    <row r="36" spans="1:26" x14ac:dyDescent="0.3">
      <c r="A36" s="8" t="s">
        <v>56</v>
      </c>
      <c r="B36" s="70" t="str">
        <f>IFERROR(VLOOKUP('1-2-2 关键绩效'!$A36,'1-1 基本信息'!$A:$K,7,0),"")</f>
        <v>地面工程与设备管理部经理、党支部书记</v>
      </c>
      <c r="C36" s="8" t="str">
        <f>IFERROR(VLOOKUP($A36,'1-1 基本信息'!$A:$J,10,0),"")</f>
        <v>管理机关</v>
      </c>
      <c r="D36" s="8" t="str">
        <f>IFERROR(VLOOKUP(A36,'1-1 基本信息'!$A:$I,8,0),"")</f>
        <v>中层正职</v>
      </c>
      <c r="E36" s="57">
        <f>IFERROR(VLOOKUP($A36,'1-2-1 绩效数据'!$A:$C,3,0),"")</f>
        <v>97.87</v>
      </c>
      <c r="F36" s="8" t="str">
        <f t="shared" si="6"/>
        <v>1</v>
      </c>
      <c r="G36" s="8">
        <f t="shared" si="0"/>
        <v>30</v>
      </c>
      <c r="H36" s="8">
        <f t="shared" si="1"/>
        <v>5</v>
      </c>
      <c r="I36" s="58">
        <f t="shared" si="7"/>
        <v>0.16666666666666666</v>
      </c>
      <c r="J36" s="8">
        <f t="shared" si="8"/>
        <v>2</v>
      </c>
      <c r="K36" s="8">
        <f t="shared" si="9"/>
        <v>90</v>
      </c>
      <c r="L36" s="57">
        <f>IFERROR(VLOOKUP($A36,'1-2-1 绩效数据'!$D:$F,3,0),"")</f>
        <v>99.5</v>
      </c>
      <c r="M36" s="8" t="str">
        <f t="shared" si="18"/>
        <v>1</v>
      </c>
      <c r="N36" s="8">
        <f t="shared" si="2"/>
        <v>37</v>
      </c>
      <c r="O36" s="8">
        <f t="shared" si="3"/>
        <v>2</v>
      </c>
      <c r="P36" s="58">
        <f t="shared" si="10"/>
        <v>5.4054054054054057E-2</v>
      </c>
      <c r="Q36" s="8">
        <f t="shared" si="11"/>
        <v>1</v>
      </c>
      <c r="R36" s="8">
        <f t="shared" si="12"/>
        <v>100</v>
      </c>
      <c r="S36" s="57">
        <f>IFERROR(VLOOKUP(A36,'1-2-1 绩效数据'!$G:$I,3,0),"")</f>
        <v>98.894000000000005</v>
      </c>
      <c r="T36" s="8" t="str">
        <f t="shared" si="13"/>
        <v>1</v>
      </c>
      <c r="U36" s="8">
        <f t="shared" si="4"/>
        <v>36</v>
      </c>
      <c r="V36" s="8">
        <f t="shared" si="5"/>
        <v>16</v>
      </c>
      <c r="W36" s="58">
        <f t="shared" si="14"/>
        <v>0.44444444444444442</v>
      </c>
      <c r="X36" s="8">
        <f t="shared" si="15"/>
        <v>3</v>
      </c>
      <c r="Y36" s="8">
        <f t="shared" si="16"/>
        <v>80</v>
      </c>
      <c r="Z36" s="57">
        <f t="shared" si="17"/>
        <v>90</v>
      </c>
    </row>
    <row r="37" spans="1:26" x14ac:dyDescent="0.3">
      <c r="A37" s="8" t="s">
        <v>51</v>
      </c>
      <c r="B37" s="70" t="str">
        <f>IFERROR(VLOOKUP('1-2-2 关键绩效'!$A37,'1-1 基本信息'!$A:$K,7,0),"")</f>
        <v>地面工程与设备管理部副经理</v>
      </c>
      <c r="C37" s="8" t="str">
        <f>IFERROR(VLOOKUP($A37,'1-1 基本信息'!$A:$J,10,0),"")</f>
        <v>管理机关</v>
      </c>
      <c r="D37" s="8" t="str">
        <f>IFERROR(VLOOKUP(A37,'1-1 基本信息'!$A:$I,8,0),"")</f>
        <v>中层副职</v>
      </c>
      <c r="E37" s="57" t="str">
        <f>IFERROR(VLOOKUP($A37,'1-2-1 绩效数据'!$A:$C,3,0),"")</f>
        <v/>
      </c>
      <c r="F37" s="8" t="str">
        <f t="shared" si="6"/>
        <v>2</v>
      </c>
      <c r="G37" s="8" t="str">
        <f t="shared" si="0"/>
        <v/>
      </c>
      <c r="H37" s="8" t="str">
        <f t="shared" si="1"/>
        <v/>
      </c>
      <c r="I37" s="58" t="str">
        <f t="shared" si="7"/>
        <v/>
      </c>
      <c r="J37" s="8" t="str">
        <f t="shared" si="8"/>
        <v/>
      </c>
      <c r="K37" s="8" t="str">
        <f t="shared" si="9"/>
        <v/>
      </c>
      <c r="L37" s="57">
        <f>IFERROR(VLOOKUP($A37,'1-2-1 绩效数据'!$D:$F,3,0),"")</f>
        <v>96.82</v>
      </c>
      <c r="M37" s="8" t="str">
        <f t="shared" si="18"/>
        <v>1</v>
      </c>
      <c r="N37" s="8">
        <f t="shared" si="2"/>
        <v>37</v>
      </c>
      <c r="O37" s="8">
        <f t="shared" si="3"/>
        <v>15</v>
      </c>
      <c r="P37" s="58">
        <f t="shared" si="10"/>
        <v>0.40540540540540543</v>
      </c>
      <c r="Q37" s="8">
        <f t="shared" si="11"/>
        <v>3</v>
      </c>
      <c r="R37" s="8">
        <f t="shared" si="12"/>
        <v>80</v>
      </c>
      <c r="S37" s="57">
        <f>IFERROR(VLOOKUP(A37,'1-2-1 绩效数据'!$G:$I,3,0),"")</f>
        <v>99.602000000000004</v>
      </c>
      <c r="T37" s="8" t="str">
        <f t="shared" si="13"/>
        <v>1</v>
      </c>
      <c r="U37" s="8">
        <f t="shared" si="4"/>
        <v>36</v>
      </c>
      <c r="V37" s="8">
        <f t="shared" si="5"/>
        <v>8</v>
      </c>
      <c r="W37" s="58">
        <f t="shared" si="14"/>
        <v>0.22222222222222221</v>
      </c>
      <c r="X37" s="8">
        <f t="shared" si="15"/>
        <v>3</v>
      </c>
      <c r="Y37" s="8">
        <f t="shared" si="16"/>
        <v>80</v>
      </c>
      <c r="Z37" s="57">
        <f t="shared" si="17"/>
        <v>80</v>
      </c>
    </row>
    <row r="38" spans="1:26" x14ac:dyDescent="0.3">
      <c r="A38" s="8" t="s">
        <v>57</v>
      </c>
      <c r="B38" s="70" t="str">
        <f>IFERROR(VLOOKUP('1-2-2 关键绩效'!$A38,'1-1 基本信息'!$A:$K,7,0),"")</f>
        <v>概预算中心主任、党支部书记</v>
      </c>
      <c r="C38" s="8" t="str">
        <f>IFERROR(VLOOKUP($A38,'1-1 基本信息'!$A:$J,10,0),"")</f>
        <v>管理机关</v>
      </c>
      <c r="D38" s="8" t="str">
        <f>IFERROR(VLOOKUP(A38,'1-1 基本信息'!$A:$I,8,0),"")</f>
        <v>中层正职</v>
      </c>
      <c r="E38" s="57">
        <f>IFERROR(VLOOKUP($A38,'1-2-1 绩效数据'!$A:$C,3,0),"")</f>
        <v>96.23</v>
      </c>
      <c r="F38" s="8" t="str">
        <f t="shared" si="6"/>
        <v>1</v>
      </c>
      <c r="G38" s="8">
        <f t="shared" si="0"/>
        <v>30</v>
      </c>
      <c r="H38" s="8">
        <f t="shared" si="1"/>
        <v>14</v>
      </c>
      <c r="I38" s="58">
        <f t="shared" si="7"/>
        <v>0.46666666666666667</v>
      </c>
      <c r="J38" s="8">
        <f t="shared" si="8"/>
        <v>3</v>
      </c>
      <c r="K38" s="8">
        <f t="shared" si="9"/>
        <v>80</v>
      </c>
      <c r="L38" s="57">
        <f>IFERROR(VLOOKUP($A38,'1-2-1 绩效数据'!$D:$F,3,0),"")</f>
        <v>95.56</v>
      </c>
      <c r="M38" s="8" t="str">
        <f t="shared" si="18"/>
        <v>1</v>
      </c>
      <c r="N38" s="8">
        <f t="shared" si="2"/>
        <v>37</v>
      </c>
      <c r="O38" s="8">
        <f t="shared" si="3"/>
        <v>28</v>
      </c>
      <c r="P38" s="58">
        <f t="shared" si="10"/>
        <v>0.7567567567567568</v>
      </c>
      <c r="Q38" s="8">
        <f t="shared" si="11"/>
        <v>3</v>
      </c>
      <c r="R38" s="8">
        <f t="shared" si="12"/>
        <v>80</v>
      </c>
      <c r="S38" s="57">
        <f>IFERROR(VLOOKUP(A38,'1-2-1 绩效数据'!$G:$I,3,0),"")</f>
        <v>97.96</v>
      </c>
      <c r="T38" s="8" t="str">
        <f t="shared" si="13"/>
        <v>1</v>
      </c>
      <c r="U38" s="8">
        <f t="shared" si="4"/>
        <v>36</v>
      </c>
      <c r="V38" s="8">
        <f t="shared" si="5"/>
        <v>26</v>
      </c>
      <c r="W38" s="58">
        <f t="shared" si="14"/>
        <v>0.72222222222222221</v>
      </c>
      <c r="X38" s="8">
        <f t="shared" si="15"/>
        <v>3</v>
      </c>
      <c r="Y38" s="8">
        <f t="shared" si="16"/>
        <v>80</v>
      </c>
      <c r="Z38" s="57">
        <f t="shared" si="17"/>
        <v>80</v>
      </c>
    </row>
    <row r="39" spans="1:26" x14ac:dyDescent="0.3">
      <c r="A39" s="8" t="s">
        <v>66</v>
      </c>
      <c r="B39" s="70" t="str">
        <f>IFERROR(VLOOKUP('1-2-2 关键绩效'!$A39,'1-1 基本信息'!$A:$K,7,0),"")</f>
        <v>信息化管理中心副主任</v>
      </c>
      <c r="C39" s="8" t="str">
        <f>IFERROR(VLOOKUP($A39,'1-1 基本信息'!$A:$J,10,0),"")</f>
        <v>管理机关</v>
      </c>
      <c r="D39" s="8" t="str">
        <f>IFERROR(VLOOKUP(A39,'1-1 基本信息'!$A:$I,8,0),"")</f>
        <v>中层副职</v>
      </c>
      <c r="E39" s="57">
        <f>IFERROR(VLOOKUP($A39,'1-2-1 绩效数据'!$A:$C,3,0),"")</f>
        <v>93.81</v>
      </c>
      <c r="F39" s="8" t="str">
        <f t="shared" si="6"/>
        <v>1</v>
      </c>
      <c r="G39" s="8">
        <f t="shared" si="0"/>
        <v>30</v>
      </c>
      <c r="H39" s="8">
        <f t="shared" si="1"/>
        <v>29</v>
      </c>
      <c r="I39" s="58">
        <f t="shared" si="7"/>
        <v>0.96666666666666667</v>
      </c>
      <c r="J39" s="8">
        <f t="shared" si="8"/>
        <v>5</v>
      </c>
      <c r="K39" s="8">
        <f t="shared" si="9"/>
        <v>60</v>
      </c>
      <c r="L39" s="57">
        <f>IFERROR(VLOOKUP($A39,'1-2-1 绩效数据'!$D:$F,3,0),"")</f>
        <v>92.84</v>
      </c>
      <c r="M39" s="8" t="str">
        <f t="shared" si="18"/>
        <v>1</v>
      </c>
      <c r="N39" s="8">
        <f t="shared" si="2"/>
        <v>37</v>
      </c>
      <c r="O39" s="8">
        <f t="shared" si="3"/>
        <v>37</v>
      </c>
      <c r="P39" s="58">
        <f t="shared" si="10"/>
        <v>1</v>
      </c>
      <c r="Q39" s="8">
        <f t="shared" si="11"/>
        <v>5</v>
      </c>
      <c r="R39" s="8">
        <f t="shared" si="12"/>
        <v>60</v>
      </c>
      <c r="S39" s="57">
        <f>IFERROR(VLOOKUP(A39,'1-2-1 绩效数据'!$G:$I,3,0),"")</f>
        <v>95.456000000000003</v>
      </c>
      <c r="T39" s="8" t="str">
        <f t="shared" si="13"/>
        <v>1</v>
      </c>
      <c r="U39" s="8">
        <f t="shared" si="4"/>
        <v>36</v>
      </c>
      <c r="V39" s="8">
        <f t="shared" si="5"/>
        <v>32</v>
      </c>
      <c r="W39" s="58">
        <f t="shared" si="14"/>
        <v>0.88888888888888884</v>
      </c>
      <c r="X39" s="8">
        <f t="shared" si="15"/>
        <v>4</v>
      </c>
      <c r="Y39" s="8">
        <f t="shared" si="16"/>
        <v>70</v>
      </c>
      <c r="Z39" s="57">
        <f t="shared" si="17"/>
        <v>63.333333333333336</v>
      </c>
    </row>
    <row r="40" spans="1:26" x14ac:dyDescent="0.3">
      <c r="A40" s="8" t="s">
        <v>414</v>
      </c>
      <c r="B40" s="70" t="str">
        <f>IFERROR(VLOOKUP('1-2-2 关键绩效'!$A40,'1-1 基本信息'!$A:$K,7,0),"")</f>
        <v>档案管理中心主任、党支部书记</v>
      </c>
      <c r="C40" s="8" t="str">
        <f>IFERROR(VLOOKUP($A40,'1-1 基本信息'!$A:$J,10,0),"")</f>
        <v>管理机关</v>
      </c>
      <c r="D40" s="8" t="str">
        <f>IFERROR(VLOOKUP(A40,'1-1 基本信息'!$A:$I,8,0),"")</f>
        <v>中层正职</v>
      </c>
      <c r="E40" s="57">
        <f>IFERROR(VLOOKUP($A40,'1-2-1 绩效数据'!$A:$C,3,0),"")</f>
        <v>95.62</v>
      </c>
      <c r="F40" s="8" t="str">
        <f t="shared" si="6"/>
        <v>1</v>
      </c>
      <c r="G40" s="8">
        <f t="shared" si="0"/>
        <v>30</v>
      </c>
      <c r="H40" s="8">
        <f t="shared" si="1"/>
        <v>18</v>
      </c>
      <c r="I40" s="58">
        <f t="shared" si="7"/>
        <v>0.6</v>
      </c>
      <c r="J40" s="8">
        <f t="shared" si="8"/>
        <v>3</v>
      </c>
      <c r="K40" s="8">
        <f t="shared" si="9"/>
        <v>80</v>
      </c>
      <c r="L40" s="57">
        <f>IFERROR(VLOOKUP($A40,'1-2-1 绩效数据'!$D:$F,3,0),"")</f>
        <v>95.1</v>
      </c>
      <c r="M40" s="8" t="str">
        <f t="shared" si="18"/>
        <v>1</v>
      </c>
      <c r="N40" s="8">
        <f t="shared" si="2"/>
        <v>37</v>
      </c>
      <c r="O40" s="8">
        <f t="shared" si="3"/>
        <v>30</v>
      </c>
      <c r="P40" s="58">
        <f t="shared" si="10"/>
        <v>0.81081081081081086</v>
      </c>
      <c r="Q40" s="8">
        <f t="shared" si="11"/>
        <v>4</v>
      </c>
      <c r="R40" s="8">
        <f t="shared" si="12"/>
        <v>70</v>
      </c>
      <c r="S40" s="57">
        <f>IFERROR(VLOOKUP(A40,'1-2-1 绩效数据'!$G:$I,3,0),"")</f>
        <v>93.585999999999999</v>
      </c>
      <c r="T40" s="8" t="str">
        <f t="shared" si="13"/>
        <v>1</v>
      </c>
      <c r="U40" s="8">
        <f t="shared" si="4"/>
        <v>36</v>
      </c>
      <c r="V40" s="8">
        <f t="shared" si="5"/>
        <v>35</v>
      </c>
      <c r="W40" s="58">
        <f t="shared" si="14"/>
        <v>0.97222222222222221</v>
      </c>
      <c r="X40" s="8">
        <f t="shared" si="15"/>
        <v>5</v>
      </c>
      <c r="Y40" s="8">
        <f t="shared" si="16"/>
        <v>60</v>
      </c>
      <c r="Z40" s="57">
        <f t="shared" si="17"/>
        <v>70</v>
      </c>
    </row>
    <row r="41" spans="1:26" x14ac:dyDescent="0.3">
      <c r="A41" s="8" t="s">
        <v>64</v>
      </c>
      <c r="B41" s="70" t="str">
        <f>IFERROR(VLOOKUP('1-2-2 关键绩效'!$A41,'1-1 基本信息'!$A:$K,7,0),"")</f>
        <v>采气一厂中层正职、党委副书记</v>
      </c>
      <c r="C41" s="8" t="str">
        <f>IFERROR(VLOOKUP($A41,'1-1 基本信息'!$A:$J,10,0),"")</f>
        <v>采气一厂</v>
      </c>
      <c r="D41" s="8" t="str">
        <f>IFERROR(VLOOKUP(A41,'1-1 基本信息'!$A:$I,8,0),"")</f>
        <v>中层正职</v>
      </c>
      <c r="E41" s="57">
        <f>IFERROR(VLOOKUP($A41,'1-2-1 绩效数据'!$A:$C,3,0),"")</f>
        <v>95.68</v>
      </c>
      <c r="F41" s="8" t="str">
        <f t="shared" si="6"/>
        <v>1</v>
      </c>
      <c r="G41" s="8">
        <f t="shared" si="0"/>
        <v>4</v>
      </c>
      <c r="H41" s="8">
        <f t="shared" si="1"/>
        <v>4</v>
      </c>
      <c r="I41" s="58">
        <f t="shared" si="7"/>
        <v>1</v>
      </c>
      <c r="J41" s="8">
        <f t="shared" si="8"/>
        <v>1</v>
      </c>
      <c r="K41" s="8">
        <f t="shared" si="9"/>
        <v>100</v>
      </c>
      <c r="L41" s="57">
        <f>IFERROR(VLOOKUP($A41,'1-2-1 绩效数据'!$D:$F,3,0),"")</f>
        <v>99.94</v>
      </c>
      <c r="M41" s="8" t="str">
        <f t="shared" si="18"/>
        <v>1</v>
      </c>
      <c r="N41" s="8">
        <f t="shared" si="2"/>
        <v>5</v>
      </c>
      <c r="O41" s="8">
        <f t="shared" si="3"/>
        <v>1</v>
      </c>
      <c r="P41" s="58">
        <f t="shared" si="10"/>
        <v>0.2</v>
      </c>
      <c r="Q41" s="8">
        <f t="shared" si="11"/>
        <v>5</v>
      </c>
      <c r="R41" s="8">
        <f t="shared" si="12"/>
        <v>60</v>
      </c>
      <c r="S41" s="57">
        <f>IFERROR(VLOOKUP(A41,'1-2-1 绩效数据'!$G:$I,3,0),"")</f>
        <v>99.210299999999989</v>
      </c>
      <c r="T41" s="8" t="str">
        <f t="shared" si="13"/>
        <v>1</v>
      </c>
      <c r="U41" s="8">
        <f t="shared" si="4"/>
        <v>7</v>
      </c>
      <c r="V41" s="8">
        <f t="shared" si="5"/>
        <v>2</v>
      </c>
      <c r="W41" s="58">
        <f t="shared" si="14"/>
        <v>0.2857142857142857</v>
      </c>
      <c r="X41" s="8">
        <f t="shared" si="15"/>
        <v>5</v>
      </c>
      <c r="Y41" s="8">
        <f t="shared" si="16"/>
        <v>60</v>
      </c>
      <c r="Z41" s="57">
        <f t="shared" si="17"/>
        <v>73.333333333333329</v>
      </c>
    </row>
    <row r="42" spans="1:26" x14ac:dyDescent="0.3">
      <c r="A42" s="8" t="s">
        <v>84</v>
      </c>
      <c r="B42" s="70" t="str">
        <f>IFERROR(VLOOKUP('1-2-2 关键绩效'!$A42,'1-1 基本信息'!$A:$K,7,0),"")</f>
        <v>采气一厂党委书记、副中层正职，内蒙古华屹天然气管道有限公司执行董事、总经理</v>
      </c>
      <c r="C42" s="8" t="str">
        <f>IFERROR(VLOOKUP($A42,'1-1 基本信息'!$A:$J,10,0),"")</f>
        <v>采气一厂</v>
      </c>
      <c r="D42" s="8" t="str">
        <f>IFERROR(VLOOKUP(A42,'1-1 基本信息'!$A:$I,8,0),"")</f>
        <v>党委书记</v>
      </c>
      <c r="E42" s="57">
        <f>IFERROR(VLOOKUP($A42,'1-2-1 绩效数据'!$A:$C,3,0),"")</f>
        <v>97.38000000000001</v>
      </c>
      <c r="F42" s="8" t="str">
        <f t="shared" si="6"/>
        <v>1</v>
      </c>
      <c r="G42" s="8">
        <f t="shared" si="0"/>
        <v>4</v>
      </c>
      <c r="H42" s="8">
        <f t="shared" si="1"/>
        <v>2</v>
      </c>
      <c r="I42" s="58">
        <f t="shared" si="7"/>
        <v>0.5</v>
      </c>
      <c r="J42" s="8">
        <f t="shared" si="8"/>
        <v>4</v>
      </c>
      <c r="K42" s="8">
        <f t="shared" si="9"/>
        <v>70</v>
      </c>
      <c r="L42" s="57">
        <f>IFERROR(VLOOKUP($A42,'1-2-1 绩效数据'!$D:$F,3,0),"")</f>
        <v>99.460000000000008</v>
      </c>
      <c r="M42" s="8" t="str">
        <f t="shared" si="18"/>
        <v>1</v>
      </c>
      <c r="N42" s="8">
        <f t="shared" si="2"/>
        <v>5</v>
      </c>
      <c r="O42" s="8">
        <f t="shared" si="3"/>
        <v>4</v>
      </c>
      <c r="P42" s="58">
        <f t="shared" si="10"/>
        <v>0.8</v>
      </c>
      <c r="Q42" s="8">
        <f t="shared" si="11"/>
        <v>5</v>
      </c>
      <c r="R42" s="8">
        <f t="shared" si="12"/>
        <v>60</v>
      </c>
      <c r="S42" s="57">
        <f>IFERROR(VLOOKUP(A42,'1-2-1 绩效数据'!$G:$I,3,0),"")</f>
        <v>100.34200000000001</v>
      </c>
      <c r="T42" s="8" t="str">
        <f t="shared" si="13"/>
        <v>1</v>
      </c>
      <c r="U42" s="8">
        <f t="shared" si="4"/>
        <v>7</v>
      </c>
      <c r="V42" s="8">
        <f t="shared" si="5"/>
        <v>1</v>
      </c>
      <c r="W42" s="58">
        <f t="shared" si="14"/>
        <v>0.14285714285714285</v>
      </c>
      <c r="X42" s="8">
        <f t="shared" si="15"/>
        <v>5</v>
      </c>
      <c r="Y42" s="8">
        <f t="shared" si="16"/>
        <v>60</v>
      </c>
      <c r="Z42" s="57">
        <f t="shared" si="17"/>
        <v>63.333333333333336</v>
      </c>
    </row>
    <row r="43" spans="1:26" x14ac:dyDescent="0.3">
      <c r="A43" s="8" t="s">
        <v>91</v>
      </c>
      <c r="B43" s="70" t="str">
        <f>IFERROR(VLOOKUP('1-2-2 关键绩效'!$A43,'1-1 基本信息'!$A:$K,7,0),"")</f>
        <v>采气一厂副中层正职（按中层正职管理）</v>
      </c>
      <c r="C43" s="8" t="str">
        <f>IFERROR(VLOOKUP($A43,'1-1 基本信息'!$A:$J,10,0),"")</f>
        <v>采气一厂</v>
      </c>
      <c r="D43" s="8" t="str">
        <f>IFERROR(VLOOKUP(A43,'1-1 基本信息'!$A:$I,8,0),"")</f>
        <v>中层副职</v>
      </c>
      <c r="E43" s="57">
        <f>IFERROR(VLOOKUP($A43,'1-2-1 绩效数据'!$A:$C,3,0),"")</f>
        <v>97.13000000000001</v>
      </c>
      <c r="F43" s="8" t="str">
        <f t="shared" si="6"/>
        <v>1</v>
      </c>
      <c r="G43" s="8">
        <f t="shared" si="0"/>
        <v>4</v>
      </c>
      <c r="H43" s="8">
        <f t="shared" si="1"/>
        <v>3</v>
      </c>
      <c r="I43" s="58">
        <f t="shared" si="7"/>
        <v>0.75</v>
      </c>
      <c r="J43" s="8">
        <f t="shared" si="8"/>
        <v>4</v>
      </c>
      <c r="K43" s="8">
        <f t="shared" si="9"/>
        <v>70</v>
      </c>
      <c r="L43" s="57">
        <f>IFERROR(VLOOKUP($A43,'1-2-1 绩效数据'!$D:$F,3,0),"")</f>
        <v>99.53</v>
      </c>
      <c r="M43" s="8" t="str">
        <f t="shared" si="18"/>
        <v>1</v>
      </c>
      <c r="N43" s="8">
        <f t="shared" si="2"/>
        <v>5</v>
      </c>
      <c r="O43" s="8">
        <f t="shared" si="3"/>
        <v>2</v>
      </c>
      <c r="P43" s="58">
        <f t="shared" si="10"/>
        <v>0.4</v>
      </c>
      <c r="Q43" s="8">
        <f t="shared" si="11"/>
        <v>5</v>
      </c>
      <c r="R43" s="8">
        <f t="shared" si="12"/>
        <v>60</v>
      </c>
      <c r="S43" s="57">
        <f>IFERROR(VLOOKUP(A43,'1-2-1 绩效数据'!$G:$I,3,0),"")</f>
        <v>97.902299999999997</v>
      </c>
      <c r="T43" s="8" t="str">
        <f t="shared" si="13"/>
        <v>1</v>
      </c>
      <c r="U43" s="8">
        <f t="shared" si="4"/>
        <v>7</v>
      </c>
      <c r="V43" s="8">
        <f t="shared" si="5"/>
        <v>7</v>
      </c>
      <c r="W43" s="58">
        <f t="shared" si="14"/>
        <v>1</v>
      </c>
      <c r="X43" s="8">
        <f t="shared" si="15"/>
        <v>1</v>
      </c>
      <c r="Y43" s="8">
        <f t="shared" si="16"/>
        <v>100</v>
      </c>
      <c r="Z43" s="57">
        <f t="shared" si="17"/>
        <v>76.666666666666671</v>
      </c>
    </row>
    <row r="44" spans="1:26" x14ac:dyDescent="0.3">
      <c r="A44" s="8" t="s">
        <v>96</v>
      </c>
      <c r="B44" s="70" t="str">
        <f>IFERROR(VLOOKUP('1-2-2 关键绩效'!$A44,'1-1 基本信息'!$A:$K,7,0),"")</f>
        <v>采气一厂副中层正职</v>
      </c>
      <c r="C44" s="8" t="str">
        <f>IFERROR(VLOOKUP($A44,'1-1 基本信息'!$A:$J,10,0),"")</f>
        <v>采气一厂</v>
      </c>
      <c r="D44" s="8" t="str">
        <f>IFERROR(VLOOKUP(A44,'1-1 基本信息'!$A:$I,8,0),"")</f>
        <v>中层副职</v>
      </c>
      <c r="E44" s="57" t="str">
        <f>IFERROR(VLOOKUP($A44,'1-2-1 绩效数据'!$A:$C,3,0),"")</f>
        <v/>
      </c>
      <c r="F44" s="8" t="str">
        <f t="shared" si="6"/>
        <v>2</v>
      </c>
      <c r="G44" s="8" t="str">
        <f t="shared" si="0"/>
        <v/>
      </c>
      <c r="H44" s="8" t="str">
        <f t="shared" si="1"/>
        <v/>
      </c>
      <c r="I44" s="58" t="str">
        <f t="shared" si="7"/>
        <v/>
      </c>
      <c r="J44" s="8" t="str">
        <f t="shared" si="8"/>
        <v/>
      </c>
      <c r="K44" s="8" t="str">
        <f t="shared" si="9"/>
        <v/>
      </c>
      <c r="L44" s="57" t="str">
        <f>IFERROR(VLOOKUP($A44,'1-2-1 绩效数据'!$D:$F,3,0),"")</f>
        <v/>
      </c>
      <c r="M44" s="8" t="str">
        <f t="shared" si="18"/>
        <v>2</v>
      </c>
      <c r="N44" s="8" t="str">
        <f t="shared" si="2"/>
        <v/>
      </c>
      <c r="O44" s="8" t="str">
        <f t="shared" si="3"/>
        <v/>
      </c>
      <c r="P44" s="58" t="str">
        <f t="shared" si="10"/>
        <v/>
      </c>
      <c r="Q44" s="8" t="str">
        <f t="shared" si="11"/>
        <v/>
      </c>
      <c r="R44" s="8" t="str">
        <f t="shared" si="12"/>
        <v/>
      </c>
      <c r="S44" s="57">
        <f>IFERROR(VLOOKUP(A44,'1-2-1 绩效数据'!$G:$I,3,0),"")</f>
        <v>98.782299999999992</v>
      </c>
      <c r="T44" s="8" t="str">
        <f t="shared" si="13"/>
        <v>1</v>
      </c>
      <c r="U44" s="8">
        <f t="shared" si="4"/>
        <v>7</v>
      </c>
      <c r="V44" s="8">
        <f t="shared" si="5"/>
        <v>3</v>
      </c>
      <c r="W44" s="58">
        <f t="shared" si="14"/>
        <v>0.42857142857142855</v>
      </c>
      <c r="X44" s="8">
        <f t="shared" si="15"/>
        <v>5</v>
      </c>
      <c r="Y44" s="8">
        <f t="shared" si="16"/>
        <v>60</v>
      </c>
      <c r="Z44" s="57">
        <f t="shared" si="17"/>
        <v>60</v>
      </c>
    </row>
    <row r="45" spans="1:26" x14ac:dyDescent="0.3">
      <c r="A45" s="8" t="s">
        <v>52</v>
      </c>
      <c r="B45" s="70" t="str">
        <f>IFERROR(VLOOKUP('1-2-2 关键绩效'!$A45,'1-1 基本信息'!$A:$K,7,0),"")</f>
        <v>采气一厂副中层正职</v>
      </c>
      <c r="C45" s="8" t="str">
        <f>IFERROR(VLOOKUP($A45,'1-1 基本信息'!$A:$J,10,0),"")</f>
        <v>采气一厂</v>
      </c>
      <c r="D45" s="8" t="str">
        <f>IFERROR(VLOOKUP(A45,'1-1 基本信息'!$A:$I,8,0),"")</f>
        <v>中层副职</v>
      </c>
      <c r="E45" s="57" t="str">
        <f>IFERROR(VLOOKUP($A45,'1-2-1 绩效数据'!$A:$C,3,0),"")</f>
        <v/>
      </c>
      <c r="F45" s="8" t="str">
        <f t="shared" si="6"/>
        <v>2</v>
      </c>
      <c r="G45" s="8" t="str">
        <f t="shared" si="0"/>
        <v/>
      </c>
      <c r="H45" s="8" t="str">
        <f t="shared" si="1"/>
        <v/>
      </c>
      <c r="I45" s="58" t="str">
        <f t="shared" si="7"/>
        <v/>
      </c>
      <c r="J45" s="8" t="str">
        <f t="shared" si="8"/>
        <v/>
      </c>
      <c r="K45" s="8" t="str">
        <f t="shared" si="9"/>
        <v/>
      </c>
      <c r="L45" s="57" t="str">
        <f>IFERROR(VLOOKUP($A45,'1-2-1 绩效数据'!$D:$F,3,0),"")</f>
        <v/>
      </c>
      <c r="M45" s="8" t="str">
        <f t="shared" si="18"/>
        <v>2</v>
      </c>
      <c r="N45" s="8" t="str">
        <f t="shared" si="2"/>
        <v/>
      </c>
      <c r="O45" s="8" t="str">
        <f t="shared" si="3"/>
        <v/>
      </c>
      <c r="P45" s="58" t="str">
        <f t="shared" si="10"/>
        <v/>
      </c>
      <c r="Q45" s="8" t="str">
        <f t="shared" si="11"/>
        <v/>
      </c>
      <c r="R45" s="8" t="str">
        <f t="shared" si="12"/>
        <v/>
      </c>
      <c r="S45" s="57">
        <f>IFERROR(VLOOKUP(A45,'1-2-1 绩效数据'!$G:$I,3,0),"")</f>
        <v>98.574299999999994</v>
      </c>
      <c r="T45" s="8" t="str">
        <f t="shared" si="13"/>
        <v>1</v>
      </c>
      <c r="U45" s="8">
        <f t="shared" si="4"/>
        <v>7</v>
      </c>
      <c r="V45" s="8">
        <f t="shared" si="5"/>
        <v>6</v>
      </c>
      <c r="W45" s="58">
        <f t="shared" si="14"/>
        <v>0.8571428571428571</v>
      </c>
      <c r="X45" s="8">
        <f t="shared" si="15"/>
        <v>5</v>
      </c>
      <c r="Y45" s="8">
        <f t="shared" si="16"/>
        <v>60</v>
      </c>
      <c r="Z45" s="57">
        <f t="shared" si="17"/>
        <v>60</v>
      </c>
    </row>
    <row r="46" spans="1:26" x14ac:dyDescent="0.3">
      <c r="A46" s="8" t="s">
        <v>124</v>
      </c>
      <c r="B46" s="70" t="str">
        <f>IFERROR(VLOOKUP('1-2-2 关键绩效'!$A46,'1-1 基本信息'!$A:$K,7,0),"")</f>
        <v>采气一厂党委副书记、纪委书记、工会主席</v>
      </c>
      <c r="C46" s="8" t="str">
        <f>IFERROR(VLOOKUP($A46,'1-1 基本信息'!$A:$J,10,0),"")</f>
        <v>采气一厂</v>
      </c>
      <c r="D46" s="8" t="str">
        <f>IFERROR(VLOOKUP(A46,'1-1 基本信息'!$A:$I,8,0),"")</f>
        <v>中层副职</v>
      </c>
      <c r="E46" s="57">
        <f>IFERROR(VLOOKUP($A46,'1-2-1 绩效数据'!$A:$C,3,0),"")</f>
        <v>97.45</v>
      </c>
      <c r="F46" s="8" t="str">
        <f t="shared" si="6"/>
        <v>1</v>
      </c>
      <c r="G46" s="8">
        <f t="shared" si="0"/>
        <v>4</v>
      </c>
      <c r="H46" s="8">
        <f t="shared" si="1"/>
        <v>1</v>
      </c>
      <c r="I46" s="58">
        <f t="shared" si="7"/>
        <v>0.25</v>
      </c>
      <c r="J46" s="8">
        <f t="shared" si="8"/>
        <v>4</v>
      </c>
      <c r="K46" s="8">
        <f t="shared" si="9"/>
        <v>70</v>
      </c>
      <c r="L46" s="57">
        <f>IFERROR(VLOOKUP($A46,'1-2-1 绩效数据'!$D:$F,3,0),"")</f>
        <v>99.52000000000001</v>
      </c>
      <c r="M46" s="8" t="str">
        <f t="shared" si="18"/>
        <v>1</v>
      </c>
      <c r="N46" s="8">
        <f t="shared" si="2"/>
        <v>5</v>
      </c>
      <c r="O46" s="8">
        <f t="shared" si="3"/>
        <v>3</v>
      </c>
      <c r="P46" s="58">
        <f t="shared" si="10"/>
        <v>0.6</v>
      </c>
      <c r="Q46" s="8">
        <f t="shared" si="11"/>
        <v>5</v>
      </c>
      <c r="R46" s="8">
        <f t="shared" si="12"/>
        <v>60</v>
      </c>
      <c r="S46" s="57">
        <f>IFERROR(VLOOKUP(A46,'1-2-1 绩效数据'!$G:$I,3,0),"")</f>
        <v>98.60629999999999</v>
      </c>
      <c r="T46" s="8" t="str">
        <f t="shared" si="13"/>
        <v>1</v>
      </c>
      <c r="U46" s="8">
        <f t="shared" si="4"/>
        <v>7</v>
      </c>
      <c r="V46" s="8">
        <f t="shared" si="5"/>
        <v>4</v>
      </c>
      <c r="W46" s="58">
        <f t="shared" si="14"/>
        <v>0.5714285714285714</v>
      </c>
      <c r="X46" s="8">
        <f t="shared" si="15"/>
        <v>5</v>
      </c>
      <c r="Y46" s="8">
        <f t="shared" si="16"/>
        <v>60</v>
      </c>
      <c r="Z46" s="57">
        <f t="shared" si="17"/>
        <v>63.333333333333336</v>
      </c>
    </row>
    <row r="47" spans="1:26" x14ac:dyDescent="0.3">
      <c r="A47" s="8" t="s">
        <v>65</v>
      </c>
      <c r="B47" s="70" t="str">
        <f>IFERROR(VLOOKUP('1-2-2 关键绩效'!$A47,'1-1 基本信息'!$A:$K,7,0),"")</f>
        <v>采气一厂总会计师</v>
      </c>
      <c r="C47" s="8" t="str">
        <f>IFERROR(VLOOKUP($A47,'1-1 基本信息'!$A:$J,10,0),"")</f>
        <v>采气一厂</v>
      </c>
      <c r="D47" s="8" t="str">
        <f>IFERROR(VLOOKUP(A47,'1-1 基本信息'!$A:$I,8,0),"")</f>
        <v>中层副职</v>
      </c>
      <c r="E47" s="57" t="str">
        <f>IFERROR(VLOOKUP($A47,'1-2-1 绩效数据'!$A:$C,3,0),"")</f>
        <v/>
      </c>
      <c r="F47" s="8" t="str">
        <f t="shared" si="6"/>
        <v>2</v>
      </c>
      <c r="G47" s="8" t="str">
        <f t="shared" si="0"/>
        <v/>
      </c>
      <c r="H47" s="8" t="str">
        <f t="shared" si="1"/>
        <v/>
      </c>
      <c r="I47" s="58" t="str">
        <f t="shared" si="7"/>
        <v/>
      </c>
      <c r="J47" s="8" t="str">
        <f t="shared" si="8"/>
        <v/>
      </c>
      <c r="K47" s="8" t="str">
        <f t="shared" si="9"/>
        <v/>
      </c>
      <c r="L47" s="57">
        <f>IFERROR(VLOOKUP($A47,'1-2-1 绩效数据'!$D:$F,3,0),"")</f>
        <v>98.960000000000008</v>
      </c>
      <c r="M47" s="8" t="str">
        <f t="shared" si="18"/>
        <v>1</v>
      </c>
      <c r="N47" s="8">
        <f t="shared" si="2"/>
        <v>5</v>
      </c>
      <c r="O47" s="8">
        <f t="shared" si="3"/>
        <v>5</v>
      </c>
      <c r="P47" s="58">
        <f t="shared" si="10"/>
        <v>1</v>
      </c>
      <c r="Q47" s="8">
        <f t="shared" si="11"/>
        <v>1</v>
      </c>
      <c r="R47" s="8">
        <f t="shared" si="12"/>
        <v>100</v>
      </c>
      <c r="S47" s="57">
        <f>IFERROR(VLOOKUP(A47,'1-2-1 绩效数据'!$G:$I,3,0),"")</f>
        <v>98.582299999999989</v>
      </c>
      <c r="T47" s="8" t="str">
        <f t="shared" si="13"/>
        <v>1</v>
      </c>
      <c r="U47" s="8">
        <f t="shared" si="4"/>
        <v>7</v>
      </c>
      <c r="V47" s="8">
        <f t="shared" si="5"/>
        <v>5</v>
      </c>
      <c r="W47" s="58">
        <f t="shared" si="14"/>
        <v>0.7142857142857143</v>
      </c>
      <c r="X47" s="8">
        <f t="shared" si="15"/>
        <v>5</v>
      </c>
      <c r="Y47" s="8">
        <f t="shared" si="16"/>
        <v>60</v>
      </c>
      <c r="Z47" s="57">
        <f t="shared" si="17"/>
        <v>80</v>
      </c>
    </row>
    <row r="48" spans="1:26" x14ac:dyDescent="0.3">
      <c r="A48" s="8" t="s">
        <v>114</v>
      </c>
      <c r="B48" s="70" t="str">
        <f>IFERROR(VLOOKUP('1-2-2 关键绩效'!$A48,'1-1 基本信息'!$A:$K,7,0),"")</f>
        <v>采气二厂中层正职、党委副书记，华北石油局有限公司咸阳三普分公司总经理，内蒙古华胜能源有限公司董事长</v>
      </c>
      <c r="C48" s="8" t="str">
        <f>IFERROR(VLOOKUP($A48,'1-1 基本信息'!$A:$J,10,0),"")</f>
        <v>采气二厂</v>
      </c>
      <c r="D48" s="8" t="str">
        <f>IFERROR(VLOOKUP(A48,'1-1 基本信息'!$A:$I,8,0),"")</f>
        <v>中层正职</v>
      </c>
      <c r="E48" s="57">
        <f>IFERROR(VLOOKUP($A48,'1-2-1 绩效数据'!$A:$C,3,0),"")</f>
        <v>95.740000000000009</v>
      </c>
      <c r="F48" s="8" t="str">
        <f t="shared" si="6"/>
        <v>1</v>
      </c>
      <c r="G48" s="8">
        <f t="shared" si="0"/>
        <v>4</v>
      </c>
      <c r="H48" s="8">
        <f t="shared" si="1"/>
        <v>4</v>
      </c>
      <c r="I48" s="58">
        <f t="shared" si="7"/>
        <v>1</v>
      </c>
      <c r="J48" s="8">
        <f t="shared" si="8"/>
        <v>1</v>
      </c>
      <c r="K48" s="8">
        <f t="shared" si="9"/>
        <v>100</v>
      </c>
      <c r="L48" s="57">
        <f>IFERROR(VLOOKUP($A48,'1-2-1 绩效数据'!$D:$F,3,0),"")</f>
        <v>97.91</v>
      </c>
      <c r="M48" s="8" t="str">
        <f t="shared" si="18"/>
        <v>1</v>
      </c>
      <c r="N48" s="8">
        <f t="shared" si="2"/>
        <v>4</v>
      </c>
      <c r="O48" s="8">
        <f t="shared" si="3"/>
        <v>4</v>
      </c>
      <c r="P48" s="58">
        <f t="shared" si="10"/>
        <v>1</v>
      </c>
      <c r="Q48" s="8">
        <f t="shared" si="11"/>
        <v>1</v>
      </c>
      <c r="R48" s="8">
        <f t="shared" si="12"/>
        <v>100</v>
      </c>
      <c r="S48" s="57">
        <f>IFERROR(VLOOKUP(A48,'1-2-1 绩效数据'!$G:$I,3,0),"")</f>
        <v>101.25399999999999</v>
      </c>
      <c r="T48" s="8" t="str">
        <f t="shared" si="13"/>
        <v>1</v>
      </c>
      <c r="U48" s="8">
        <f t="shared" si="4"/>
        <v>5</v>
      </c>
      <c r="V48" s="8">
        <f t="shared" si="5"/>
        <v>1</v>
      </c>
      <c r="W48" s="58">
        <f t="shared" si="14"/>
        <v>0.2</v>
      </c>
      <c r="X48" s="8">
        <f t="shared" si="15"/>
        <v>5</v>
      </c>
      <c r="Y48" s="8">
        <f t="shared" si="16"/>
        <v>60</v>
      </c>
      <c r="Z48" s="57">
        <f t="shared" si="17"/>
        <v>86.666666666666671</v>
      </c>
    </row>
    <row r="49" spans="1:26" x14ac:dyDescent="0.3">
      <c r="A49" s="8" t="s">
        <v>41</v>
      </c>
      <c r="B49" s="70" t="str">
        <f>IFERROR(VLOOKUP('1-2-2 关键绩效'!$A49,'1-1 基本信息'!$A:$K,7,0),"")</f>
        <v>采气二厂党委书记、副中层正职，华北石油局有限公司咸阳三普分公司副总经理，内蒙古华胜能源有限公司董事、总经理</v>
      </c>
      <c r="C49" s="8" t="str">
        <f>IFERROR(VLOOKUP($A49,'1-1 基本信息'!$A:$J,10,0),"")</f>
        <v>采气二厂</v>
      </c>
      <c r="D49" s="8" t="str">
        <f>IFERROR(VLOOKUP(A49,'1-1 基本信息'!$A:$I,8,0),"")</f>
        <v>党委书记</v>
      </c>
      <c r="E49" s="57">
        <f>IFERROR(VLOOKUP($A49,'1-2-1 绩效数据'!$A:$C,3,0),"")</f>
        <v>98</v>
      </c>
      <c r="F49" s="8" t="str">
        <f t="shared" si="6"/>
        <v>1</v>
      </c>
      <c r="G49" s="8">
        <f t="shared" si="0"/>
        <v>4</v>
      </c>
      <c r="H49" s="8">
        <f t="shared" si="1"/>
        <v>1</v>
      </c>
      <c r="I49" s="58">
        <f t="shared" si="7"/>
        <v>0.25</v>
      </c>
      <c r="J49" s="8">
        <f t="shared" si="8"/>
        <v>4</v>
      </c>
      <c r="K49" s="8">
        <f t="shared" si="9"/>
        <v>70</v>
      </c>
      <c r="L49" s="57">
        <f>IFERROR(VLOOKUP($A49,'1-2-1 绩效数据'!$D:$F,3,0),"")</f>
        <v>98.64</v>
      </c>
      <c r="M49" s="8" t="str">
        <f t="shared" si="18"/>
        <v>1</v>
      </c>
      <c r="N49" s="8">
        <f t="shared" si="2"/>
        <v>4</v>
      </c>
      <c r="O49" s="8">
        <f t="shared" si="3"/>
        <v>1</v>
      </c>
      <c r="P49" s="58">
        <f t="shared" si="10"/>
        <v>0.25</v>
      </c>
      <c r="Q49" s="8">
        <f t="shared" si="11"/>
        <v>4</v>
      </c>
      <c r="R49" s="8">
        <f t="shared" si="12"/>
        <v>70</v>
      </c>
      <c r="S49" s="57">
        <f>IFERROR(VLOOKUP(A49,'1-2-1 绩效数据'!$G:$I,3,0),"")</f>
        <v>100.76599999999999</v>
      </c>
      <c r="T49" s="8" t="str">
        <f t="shared" si="13"/>
        <v>1</v>
      </c>
      <c r="U49" s="8">
        <f t="shared" si="4"/>
        <v>5</v>
      </c>
      <c r="V49" s="8">
        <f t="shared" si="5"/>
        <v>4</v>
      </c>
      <c r="W49" s="58">
        <f t="shared" si="14"/>
        <v>0.8</v>
      </c>
      <c r="X49" s="8">
        <f t="shared" si="15"/>
        <v>5</v>
      </c>
      <c r="Y49" s="8">
        <f t="shared" si="16"/>
        <v>60</v>
      </c>
      <c r="Z49" s="57">
        <f t="shared" si="17"/>
        <v>66.666666666666671</v>
      </c>
    </row>
    <row r="50" spans="1:26" x14ac:dyDescent="0.3">
      <c r="A50" s="8" t="s">
        <v>59</v>
      </c>
      <c r="B50" s="70" t="str">
        <f>IFERROR(VLOOKUP('1-2-2 关键绩效'!$A50,'1-1 基本信息'!$A:$K,7,0),"")</f>
        <v>采气二厂副中层正职，内蒙古华胜能源有限公司董事、副总经理（兼）</v>
      </c>
      <c r="C50" s="8" t="str">
        <f>IFERROR(VLOOKUP($A50,'1-1 基本信息'!$A:$J,10,0),"")</f>
        <v>采气二厂</v>
      </c>
      <c r="D50" s="8" t="str">
        <f>IFERROR(VLOOKUP(A50,'1-1 基本信息'!$A:$I,8,0),"")</f>
        <v>中层副职</v>
      </c>
      <c r="E50" s="57" t="str">
        <f>IFERROR(VLOOKUP($A50,'1-2-1 绩效数据'!$A:$C,3,0),"")</f>
        <v/>
      </c>
      <c r="F50" s="8" t="str">
        <f t="shared" si="6"/>
        <v>2</v>
      </c>
      <c r="G50" s="8" t="str">
        <f t="shared" si="0"/>
        <v/>
      </c>
      <c r="H50" s="8" t="str">
        <f t="shared" si="1"/>
        <v/>
      </c>
      <c r="I50" s="58" t="str">
        <f t="shared" si="7"/>
        <v/>
      </c>
      <c r="J50" s="8" t="str">
        <f t="shared" si="8"/>
        <v/>
      </c>
      <c r="K50" s="8" t="str">
        <f t="shared" si="9"/>
        <v/>
      </c>
      <c r="L50" s="57" t="str">
        <f>IFERROR(VLOOKUP($A50,'1-2-1 绩效数据'!$D:$F,3,0),"")</f>
        <v/>
      </c>
      <c r="M50" s="8" t="str">
        <f t="shared" si="18"/>
        <v>2</v>
      </c>
      <c r="N50" s="8" t="str">
        <f t="shared" si="2"/>
        <v/>
      </c>
      <c r="O50" s="8" t="str">
        <f t="shared" si="3"/>
        <v/>
      </c>
      <c r="P50" s="58" t="str">
        <f t="shared" si="10"/>
        <v/>
      </c>
      <c r="Q50" s="8" t="str">
        <f t="shared" si="11"/>
        <v/>
      </c>
      <c r="R50" s="8" t="str">
        <f t="shared" si="12"/>
        <v/>
      </c>
      <c r="S50" s="57">
        <f>IFERROR(VLOOKUP(A50,'1-2-1 绩效数据'!$G:$I,3,0),"")</f>
        <v>100.75</v>
      </c>
      <c r="T50" s="8" t="str">
        <f t="shared" si="13"/>
        <v>1</v>
      </c>
      <c r="U50" s="8">
        <f t="shared" si="4"/>
        <v>5</v>
      </c>
      <c r="V50" s="8">
        <f t="shared" si="5"/>
        <v>5</v>
      </c>
      <c r="W50" s="58">
        <f t="shared" si="14"/>
        <v>1</v>
      </c>
      <c r="X50" s="8">
        <f t="shared" si="15"/>
        <v>1</v>
      </c>
      <c r="Y50" s="8">
        <f t="shared" si="16"/>
        <v>100</v>
      </c>
      <c r="Z50" s="57">
        <f t="shared" si="17"/>
        <v>100</v>
      </c>
    </row>
    <row r="51" spans="1:26" x14ac:dyDescent="0.3">
      <c r="A51" s="8" t="s">
        <v>54</v>
      </c>
      <c r="B51" s="70" t="str">
        <f>IFERROR(VLOOKUP('1-2-2 关键绩效'!$A51,'1-1 基本信息'!$A:$K,7,0),"")</f>
        <v>采气二厂副中层正职</v>
      </c>
      <c r="C51" s="8" t="str">
        <f>IFERROR(VLOOKUP($A51,'1-1 基本信息'!$A:$J,10,0),"")</f>
        <v>采气二厂</v>
      </c>
      <c r="D51" s="8" t="str">
        <f>IFERROR(VLOOKUP(A51,'1-1 基本信息'!$A:$I,8,0),"")</f>
        <v>中层副职</v>
      </c>
      <c r="E51" s="57" t="str">
        <f>IFERROR(VLOOKUP($A51,'1-2-1 绩效数据'!$A:$C,3,0),"")</f>
        <v/>
      </c>
      <c r="F51" s="8" t="str">
        <f t="shared" si="6"/>
        <v>2</v>
      </c>
      <c r="G51" s="8" t="str">
        <f t="shared" si="0"/>
        <v/>
      </c>
      <c r="H51" s="8" t="str">
        <f t="shared" si="1"/>
        <v/>
      </c>
      <c r="I51" s="58" t="str">
        <f t="shared" si="7"/>
        <v/>
      </c>
      <c r="J51" s="8" t="str">
        <f t="shared" si="8"/>
        <v/>
      </c>
      <c r="K51" s="8" t="str">
        <f t="shared" si="9"/>
        <v/>
      </c>
      <c r="L51" s="57" t="str">
        <f>IFERROR(VLOOKUP($A51,'1-2-1 绩效数据'!$D:$F,3,0),"")</f>
        <v/>
      </c>
      <c r="M51" s="8" t="str">
        <f t="shared" si="18"/>
        <v>2</v>
      </c>
      <c r="N51" s="8" t="str">
        <f t="shared" si="2"/>
        <v/>
      </c>
      <c r="O51" s="8" t="str">
        <f t="shared" si="3"/>
        <v/>
      </c>
      <c r="P51" s="58" t="str">
        <f t="shared" si="10"/>
        <v/>
      </c>
      <c r="Q51" s="8" t="str">
        <f t="shared" si="11"/>
        <v/>
      </c>
      <c r="R51" s="8" t="str">
        <f t="shared" si="12"/>
        <v/>
      </c>
      <c r="S51" s="57">
        <f>IFERROR(VLOOKUP(A51,'1-2-1 绩效数据'!$G:$I,3,0),"")</f>
        <v>100.77799999999999</v>
      </c>
      <c r="T51" s="8" t="str">
        <f t="shared" si="13"/>
        <v>1</v>
      </c>
      <c r="U51" s="8">
        <f t="shared" si="4"/>
        <v>5</v>
      </c>
      <c r="V51" s="8">
        <f t="shared" si="5"/>
        <v>3</v>
      </c>
      <c r="W51" s="58">
        <f t="shared" si="14"/>
        <v>0.6</v>
      </c>
      <c r="X51" s="8">
        <f t="shared" si="15"/>
        <v>5</v>
      </c>
      <c r="Y51" s="8">
        <f t="shared" si="16"/>
        <v>60</v>
      </c>
      <c r="Z51" s="57">
        <f t="shared" si="17"/>
        <v>60</v>
      </c>
    </row>
    <row r="52" spans="1:26" x14ac:dyDescent="0.3">
      <c r="A52" s="8" t="s">
        <v>45</v>
      </c>
      <c r="B52" s="70" t="str">
        <f>IFERROR(VLOOKUP('1-2-2 关键绩效'!$A52,'1-1 基本信息'!$A:$K,7,0),"")</f>
        <v>采气二厂党委副书记、纪委书记、工会主席</v>
      </c>
      <c r="C52" s="8" t="str">
        <f>IFERROR(VLOOKUP($A52,'1-1 基本信息'!$A:$J,10,0),"")</f>
        <v>采气二厂</v>
      </c>
      <c r="D52" s="8" t="str">
        <f>IFERROR(VLOOKUP(A52,'1-1 基本信息'!$A:$I,8,0),"")</f>
        <v>中层副职</v>
      </c>
      <c r="E52" s="57">
        <f>IFERROR(VLOOKUP($A52,'1-2-1 绩效数据'!$A:$C,3,0),"")</f>
        <v>96.33</v>
      </c>
      <c r="F52" s="8" t="str">
        <f t="shared" si="6"/>
        <v>1</v>
      </c>
      <c r="G52" s="8">
        <f t="shared" si="0"/>
        <v>4</v>
      </c>
      <c r="H52" s="8">
        <f t="shared" si="1"/>
        <v>3</v>
      </c>
      <c r="I52" s="58">
        <f t="shared" si="7"/>
        <v>0.75</v>
      </c>
      <c r="J52" s="8">
        <f t="shared" si="8"/>
        <v>4</v>
      </c>
      <c r="K52" s="8">
        <f t="shared" si="9"/>
        <v>70</v>
      </c>
      <c r="L52" s="57">
        <f>IFERROR(VLOOKUP($A52,'1-2-1 绩效数据'!$D:$F,3,0),"")</f>
        <v>98.17</v>
      </c>
      <c r="M52" s="8" t="str">
        <f t="shared" si="18"/>
        <v>1</v>
      </c>
      <c r="N52" s="8">
        <f t="shared" si="2"/>
        <v>4</v>
      </c>
      <c r="O52" s="8">
        <f t="shared" si="3"/>
        <v>3</v>
      </c>
      <c r="P52" s="58">
        <f t="shared" si="10"/>
        <v>0.75</v>
      </c>
      <c r="Q52" s="8">
        <f t="shared" si="11"/>
        <v>4</v>
      </c>
      <c r="R52" s="8">
        <f t="shared" si="12"/>
        <v>70</v>
      </c>
      <c r="S52" s="57" t="str">
        <f>IFERROR(VLOOKUP(A52,'1-2-1 绩效数据'!$G:$I,3,0),"")</f>
        <v/>
      </c>
      <c r="T52" s="8" t="str">
        <f t="shared" si="13"/>
        <v>2</v>
      </c>
      <c r="U52" s="8" t="str">
        <f t="shared" si="4"/>
        <v/>
      </c>
      <c r="V52" s="8" t="str">
        <f t="shared" si="5"/>
        <v/>
      </c>
      <c r="W52" s="58" t="str">
        <f t="shared" si="14"/>
        <v/>
      </c>
      <c r="X52" s="8" t="str">
        <f t="shared" si="15"/>
        <v/>
      </c>
      <c r="Y52" s="8" t="str">
        <f t="shared" si="16"/>
        <v/>
      </c>
      <c r="Z52" s="57">
        <f t="shared" si="17"/>
        <v>70</v>
      </c>
    </row>
    <row r="53" spans="1:26" x14ac:dyDescent="0.3">
      <c r="A53" s="8" t="s">
        <v>417</v>
      </c>
      <c r="B53" s="70" t="str">
        <f>IFERROR(VLOOKUP('1-2-2 关键绩效'!$A53,'1-1 基本信息'!$A:$K,7,0),"")</f>
        <v>采气二厂总会计师</v>
      </c>
      <c r="C53" s="8" t="str">
        <f>IFERROR(VLOOKUP($A53,'1-1 基本信息'!$A:$J,10,0),"")</f>
        <v>采气二厂</v>
      </c>
      <c r="D53" s="8" t="str">
        <f>IFERROR(VLOOKUP(A53,'1-1 基本信息'!$A:$I,8,0),"")</f>
        <v>中层副职</v>
      </c>
      <c r="E53" s="57">
        <f>IFERROR(VLOOKUP($A53,'1-2-1 绩效数据'!$A:$C,3,0),"")</f>
        <v>97.69</v>
      </c>
      <c r="F53" s="8" t="str">
        <f t="shared" si="6"/>
        <v>1</v>
      </c>
      <c r="G53" s="8">
        <f t="shared" si="0"/>
        <v>4</v>
      </c>
      <c r="H53" s="8">
        <f t="shared" si="1"/>
        <v>2</v>
      </c>
      <c r="I53" s="58">
        <f t="shared" si="7"/>
        <v>0.5</v>
      </c>
      <c r="J53" s="8">
        <f t="shared" si="8"/>
        <v>4</v>
      </c>
      <c r="K53" s="8">
        <f t="shared" si="9"/>
        <v>70</v>
      </c>
      <c r="L53" s="57">
        <f>IFERROR(VLOOKUP($A53,'1-2-1 绩效数据'!$D:$F,3,0),"")</f>
        <v>98.259999999999991</v>
      </c>
      <c r="M53" s="8" t="str">
        <f t="shared" si="18"/>
        <v>1</v>
      </c>
      <c r="N53" s="8">
        <f t="shared" si="2"/>
        <v>4</v>
      </c>
      <c r="O53" s="8">
        <f t="shared" si="3"/>
        <v>2</v>
      </c>
      <c r="P53" s="58">
        <f t="shared" si="10"/>
        <v>0.5</v>
      </c>
      <c r="Q53" s="8">
        <f t="shared" si="11"/>
        <v>4</v>
      </c>
      <c r="R53" s="8">
        <f t="shared" si="12"/>
        <v>70</v>
      </c>
      <c r="S53" s="57">
        <f>IFERROR(VLOOKUP(A53,'1-2-1 绩效数据'!$G:$I,3,0),"")</f>
        <v>100.97</v>
      </c>
      <c r="T53" s="8" t="str">
        <f t="shared" si="13"/>
        <v>1</v>
      </c>
      <c r="U53" s="8">
        <f t="shared" si="4"/>
        <v>5</v>
      </c>
      <c r="V53" s="8">
        <f t="shared" si="5"/>
        <v>2</v>
      </c>
      <c r="W53" s="58">
        <f t="shared" si="14"/>
        <v>0.4</v>
      </c>
      <c r="X53" s="8">
        <f t="shared" si="15"/>
        <v>5</v>
      </c>
      <c r="Y53" s="8">
        <f t="shared" si="16"/>
        <v>60</v>
      </c>
      <c r="Z53" s="57">
        <f t="shared" si="17"/>
        <v>66.666666666666671</v>
      </c>
    </row>
    <row r="54" spans="1:26" x14ac:dyDescent="0.3">
      <c r="A54" s="8" t="s">
        <v>419</v>
      </c>
      <c r="B54" s="70" t="str">
        <f>IFERROR(VLOOKUP('1-2-2 关键绩效'!$A54,'1-1 基本信息'!$A:$K,7,0),"")</f>
        <v>采油一厂中层正职、党委副书记</v>
      </c>
      <c r="C54" s="8" t="str">
        <f>IFERROR(VLOOKUP($A54,'1-1 基本信息'!$A:$J,10,0),"")</f>
        <v>采油一厂</v>
      </c>
      <c r="D54" s="8" t="str">
        <f>IFERROR(VLOOKUP(A54,'1-1 基本信息'!$A:$I,8,0),"")</f>
        <v>中层正职</v>
      </c>
      <c r="E54" s="57">
        <f>IFERROR(VLOOKUP($A54,'1-2-1 绩效数据'!$A:$C,3,0),"")</f>
        <v>97.99</v>
      </c>
      <c r="F54" s="8" t="str">
        <f t="shared" si="6"/>
        <v>1</v>
      </c>
      <c r="G54" s="8">
        <f t="shared" si="0"/>
        <v>4</v>
      </c>
      <c r="H54" s="8">
        <f t="shared" si="1"/>
        <v>2</v>
      </c>
      <c r="I54" s="58">
        <f t="shared" si="7"/>
        <v>0.5</v>
      </c>
      <c r="J54" s="8">
        <f t="shared" si="8"/>
        <v>4</v>
      </c>
      <c r="K54" s="8">
        <f t="shared" si="9"/>
        <v>70</v>
      </c>
      <c r="L54" s="57">
        <f>IFERROR(VLOOKUP($A54,'1-2-1 绩效数据'!$D:$F,3,0),"")</f>
        <v>98.77000000000001</v>
      </c>
      <c r="M54" s="8" t="str">
        <f t="shared" si="18"/>
        <v>1</v>
      </c>
      <c r="N54" s="8">
        <f t="shared" si="2"/>
        <v>4</v>
      </c>
      <c r="O54" s="8">
        <f t="shared" si="3"/>
        <v>1</v>
      </c>
      <c r="P54" s="58">
        <f t="shared" si="10"/>
        <v>0.25</v>
      </c>
      <c r="Q54" s="8">
        <f t="shared" si="11"/>
        <v>4</v>
      </c>
      <c r="R54" s="8">
        <f t="shared" si="12"/>
        <v>70</v>
      </c>
      <c r="S54" s="57">
        <f>IFERROR(VLOOKUP(A54,'1-2-1 绩效数据'!$G:$I,3,0),"")</f>
        <v>96.938400000000001</v>
      </c>
      <c r="T54" s="8" t="str">
        <f t="shared" si="13"/>
        <v>1</v>
      </c>
      <c r="U54" s="8">
        <f t="shared" si="4"/>
        <v>4</v>
      </c>
      <c r="V54" s="8">
        <f t="shared" si="5"/>
        <v>1</v>
      </c>
      <c r="W54" s="58">
        <f t="shared" si="14"/>
        <v>0.25</v>
      </c>
      <c r="X54" s="8">
        <f t="shared" si="15"/>
        <v>4</v>
      </c>
      <c r="Y54" s="8">
        <f t="shared" si="16"/>
        <v>70</v>
      </c>
      <c r="Z54" s="57">
        <f t="shared" si="17"/>
        <v>70</v>
      </c>
    </row>
    <row r="55" spans="1:26" x14ac:dyDescent="0.3">
      <c r="A55" s="8" t="s">
        <v>83</v>
      </c>
      <c r="B55" s="70" t="str">
        <f>IFERROR(VLOOKUP('1-2-2 关键绩效'!$A55,'1-1 基本信息'!$A:$K,7,0),"")</f>
        <v>采油一厂党委书记、副中层正职</v>
      </c>
      <c r="C55" s="8" t="str">
        <f>IFERROR(VLOOKUP($A55,'1-1 基本信息'!$A:$J,10,0),"")</f>
        <v>采油一厂</v>
      </c>
      <c r="D55" s="8" t="str">
        <f>IFERROR(VLOOKUP(A55,'1-1 基本信息'!$A:$I,8,0),"")</f>
        <v>党委书记</v>
      </c>
      <c r="E55" s="57">
        <f>IFERROR(VLOOKUP($A55,'1-2-1 绩效数据'!$A:$C,3,0),"")</f>
        <v>98.3</v>
      </c>
      <c r="F55" s="8" t="str">
        <f t="shared" si="6"/>
        <v>1</v>
      </c>
      <c r="G55" s="8">
        <f t="shared" si="0"/>
        <v>4</v>
      </c>
      <c r="H55" s="8">
        <f t="shared" si="1"/>
        <v>1</v>
      </c>
      <c r="I55" s="58">
        <f t="shared" si="7"/>
        <v>0.25</v>
      </c>
      <c r="J55" s="8">
        <f t="shared" si="8"/>
        <v>4</v>
      </c>
      <c r="K55" s="8">
        <f t="shared" si="9"/>
        <v>70</v>
      </c>
      <c r="L55" s="57">
        <f>IFERROR(VLOOKUP($A55,'1-2-1 绩效数据'!$D:$F,3,0),"")</f>
        <v>98.449999999999989</v>
      </c>
      <c r="M55" s="8" t="str">
        <f t="shared" si="18"/>
        <v>1</v>
      </c>
      <c r="N55" s="8">
        <f t="shared" si="2"/>
        <v>4</v>
      </c>
      <c r="O55" s="8">
        <f t="shared" si="3"/>
        <v>2</v>
      </c>
      <c r="P55" s="58">
        <f t="shared" si="10"/>
        <v>0.5</v>
      </c>
      <c r="Q55" s="8">
        <f t="shared" si="11"/>
        <v>4</v>
      </c>
      <c r="R55" s="8">
        <f t="shared" si="12"/>
        <v>70</v>
      </c>
      <c r="S55" s="57">
        <f>IFERROR(VLOOKUP(A55,'1-2-1 绩效数据'!$G:$I,3,0),"")</f>
        <v>95.65440000000001</v>
      </c>
      <c r="T55" s="8" t="str">
        <f t="shared" si="13"/>
        <v>1</v>
      </c>
      <c r="U55" s="8">
        <f t="shared" si="4"/>
        <v>4</v>
      </c>
      <c r="V55" s="8">
        <f t="shared" si="5"/>
        <v>3</v>
      </c>
      <c r="W55" s="58">
        <f t="shared" si="14"/>
        <v>0.75</v>
      </c>
      <c r="X55" s="8">
        <f t="shared" si="15"/>
        <v>4</v>
      </c>
      <c r="Y55" s="8">
        <f t="shared" si="16"/>
        <v>70</v>
      </c>
      <c r="Z55" s="57">
        <f t="shared" si="17"/>
        <v>70</v>
      </c>
    </row>
    <row r="56" spans="1:26" x14ac:dyDescent="0.3">
      <c r="A56" s="8" t="s">
        <v>128</v>
      </c>
      <c r="B56" s="70" t="str">
        <f>IFERROR(VLOOKUP('1-2-2 关键绩效'!$A56,'1-1 基本信息'!$A:$K,7,0),"")</f>
        <v>采油一厂党委副书记、纪委书记、工会主席</v>
      </c>
      <c r="C56" s="8" t="str">
        <f>IFERROR(VLOOKUP($A56,'1-1 基本信息'!$A:$J,10,0),"")</f>
        <v>采油一厂</v>
      </c>
      <c r="D56" s="8" t="str">
        <f>IFERROR(VLOOKUP(A56,'1-1 基本信息'!$A:$I,8,0),"")</f>
        <v>中层副职</v>
      </c>
      <c r="E56" s="57">
        <f>IFERROR(VLOOKUP($A56,'1-2-1 绩效数据'!$A:$C,3,0),"")</f>
        <v>96.62</v>
      </c>
      <c r="F56" s="8" t="str">
        <f t="shared" si="6"/>
        <v>1</v>
      </c>
      <c r="G56" s="8">
        <f t="shared" si="0"/>
        <v>4</v>
      </c>
      <c r="H56" s="8">
        <f t="shared" si="1"/>
        <v>4</v>
      </c>
      <c r="I56" s="58">
        <f t="shared" si="7"/>
        <v>1</v>
      </c>
      <c r="J56" s="8">
        <f t="shared" si="8"/>
        <v>1</v>
      </c>
      <c r="K56" s="8">
        <f t="shared" si="9"/>
        <v>100</v>
      </c>
      <c r="L56" s="57">
        <f>IFERROR(VLOOKUP($A56,'1-2-1 绩效数据'!$D:$F,3,0),"")</f>
        <v>97.550000000000011</v>
      </c>
      <c r="M56" s="8" t="str">
        <f t="shared" si="18"/>
        <v>1</v>
      </c>
      <c r="N56" s="8">
        <f t="shared" si="2"/>
        <v>4</v>
      </c>
      <c r="O56" s="8">
        <f t="shared" si="3"/>
        <v>4</v>
      </c>
      <c r="P56" s="58">
        <f t="shared" si="10"/>
        <v>1</v>
      </c>
      <c r="Q56" s="8">
        <f t="shared" si="11"/>
        <v>1</v>
      </c>
      <c r="R56" s="8">
        <f t="shared" si="12"/>
        <v>100</v>
      </c>
      <c r="S56" s="57">
        <f>IFERROR(VLOOKUP(A56,'1-2-1 绩效数据'!$G:$I,3,0),"")</f>
        <v>95.5184</v>
      </c>
      <c r="T56" s="8" t="str">
        <f t="shared" si="13"/>
        <v>1</v>
      </c>
      <c r="U56" s="8">
        <f t="shared" si="4"/>
        <v>4</v>
      </c>
      <c r="V56" s="8">
        <f t="shared" si="5"/>
        <v>4</v>
      </c>
      <c r="W56" s="58">
        <f t="shared" si="14"/>
        <v>1</v>
      </c>
      <c r="X56" s="8">
        <f t="shared" si="15"/>
        <v>1</v>
      </c>
      <c r="Y56" s="8">
        <f t="shared" si="16"/>
        <v>100</v>
      </c>
      <c r="Z56" s="57">
        <f t="shared" si="17"/>
        <v>100</v>
      </c>
    </row>
    <row r="57" spans="1:26" x14ac:dyDescent="0.3">
      <c r="A57" s="8" t="s">
        <v>119</v>
      </c>
      <c r="B57" s="70" t="str">
        <f>IFERROR(VLOOKUP('1-2-2 关键绩效'!$A57,'1-1 基本信息'!$A:$K,7,0),"")</f>
        <v>采油一厂总经济师</v>
      </c>
      <c r="C57" s="8" t="str">
        <f>IFERROR(VLOOKUP($A57,'1-1 基本信息'!$A:$J,10,0),"")</f>
        <v>采油一厂</v>
      </c>
      <c r="D57" s="8" t="str">
        <f>IFERROR(VLOOKUP(A57,'1-1 基本信息'!$A:$I,8,0),"")</f>
        <v>中层副职</v>
      </c>
      <c r="E57" s="57">
        <f>IFERROR(VLOOKUP($A57,'1-2-1 绩效数据'!$A:$C,3,0),"")</f>
        <v>96.86</v>
      </c>
      <c r="F57" s="8" t="str">
        <f t="shared" si="6"/>
        <v>1</v>
      </c>
      <c r="G57" s="8">
        <f t="shared" si="0"/>
        <v>4</v>
      </c>
      <c r="H57" s="8">
        <f t="shared" si="1"/>
        <v>3</v>
      </c>
      <c r="I57" s="58">
        <f t="shared" si="7"/>
        <v>0.75</v>
      </c>
      <c r="J57" s="8">
        <f t="shared" si="8"/>
        <v>4</v>
      </c>
      <c r="K57" s="8">
        <f t="shared" si="9"/>
        <v>70</v>
      </c>
      <c r="L57" s="57">
        <f>IFERROR(VLOOKUP($A57,'1-2-1 绩效数据'!$D:$F,3,0),"")</f>
        <v>98.02000000000001</v>
      </c>
      <c r="M57" s="8" t="str">
        <f t="shared" si="18"/>
        <v>1</v>
      </c>
      <c r="N57" s="8">
        <f t="shared" si="2"/>
        <v>4</v>
      </c>
      <c r="O57" s="8">
        <f t="shared" si="3"/>
        <v>3</v>
      </c>
      <c r="P57" s="58">
        <f t="shared" si="10"/>
        <v>0.75</v>
      </c>
      <c r="Q57" s="8">
        <f t="shared" si="11"/>
        <v>4</v>
      </c>
      <c r="R57" s="8">
        <f t="shared" si="12"/>
        <v>70</v>
      </c>
      <c r="S57" s="57">
        <f>IFERROR(VLOOKUP(A57,'1-2-1 绩效数据'!$G:$I,3,0),"")</f>
        <v>96.714399999999998</v>
      </c>
      <c r="T57" s="8" t="str">
        <f t="shared" si="13"/>
        <v>1</v>
      </c>
      <c r="U57" s="8">
        <f t="shared" si="4"/>
        <v>4</v>
      </c>
      <c r="V57" s="8">
        <f t="shared" si="5"/>
        <v>2</v>
      </c>
      <c r="W57" s="58">
        <f t="shared" si="14"/>
        <v>0.5</v>
      </c>
      <c r="X57" s="8">
        <f t="shared" si="15"/>
        <v>4</v>
      </c>
      <c r="Y57" s="8">
        <f t="shared" si="16"/>
        <v>70</v>
      </c>
      <c r="Z57" s="57">
        <f t="shared" si="17"/>
        <v>70</v>
      </c>
    </row>
    <row r="58" spans="1:26" x14ac:dyDescent="0.3">
      <c r="A58" s="8" t="s">
        <v>67</v>
      </c>
      <c r="B58" s="70" t="str">
        <f>IFERROR(VLOOKUP('1-2-2 关键绩效'!$A58,'1-1 基本信息'!$A:$K,7,0),"")</f>
        <v>勘探开发研究院中层正职、党委副书记</v>
      </c>
      <c r="C58" s="8" t="str">
        <f>IFERROR(VLOOKUP($A58,'1-1 基本信息'!$A:$J,10,0),"")</f>
        <v>勘探开发研究院</v>
      </c>
      <c r="D58" s="8" t="str">
        <f>IFERROR(VLOOKUP(A58,'1-1 基本信息'!$A:$I,8,0),"")</f>
        <v>中层正职</v>
      </c>
      <c r="E58" s="57" t="str">
        <f>IFERROR(VLOOKUP($A58,'1-2-1 绩效数据'!$A:$C,3,0),"")</f>
        <v/>
      </c>
      <c r="F58" s="8" t="str">
        <f t="shared" si="6"/>
        <v>2</v>
      </c>
      <c r="G58" s="8" t="str">
        <f t="shared" si="0"/>
        <v/>
      </c>
      <c r="H58" s="8" t="str">
        <f t="shared" si="1"/>
        <v/>
      </c>
      <c r="I58" s="58" t="str">
        <f t="shared" si="7"/>
        <v/>
      </c>
      <c r="J58" s="8" t="str">
        <f t="shared" si="8"/>
        <v/>
      </c>
      <c r="K58" s="8" t="str">
        <f t="shared" si="9"/>
        <v/>
      </c>
      <c r="L58" s="57">
        <f>IFERROR(VLOOKUP($A58,'1-2-1 绩效数据'!$D:$F,3,0),"")</f>
        <v>99.289999999999992</v>
      </c>
      <c r="M58" s="8" t="str">
        <f t="shared" si="18"/>
        <v>1</v>
      </c>
      <c r="N58" s="8">
        <f t="shared" si="2"/>
        <v>4</v>
      </c>
      <c r="O58" s="8">
        <f t="shared" si="3"/>
        <v>1</v>
      </c>
      <c r="P58" s="58">
        <f t="shared" si="10"/>
        <v>0.25</v>
      </c>
      <c r="Q58" s="8">
        <f t="shared" si="11"/>
        <v>4</v>
      </c>
      <c r="R58" s="8">
        <f t="shared" si="12"/>
        <v>70</v>
      </c>
      <c r="S58" s="57">
        <f>IFERROR(VLOOKUP(A58,'1-2-1 绩效数据'!$G:$I,3,0),"")</f>
        <v>100.5478</v>
      </c>
      <c r="T58" s="8" t="str">
        <f t="shared" si="13"/>
        <v>1</v>
      </c>
      <c r="U58" s="8">
        <f t="shared" si="4"/>
        <v>4</v>
      </c>
      <c r="V58" s="8">
        <f t="shared" si="5"/>
        <v>1</v>
      </c>
      <c r="W58" s="58">
        <f t="shared" si="14"/>
        <v>0.25</v>
      </c>
      <c r="X58" s="8">
        <f t="shared" si="15"/>
        <v>4</v>
      </c>
      <c r="Y58" s="8">
        <f t="shared" si="16"/>
        <v>70</v>
      </c>
      <c r="Z58" s="57">
        <f t="shared" si="17"/>
        <v>70</v>
      </c>
    </row>
    <row r="59" spans="1:26" x14ac:dyDescent="0.3">
      <c r="A59" s="8" t="s">
        <v>85</v>
      </c>
      <c r="B59" s="70" t="str">
        <f>IFERROR(VLOOKUP('1-2-2 关键绩效'!$A59,'1-1 基本信息'!$A:$K,7,0),"")</f>
        <v>勘探开发研究院党委书记、纪委书记、工会主席、副中层正职</v>
      </c>
      <c r="C59" s="8" t="str">
        <f>IFERROR(VLOOKUP($A59,'1-1 基本信息'!$A:$J,10,0),"")</f>
        <v>勘探开发研究院</v>
      </c>
      <c r="D59" s="8" t="str">
        <f>IFERROR(VLOOKUP(A59,'1-1 基本信息'!$A:$I,8,0),"")</f>
        <v>党委书记</v>
      </c>
      <c r="E59" s="57">
        <f>IFERROR(VLOOKUP($A59,'1-2-1 绩效数据'!$A:$C,3,0),"")</f>
        <v>96.72</v>
      </c>
      <c r="F59" s="8" t="str">
        <f t="shared" si="6"/>
        <v>1</v>
      </c>
      <c r="G59" s="8">
        <f t="shared" si="0"/>
        <v>2</v>
      </c>
      <c r="H59" s="8">
        <f t="shared" si="1"/>
        <v>2</v>
      </c>
      <c r="I59" s="58">
        <f t="shared" si="7"/>
        <v>1</v>
      </c>
      <c r="J59" s="8">
        <f t="shared" si="8"/>
        <v>1</v>
      </c>
      <c r="K59" s="8">
        <f t="shared" si="9"/>
        <v>100</v>
      </c>
      <c r="L59" s="57">
        <f>IFERROR(VLOOKUP($A59,'1-2-1 绩效数据'!$D:$F,3,0),"")</f>
        <v>97.25</v>
      </c>
      <c r="M59" s="8" t="str">
        <f t="shared" si="18"/>
        <v>1</v>
      </c>
      <c r="N59" s="8">
        <f t="shared" si="2"/>
        <v>4</v>
      </c>
      <c r="O59" s="8">
        <f t="shared" si="3"/>
        <v>4</v>
      </c>
      <c r="P59" s="58">
        <f t="shared" si="10"/>
        <v>1</v>
      </c>
      <c r="Q59" s="8">
        <f t="shared" si="11"/>
        <v>1</v>
      </c>
      <c r="R59" s="8">
        <f t="shared" si="12"/>
        <v>100</v>
      </c>
      <c r="S59" s="57">
        <f>IFERROR(VLOOKUP(A59,'1-2-1 绩效数据'!$G:$I,3,0),"")</f>
        <v>99.627799999999993</v>
      </c>
      <c r="T59" s="8" t="str">
        <f t="shared" si="13"/>
        <v>1</v>
      </c>
      <c r="U59" s="8">
        <f t="shared" si="4"/>
        <v>4</v>
      </c>
      <c r="V59" s="8">
        <f t="shared" si="5"/>
        <v>3</v>
      </c>
      <c r="W59" s="58">
        <f t="shared" si="14"/>
        <v>0.75</v>
      </c>
      <c r="X59" s="8">
        <f t="shared" si="15"/>
        <v>4</v>
      </c>
      <c r="Y59" s="8">
        <f t="shared" si="16"/>
        <v>70</v>
      </c>
      <c r="Z59" s="57">
        <f t="shared" si="17"/>
        <v>90</v>
      </c>
    </row>
    <row r="60" spans="1:26" x14ac:dyDescent="0.3">
      <c r="A60" s="8" t="s">
        <v>105</v>
      </c>
      <c r="B60" s="70" t="str">
        <f>IFERROR(VLOOKUP('1-2-2 关键绩效'!$A60,'1-1 基本信息'!$A:$K,7,0),"")</f>
        <v>勘探开发研究院副中层正职</v>
      </c>
      <c r="C60" s="8" t="str">
        <f>IFERROR(VLOOKUP($A60,'1-1 基本信息'!$A:$J,10,0),"")</f>
        <v>勘探开发研究院</v>
      </c>
      <c r="D60" s="8" t="str">
        <f>IFERROR(VLOOKUP(A60,'1-1 基本信息'!$A:$I,8,0),"")</f>
        <v>中层副职</v>
      </c>
      <c r="E60" s="57">
        <f>IFERROR(VLOOKUP($A60,'1-2-1 绩效数据'!$A:$C,3,0),"")</f>
        <v>97.81</v>
      </c>
      <c r="F60" s="8" t="str">
        <f t="shared" si="6"/>
        <v>1</v>
      </c>
      <c r="G60" s="8">
        <f t="shared" si="0"/>
        <v>2</v>
      </c>
      <c r="H60" s="8">
        <f t="shared" si="1"/>
        <v>1</v>
      </c>
      <c r="I60" s="58">
        <f t="shared" si="7"/>
        <v>0.5</v>
      </c>
      <c r="J60" s="8">
        <f t="shared" si="8"/>
        <v>2</v>
      </c>
      <c r="K60" s="8">
        <f t="shared" si="9"/>
        <v>90</v>
      </c>
      <c r="L60" s="57">
        <f>IFERROR(VLOOKUP($A60,'1-2-1 绩效数据'!$D:$F,3,0),"")</f>
        <v>99.13</v>
      </c>
      <c r="M60" s="8" t="str">
        <f t="shared" si="18"/>
        <v>1</v>
      </c>
      <c r="N60" s="8">
        <f t="shared" si="2"/>
        <v>4</v>
      </c>
      <c r="O60" s="8">
        <f t="shared" si="3"/>
        <v>3</v>
      </c>
      <c r="P60" s="58">
        <f t="shared" si="10"/>
        <v>0.75</v>
      </c>
      <c r="Q60" s="8">
        <f t="shared" si="11"/>
        <v>4</v>
      </c>
      <c r="R60" s="8">
        <f t="shared" si="12"/>
        <v>70</v>
      </c>
      <c r="S60" s="57">
        <f>IFERROR(VLOOKUP(A60,'1-2-1 绩效数据'!$G:$I,3,0),"")</f>
        <v>98.987799999999993</v>
      </c>
      <c r="T60" s="8" t="str">
        <f t="shared" si="13"/>
        <v>1</v>
      </c>
      <c r="U60" s="8">
        <f t="shared" si="4"/>
        <v>4</v>
      </c>
      <c r="V60" s="8">
        <f t="shared" si="5"/>
        <v>4</v>
      </c>
      <c r="W60" s="58">
        <f t="shared" si="14"/>
        <v>1</v>
      </c>
      <c r="X60" s="8">
        <f t="shared" si="15"/>
        <v>1</v>
      </c>
      <c r="Y60" s="8">
        <f t="shared" si="16"/>
        <v>100</v>
      </c>
      <c r="Z60" s="57">
        <f t="shared" si="17"/>
        <v>86.666666666666671</v>
      </c>
    </row>
    <row r="61" spans="1:26" x14ac:dyDescent="0.3">
      <c r="A61" s="8" t="s">
        <v>55</v>
      </c>
      <c r="B61" s="70" t="str">
        <f>IFERROR(VLOOKUP('1-2-2 关键绩效'!$A61,'1-1 基本信息'!$A:$K,7,0),"")</f>
        <v>勘探开发研究院副中层正职</v>
      </c>
      <c r="C61" s="8" t="str">
        <f>IFERROR(VLOOKUP($A61,'1-1 基本信息'!$A:$J,10,0),"")</f>
        <v>勘探开发研究院</v>
      </c>
      <c r="D61" s="8" t="str">
        <f>IFERROR(VLOOKUP(A61,'1-1 基本信息'!$A:$I,8,0),"")</f>
        <v>中层副职</v>
      </c>
      <c r="E61" s="57" t="str">
        <f>IFERROR(VLOOKUP($A61,'1-2-1 绩效数据'!$A:$C,3,0),"")</f>
        <v/>
      </c>
      <c r="F61" s="8" t="str">
        <f t="shared" si="6"/>
        <v>2</v>
      </c>
      <c r="G61" s="8" t="str">
        <f t="shared" si="0"/>
        <v/>
      </c>
      <c r="H61" s="8" t="str">
        <f t="shared" si="1"/>
        <v/>
      </c>
      <c r="I61" s="58" t="str">
        <f t="shared" si="7"/>
        <v/>
      </c>
      <c r="J61" s="8" t="str">
        <f t="shared" si="8"/>
        <v/>
      </c>
      <c r="K61" s="8" t="str">
        <f t="shared" si="9"/>
        <v/>
      </c>
      <c r="L61" s="57">
        <f>IFERROR(VLOOKUP($A61,'1-2-1 绩效数据'!$D:$F,3,0),"")</f>
        <v>99.14</v>
      </c>
      <c r="M61" s="8" t="str">
        <f t="shared" si="18"/>
        <v>1</v>
      </c>
      <c r="N61" s="8">
        <f t="shared" si="2"/>
        <v>4</v>
      </c>
      <c r="O61" s="8">
        <f t="shared" si="3"/>
        <v>2</v>
      </c>
      <c r="P61" s="58">
        <f t="shared" si="10"/>
        <v>0.5</v>
      </c>
      <c r="Q61" s="8">
        <f t="shared" si="11"/>
        <v>4</v>
      </c>
      <c r="R61" s="8">
        <f t="shared" si="12"/>
        <v>70</v>
      </c>
      <c r="S61" s="57">
        <f>IFERROR(VLOOKUP(A61,'1-2-1 绩效数据'!$G:$I,3,0),"")</f>
        <v>100.10379999999999</v>
      </c>
      <c r="T61" s="8" t="str">
        <f t="shared" si="13"/>
        <v>1</v>
      </c>
      <c r="U61" s="8">
        <f t="shared" si="4"/>
        <v>4</v>
      </c>
      <c r="V61" s="8">
        <f t="shared" si="5"/>
        <v>2</v>
      </c>
      <c r="W61" s="58">
        <f t="shared" si="14"/>
        <v>0.5</v>
      </c>
      <c r="X61" s="8">
        <f t="shared" si="15"/>
        <v>4</v>
      </c>
      <c r="Y61" s="8">
        <f t="shared" si="16"/>
        <v>70</v>
      </c>
      <c r="Z61" s="57">
        <f t="shared" si="17"/>
        <v>70</v>
      </c>
    </row>
    <row r="62" spans="1:26" x14ac:dyDescent="0.3">
      <c r="A62" s="8" t="s">
        <v>69</v>
      </c>
      <c r="B62" s="70" t="str">
        <f>IFERROR(VLOOKUP('1-2-2 关键绩效'!$A62,'1-1 基本信息'!$A:$K,7,0),"")</f>
        <v>石油工程技术研究院中层正职、党委副书记</v>
      </c>
      <c r="C62" s="8" t="str">
        <f>IFERROR(VLOOKUP($A62,'1-1 基本信息'!$A:$J,10,0),"")</f>
        <v>石油工程技术研究院</v>
      </c>
      <c r="D62" s="8" t="str">
        <f>IFERROR(VLOOKUP(A62,'1-1 基本信息'!$A:$I,8,0),"")</f>
        <v>中层正职</v>
      </c>
      <c r="E62" s="57" t="str">
        <f>IFERROR(VLOOKUP($A62,'1-2-1 绩效数据'!$A:$C,3,0),"")</f>
        <v/>
      </c>
      <c r="F62" s="8" t="str">
        <f t="shared" si="6"/>
        <v>2</v>
      </c>
      <c r="G62" s="8" t="str">
        <f t="shared" si="0"/>
        <v/>
      </c>
      <c r="H62" s="8" t="str">
        <f t="shared" si="1"/>
        <v/>
      </c>
      <c r="I62" s="58" t="str">
        <f t="shared" si="7"/>
        <v/>
      </c>
      <c r="J62" s="8" t="str">
        <f t="shared" si="8"/>
        <v/>
      </c>
      <c r="K62" s="8" t="str">
        <f t="shared" si="9"/>
        <v/>
      </c>
      <c r="L62" s="57">
        <f>IFERROR(VLOOKUP($A62,'1-2-1 绩效数据'!$D:$F,3,0),"")</f>
        <v>99.509999999999991</v>
      </c>
      <c r="M62" s="8" t="str">
        <f t="shared" si="18"/>
        <v>1</v>
      </c>
      <c r="N62" s="8">
        <f t="shared" si="2"/>
        <v>3</v>
      </c>
      <c r="O62" s="8">
        <f t="shared" si="3"/>
        <v>1</v>
      </c>
      <c r="P62" s="58">
        <f t="shared" si="10"/>
        <v>0.33333333333333331</v>
      </c>
      <c r="Q62" s="8">
        <f t="shared" si="11"/>
        <v>3</v>
      </c>
      <c r="R62" s="8">
        <f t="shared" si="12"/>
        <v>80</v>
      </c>
      <c r="S62" s="57">
        <f>IFERROR(VLOOKUP(A62,'1-2-1 绩效数据'!$G:$I,3,0),"")</f>
        <v>98.031499999999994</v>
      </c>
      <c r="T62" s="8" t="str">
        <f t="shared" si="13"/>
        <v>1</v>
      </c>
      <c r="U62" s="8">
        <f t="shared" si="4"/>
        <v>2</v>
      </c>
      <c r="V62" s="8">
        <f t="shared" si="5"/>
        <v>1</v>
      </c>
      <c r="W62" s="58">
        <f t="shared" si="14"/>
        <v>0.5</v>
      </c>
      <c r="X62" s="8">
        <f t="shared" si="15"/>
        <v>2</v>
      </c>
      <c r="Y62" s="8">
        <f t="shared" si="16"/>
        <v>90</v>
      </c>
      <c r="Z62" s="57">
        <f t="shared" si="17"/>
        <v>85</v>
      </c>
    </row>
    <row r="63" spans="1:26" x14ac:dyDescent="0.3">
      <c r="A63" s="8" t="s">
        <v>82</v>
      </c>
      <c r="B63" s="70" t="str">
        <f>IFERROR(VLOOKUP('1-2-2 关键绩效'!$A63,'1-1 基本信息'!$A:$K,7,0),"")</f>
        <v>石油工程技术研究院党委书记、纪委书记、工会主席、副中层正职</v>
      </c>
      <c r="C63" s="8" t="str">
        <f>IFERROR(VLOOKUP($A63,'1-1 基本信息'!$A:$J,10,0),"")</f>
        <v>石油工程技术研究院</v>
      </c>
      <c r="D63" s="8" t="str">
        <f>IFERROR(VLOOKUP(A63,'1-1 基本信息'!$A:$I,8,0),"")</f>
        <v>党委书记</v>
      </c>
      <c r="E63" s="57">
        <f>IFERROR(VLOOKUP($A63,'1-2-1 绩效数据'!$A:$C,3,0),"")</f>
        <v>97.66</v>
      </c>
      <c r="F63" s="8" t="str">
        <f t="shared" si="6"/>
        <v>1</v>
      </c>
      <c r="G63" s="8">
        <f t="shared" si="0"/>
        <v>2</v>
      </c>
      <c r="H63" s="8">
        <f t="shared" si="1"/>
        <v>2</v>
      </c>
      <c r="I63" s="58">
        <f t="shared" si="7"/>
        <v>1</v>
      </c>
      <c r="J63" s="8">
        <f t="shared" si="8"/>
        <v>1</v>
      </c>
      <c r="K63" s="8">
        <f t="shared" si="9"/>
        <v>100</v>
      </c>
      <c r="L63" s="57">
        <f>IFERROR(VLOOKUP($A63,'1-2-1 绩效数据'!$D:$F,3,0),"")</f>
        <v>98.17</v>
      </c>
      <c r="M63" s="8" t="str">
        <f t="shared" si="18"/>
        <v>1</v>
      </c>
      <c r="N63" s="8">
        <f t="shared" si="2"/>
        <v>3</v>
      </c>
      <c r="O63" s="8">
        <f t="shared" si="3"/>
        <v>3</v>
      </c>
      <c r="P63" s="58">
        <f t="shared" si="10"/>
        <v>1</v>
      </c>
      <c r="Q63" s="8">
        <f t="shared" si="11"/>
        <v>1</v>
      </c>
      <c r="R63" s="8">
        <f t="shared" si="12"/>
        <v>100</v>
      </c>
      <c r="S63" s="57">
        <f>IFERROR(VLOOKUP(A63,'1-2-1 绩效数据'!$G:$I,3,0),"")</f>
        <v>97.203499999999991</v>
      </c>
      <c r="T63" s="8" t="str">
        <f t="shared" si="13"/>
        <v>1</v>
      </c>
      <c r="U63" s="8">
        <f t="shared" si="4"/>
        <v>2</v>
      </c>
      <c r="V63" s="8">
        <f t="shared" si="5"/>
        <v>2</v>
      </c>
      <c r="W63" s="58">
        <f t="shared" si="14"/>
        <v>1</v>
      </c>
      <c r="X63" s="8">
        <f t="shared" si="15"/>
        <v>1</v>
      </c>
      <c r="Y63" s="8">
        <f t="shared" si="16"/>
        <v>100</v>
      </c>
      <c r="Z63" s="57">
        <f t="shared" si="17"/>
        <v>100</v>
      </c>
    </row>
    <row r="64" spans="1:26" x14ac:dyDescent="0.3">
      <c r="A64" s="8" t="s">
        <v>110</v>
      </c>
      <c r="B64" s="70" t="str">
        <f>IFERROR(VLOOKUP('1-2-2 关键绩效'!$A64,'1-1 基本信息'!$A:$K,7,0),"")</f>
        <v>石油工程技术研究院副中层正职</v>
      </c>
      <c r="C64" s="8" t="str">
        <f>IFERROR(VLOOKUP($A64,'1-1 基本信息'!$A:$J,10,0),"")</f>
        <v>石油工程技术研究院</v>
      </c>
      <c r="D64" s="8" t="str">
        <f>IFERROR(VLOOKUP(A64,'1-1 基本信息'!$A:$I,8,0),"")</f>
        <v>中层副职</v>
      </c>
      <c r="E64" s="57">
        <f>IFERROR(VLOOKUP($A64,'1-2-1 绩效数据'!$A:$C,3,0),"")</f>
        <v>97.99</v>
      </c>
      <c r="F64" s="8" t="str">
        <f t="shared" si="6"/>
        <v>1</v>
      </c>
      <c r="G64" s="8">
        <f t="shared" si="0"/>
        <v>2</v>
      </c>
      <c r="H64" s="8">
        <f t="shared" si="1"/>
        <v>1</v>
      </c>
      <c r="I64" s="58">
        <f t="shared" si="7"/>
        <v>0.5</v>
      </c>
      <c r="J64" s="8">
        <f t="shared" si="8"/>
        <v>2</v>
      </c>
      <c r="K64" s="8">
        <f t="shared" si="9"/>
        <v>90</v>
      </c>
      <c r="L64" s="57">
        <f>IFERROR(VLOOKUP($A64,'1-2-1 绩效数据'!$D:$F,3,0),"")</f>
        <v>99.039999999999992</v>
      </c>
      <c r="M64" s="8" t="str">
        <f t="shared" si="18"/>
        <v>1</v>
      </c>
      <c r="N64" s="8">
        <f t="shared" si="2"/>
        <v>3</v>
      </c>
      <c r="O64" s="8">
        <f t="shared" si="3"/>
        <v>2</v>
      </c>
      <c r="P64" s="58">
        <f t="shared" si="10"/>
        <v>0.66666666666666663</v>
      </c>
      <c r="Q64" s="8">
        <f t="shared" si="11"/>
        <v>3</v>
      </c>
      <c r="R64" s="8">
        <f t="shared" si="12"/>
        <v>80</v>
      </c>
      <c r="S64" s="57" t="str">
        <f>IFERROR(VLOOKUP(A64,'1-2-1 绩效数据'!$G:$I,3,0),"")</f>
        <v/>
      </c>
      <c r="T64" s="8" t="str">
        <f t="shared" si="13"/>
        <v>2</v>
      </c>
      <c r="U64" s="8" t="str">
        <f t="shared" si="4"/>
        <v/>
      </c>
      <c r="V64" s="8" t="str">
        <f t="shared" si="5"/>
        <v/>
      </c>
      <c r="W64" s="58" t="str">
        <f t="shared" si="14"/>
        <v/>
      </c>
      <c r="X64" s="8" t="str">
        <f t="shared" si="15"/>
        <v/>
      </c>
      <c r="Y64" s="8" t="str">
        <f t="shared" si="16"/>
        <v/>
      </c>
      <c r="Z64" s="57">
        <f t="shared" si="17"/>
        <v>85</v>
      </c>
    </row>
    <row r="65" spans="1:26" x14ac:dyDescent="0.3">
      <c r="A65" s="8" t="s">
        <v>140</v>
      </c>
      <c r="B65" s="70" t="str">
        <f>IFERROR(VLOOKUP('1-2-2 关键绩效'!$A65,'1-1 基本信息'!$A:$K,7,0),"")</f>
        <v>石油工程技术研究院副中层正职</v>
      </c>
      <c r="C65" s="8" t="str">
        <f>IFERROR(VLOOKUP($A65,'1-1 基本信息'!$A:$J,10,0),"")</f>
        <v>石油工程技术研究院</v>
      </c>
      <c r="D65" s="8" t="str">
        <f>IFERROR(VLOOKUP(A65,'1-1 基本信息'!$A:$I,8,0),"")</f>
        <v>中层副职</v>
      </c>
      <c r="E65" s="57" t="str">
        <f>IFERROR(VLOOKUP($A65,'1-2-1 绩效数据'!$A:$C,3,0),"")</f>
        <v/>
      </c>
      <c r="F65" s="8" t="str">
        <f t="shared" si="6"/>
        <v>2</v>
      </c>
      <c r="G65" s="8" t="str">
        <f t="shared" si="0"/>
        <v/>
      </c>
      <c r="H65" s="8" t="str">
        <f t="shared" si="1"/>
        <v/>
      </c>
      <c r="I65" s="58" t="str">
        <f t="shared" si="7"/>
        <v/>
      </c>
      <c r="J65" s="8" t="str">
        <f t="shared" si="8"/>
        <v/>
      </c>
      <c r="K65" s="8" t="str">
        <f t="shared" si="9"/>
        <v/>
      </c>
      <c r="L65" s="57" t="str">
        <f>IFERROR(VLOOKUP($A65,'1-2-1 绩效数据'!$D:$F,3,0),"")</f>
        <v/>
      </c>
      <c r="M65" s="8" t="str">
        <f t="shared" si="18"/>
        <v>2</v>
      </c>
      <c r="N65" s="8" t="str">
        <f t="shared" si="2"/>
        <v/>
      </c>
      <c r="O65" s="8" t="str">
        <f t="shared" si="3"/>
        <v/>
      </c>
      <c r="P65" s="58" t="str">
        <f t="shared" si="10"/>
        <v/>
      </c>
      <c r="Q65" s="8" t="str">
        <f t="shared" si="11"/>
        <v/>
      </c>
      <c r="R65" s="8" t="str">
        <f t="shared" si="12"/>
        <v/>
      </c>
      <c r="S65" s="57" t="str">
        <f>IFERROR(VLOOKUP(A65,'1-2-1 绩效数据'!$G:$I,3,0),"")</f>
        <v/>
      </c>
      <c r="T65" s="8" t="str">
        <f t="shared" si="13"/>
        <v>2</v>
      </c>
      <c r="U65" s="8" t="str">
        <f t="shared" si="4"/>
        <v/>
      </c>
      <c r="V65" s="8" t="str">
        <f t="shared" si="5"/>
        <v/>
      </c>
      <c r="W65" s="58" t="str">
        <f t="shared" si="14"/>
        <v/>
      </c>
      <c r="X65" s="8" t="str">
        <f t="shared" si="15"/>
        <v/>
      </c>
      <c r="Y65" s="8" t="str">
        <f t="shared" si="16"/>
        <v/>
      </c>
      <c r="Z65" s="57" t="str">
        <f t="shared" si="17"/>
        <v/>
      </c>
    </row>
    <row r="66" spans="1:26" x14ac:dyDescent="0.3">
      <c r="A66" s="8" t="s">
        <v>80</v>
      </c>
      <c r="B66" s="70" t="str">
        <f>IFERROR(VLOOKUP('1-2-2 关键绩效'!$A66,'1-1 基本信息'!$A:$K,7,0),"")</f>
        <v>采油气工程服务中心主任、党委副书记</v>
      </c>
      <c r="C66" s="8" t="str">
        <f>IFERROR(VLOOKUP($A66,'1-1 基本信息'!$A:$J,10,0),"")</f>
        <v>采油气工程服务中心</v>
      </c>
      <c r="D66" s="8" t="str">
        <f>IFERROR(VLOOKUP(A66,'1-1 基本信息'!$A:$I,8,0),"")</f>
        <v>中层正职</v>
      </c>
      <c r="E66" s="57">
        <f>IFERROR(VLOOKUP($A66,'1-2-1 绩效数据'!$A:$C,3,0),"")</f>
        <v>96.6</v>
      </c>
      <c r="F66" s="8" t="str">
        <f t="shared" si="6"/>
        <v>1</v>
      </c>
      <c r="G66" s="8">
        <f t="shared" si="0"/>
        <v>4</v>
      </c>
      <c r="H66" s="8">
        <f t="shared" si="1"/>
        <v>1</v>
      </c>
      <c r="I66" s="58">
        <f t="shared" si="7"/>
        <v>0.25</v>
      </c>
      <c r="J66" s="8">
        <f t="shared" si="8"/>
        <v>4</v>
      </c>
      <c r="K66" s="8">
        <f t="shared" si="9"/>
        <v>70</v>
      </c>
      <c r="L66" s="57">
        <f>IFERROR(VLOOKUP($A66,'1-2-1 绩效数据'!$D:$F,3,0),"")</f>
        <v>98.33</v>
      </c>
      <c r="M66" s="8" t="str">
        <f t="shared" si="18"/>
        <v>1</v>
      </c>
      <c r="N66" s="8">
        <f t="shared" si="2"/>
        <v>5</v>
      </c>
      <c r="O66" s="8">
        <f t="shared" si="3"/>
        <v>3</v>
      </c>
      <c r="P66" s="58">
        <f t="shared" si="10"/>
        <v>0.6</v>
      </c>
      <c r="Q66" s="8">
        <f t="shared" si="11"/>
        <v>5</v>
      </c>
      <c r="R66" s="8">
        <f t="shared" si="12"/>
        <v>60</v>
      </c>
      <c r="S66" s="57">
        <f>IFERROR(VLOOKUP(A66,'1-2-1 绩效数据'!$G:$I,3,0),"")</f>
        <v>98.123899999999992</v>
      </c>
      <c r="T66" s="8" t="str">
        <f t="shared" si="13"/>
        <v>1</v>
      </c>
      <c r="U66" s="8">
        <f t="shared" si="4"/>
        <v>5</v>
      </c>
      <c r="V66" s="8">
        <f t="shared" si="5"/>
        <v>1</v>
      </c>
      <c r="W66" s="58">
        <f t="shared" si="14"/>
        <v>0.2</v>
      </c>
      <c r="X66" s="8">
        <f t="shared" si="15"/>
        <v>5</v>
      </c>
      <c r="Y66" s="8">
        <f t="shared" si="16"/>
        <v>60</v>
      </c>
      <c r="Z66" s="57">
        <f t="shared" si="17"/>
        <v>63.333333333333336</v>
      </c>
    </row>
    <row r="67" spans="1:26" x14ac:dyDescent="0.3">
      <c r="A67" s="8" t="s">
        <v>131</v>
      </c>
      <c r="B67" s="70" t="str">
        <f>IFERROR(VLOOKUP('1-2-2 关键绩效'!$A67,'1-1 基本信息'!$A:$K,7,0),"")</f>
        <v>采油气工程服务中心党委书记、副主任</v>
      </c>
      <c r="C67" s="8" t="str">
        <f>IFERROR(VLOOKUP($A67,'1-1 基本信息'!$A:$J,10,0),"")</f>
        <v>采油气工程服务中心</v>
      </c>
      <c r="D67" s="8" t="str">
        <f>IFERROR(VLOOKUP(A67,'1-1 基本信息'!$A:$I,8,0),"")</f>
        <v>党委书记</v>
      </c>
      <c r="E67" s="57">
        <f>IFERROR(VLOOKUP($A67,'1-2-1 绩效数据'!$A:$C,3,0),"")</f>
        <v>95.78</v>
      </c>
      <c r="F67" s="8" t="str">
        <f t="shared" si="6"/>
        <v>1</v>
      </c>
      <c r="G67" s="8">
        <f t="shared" ref="G67:G130" si="19">IF(E67&lt;&gt;"",COUNTIFS($C:$C,$C67,F:F,"1"),"")</f>
        <v>4</v>
      </c>
      <c r="H67" s="8">
        <f t="shared" ref="H67:H130" si="20">IF(E67&lt;&gt;"",COUNTIFS($C:$C,$C67,E:E,"&gt;"&amp;E67)+1,"")</f>
        <v>3</v>
      </c>
      <c r="I67" s="58">
        <f t="shared" si="7"/>
        <v>0.75</v>
      </c>
      <c r="J67" s="8">
        <f t="shared" si="8"/>
        <v>4</v>
      </c>
      <c r="K67" s="8">
        <f t="shared" si="9"/>
        <v>70</v>
      </c>
      <c r="L67" s="57">
        <f>IFERROR(VLOOKUP($A67,'1-2-1 绩效数据'!$D:$F,3,0),"")</f>
        <v>98.97</v>
      </c>
      <c r="M67" s="8" t="str">
        <f t="shared" si="18"/>
        <v>1</v>
      </c>
      <c r="N67" s="8">
        <f t="shared" ref="N67:N130" si="21">IF(L67&lt;&gt;"",COUNTIFS($C:$C,$C67,M:M,"1"),"")</f>
        <v>5</v>
      </c>
      <c r="O67" s="8">
        <f t="shared" ref="O67:O130" si="22">IF(L67&lt;&gt;"",COUNTIFS($C:$C,$C67,L:L,"&gt;"&amp;L67)+1,"")</f>
        <v>1</v>
      </c>
      <c r="P67" s="58">
        <f t="shared" si="10"/>
        <v>0.2</v>
      </c>
      <c r="Q67" s="8">
        <f t="shared" si="11"/>
        <v>5</v>
      </c>
      <c r="R67" s="8">
        <f t="shared" si="12"/>
        <v>60</v>
      </c>
      <c r="S67" s="57">
        <f>IFERROR(VLOOKUP(A67,'1-2-1 绩效数据'!$G:$I,3,0),"")</f>
        <v>97.943899999999985</v>
      </c>
      <c r="T67" s="8" t="str">
        <f t="shared" si="13"/>
        <v>1</v>
      </c>
      <c r="U67" s="8">
        <f t="shared" ref="U67:U130" si="23">IF(S67&lt;&gt;"",COUNTIFS($C:$C,$C67,T:T,"1"),"")</f>
        <v>5</v>
      </c>
      <c r="V67" s="8">
        <f t="shared" ref="V67:V130" si="24">IF(S67&lt;&gt;"",COUNTIFS($C:$C,$C67,S:S,"&gt;"&amp;S67)+1,"")</f>
        <v>3</v>
      </c>
      <c r="W67" s="58">
        <f t="shared" si="14"/>
        <v>0.6</v>
      </c>
      <c r="X67" s="8">
        <f t="shared" si="15"/>
        <v>5</v>
      </c>
      <c r="Y67" s="8">
        <f t="shared" si="16"/>
        <v>60</v>
      </c>
      <c r="Z67" s="57">
        <f t="shared" si="17"/>
        <v>63.333333333333336</v>
      </c>
    </row>
    <row r="68" spans="1:26" x14ac:dyDescent="0.3">
      <c r="A68" s="8" t="s">
        <v>121</v>
      </c>
      <c r="B68" s="70" t="str">
        <f>IFERROR(VLOOKUP('1-2-2 关键绩效'!$A68,'1-1 基本信息'!$A:$K,7,0),"")</f>
        <v>采油气工程服务中心副主任（主持工作）</v>
      </c>
      <c r="C68" s="8" t="str">
        <f>IFERROR(VLOOKUP($A68,'1-1 基本信息'!$A:$J,10,0),"")</f>
        <v>采油气工程服务中心</v>
      </c>
      <c r="D68" s="8" t="str">
        <f>IFERROR(VLOOKUP(A68,'1-1 基本信息'!$A:$I,8,0),"")</f>
        <v>中层副职</v>
      </c>
      <c r="E68" s="57">
        <f>IFERROR(VLOOKUP($A68,'1-2-1 绩效数据'!$A:$C,3,0),"")</f>
        <v>96.210000000000008</v>
      </c>
      <c r="F68" s="8" t="str">
        <f t="shared" ref="F68:F87" si="25">IF(E68&lt;&gt;"","1","2")</f>
        <v>1</v>
      </c>
      <c r="G68" s="8">
        <f t="shared" si="19"/>
        <v>4</v>
      </c>
      <c r="H68" s="8">
        <f t="shared" si="20"/>
        <v>2</v>
      </c>
      <c r="I68" s="58">
        <f t="shared" ref="I68:I87" si="26">IFERROR(H68/G68,"")</f>
        <v>0.5</v>
      </c>
      <c r="J68" s="8">
        <f t="shared" ref="J68:J131" si="27">IF(I68&lt;&gt;"",IF(G68&gt;=10,IF(I68&lt;=10%,1,IF(I68&lt;=20%,2,IF(I68&lt;=80%,3,IF(I68&lt;=90%,4,5)))),IF(G68=8,IF(I68=1,1,IF(I68=2,2,IF(I68=3,3,IF(I68=4,3,IF(I68=5,4,IF(I68=6,4,IF(I68=7,5,5))))))),IF(G68=7,IF(I68=1,1,IF(I68=2,2,IF(I68=3,3,IF(I68=4,4,IF(I68=5,4,IF(I68=6,5,5)))))),IF(G68=6,IF(I68=1,1,IF(I68=2,2,IF(I68=3,3,IF(I68=4,4,IF(I68=5,5,5))))),IF(G68=5,IF(I68=1,1,IF(I68=2,2,IF(I68=3,3,IF(I68=4,4,5)))),IF(G68=4,IF(I68=1,1,IF(I68=2,2,IF(I68=3,3,4))),IF(G68=3,IF(I68=1,1,IF(I68=2,2,3)),IF(G68=2,IF(I68=1,1,2),IF(G68=1,IF(I68=1,1,"")))))))))),"")</f>
        <v>4</v>
      </c>
      <c r="K68" s="8">
        <f t="shared" ref="K68:K87" si="28">IF(J68&lt;&gt;"",IF(J68=1,100,IF(J68=2,90,IF(J68=3,80,IF(J68=4,70,IF(J68=5,60))))),"")</f>
        <v>70</v>
      </c>
      <c r="L68" s="57">
        <f>IFERROR(VLOOKUP($A68,'1-2-1 绩效数据'!$D:$F,3,0),"")</f>
        <v>98.789999999999992</v>
      </c>
      <c r="M68" s="8" t="str">
        <f t="shared" si="18"/>
        <v>1</v>
      </c>
      <c r="N68" s="8">
        <f t="shared" si="21"/>
        <v>5</v>
      </c>
      <c r="O68" s="8">
        <f t="shared" si="22"/>
        <v>2</v>
      </c>
      <c r="P68" s="58">
        <f t="shared" ref="P68:P87" si="29">IFERROR(O68/N68,"")</f>
        <v>0.4</v>
      </c>
      <c r="Q68" s="8">
        <f t="shared" ref="Q68:Q131" si="30">IF(P68&lt;&gt;"",IF(N68&gt;=10,IF(P68&lt;=10%,1,IF(P68&lt;=20%,2,IF(P68&lt;=80%,3,IF(P68&lt;=90%,4,5)))),IF(N68=8,IF(P68=1,1,IF(P68=2,2,IF(P68=3,3,IF(P68=4,3,IF(P68=5,4,IF(P68=6,4,IF(P68=7,5,5))))))),IF(N68=7,IF(P68=1,1,IF(P68=2,2,IF(P68=3,3,IF(P68=4,4,IF(P68=5,4,IF(P68=6,5,5)))))),IF(N68=6,IF(P68=1,1,IF(P68=2,2,IF(P68=3,3,IF(P68=4,4,IF(P68=5,5,5))))),IF(N68=5,IF(P68=1,1,IF(P68=2,2,IF(P68=3,3,IF(P68=4,4,5)))),IF(N68=4,IF(P68=1,1,IF(P68=2,2,IF(P68=3,3,4))),IF(N68=3,IF(P68=1,1,IF(P68=2,2,3)),IF(N68=2,IF(P68=1,1,2),IF(N68=1,IF(P68=1,1,"")))))))))),"")</f>
        <v>5</v>
      </c>
      <c r="R68" s="8">
        <f t="shared" ref="R68:R87" si="31">IF(Q68&lt;&gt;"",IF(Q68=1,100,IF(Q68=2,90,IF(Q68=3,80,IF(Q68=4,70,IF(Q68=5,60))))),"")</f>
        <v>60</v>
      </c>
      <c r="S68" s="57">
        <f>IFERROR(VLOOKUP(A68,'1-2-1 绩效数据'!$G:$I,3,0),"")</f>
        <v>98.007899999999992</v>
      </c>
      <c r="T68" s="8" t="str">
        <f t="shared" ref="T68:T87" si="32">IF(S68&lt;&gt;"","1","2")</f>
        <v>1</v>
      </c>
      <c r="U68" s="8">
        <f t="shared" si="23"/>
        <v>5</v>
      </c>
      <c r="V68" s="8">
        <f t="shared" si="24"/>
        <v>2</v>
      </c>
      <c r="W68" s="58">
        <f t="shared" ref="W68:W87" si="33">IFERROR(V68/U68,"")</f>
        <v>0.4</v>
      </c>
      <c r="X68" s="8">
        <f t="shared" ref="X68:X131" si="34">IF(W68&lt;&gt;"",IF(U68&gt;=10,IF(W68&lt;=10%,1,IF(W68&lt;=20%,2,IF(W68&lt;=80%,3,IF(W68&lt;=90%,4,5)))),IF(U68=8,IF(W68=1,1,IF(W68=2,2,IF(W68=3,3,IF(W68=4,3,IF(W68=5,4,IF(W68=6,4,IF(W68=7,5,5))))))),IF(U68=7,IF(W68=1,1,IF(W68=2,2,IF(W68=3,3,IF(W68=4,4,IF(W68=5,4,IF(W68=6,5,5)))))),IF(U68=6,IF(W68=1,1,IF(W68=2,2,IF(W68=3,3,IF(W68=4,4,IF(W68=5,5,5))))),IF(U68=5,IF(W68=1,1,IF(W68=2,2,IF(W68=3,3,IF(W68=4,4,5)))),IF(U68=4,IF(W68=1,1,IF(W68=2,2,IF(W68=3,3,4))),IF(U68=3,IF(W68=1,1,IF(W68=2,2,3)),IF(U68=2,IF(W68=1,1,2),IF(U68=1,IF(W68=1,1,"")))))))))),"")</f>
        <v>5</v>
      </c>
      <c r="Y68" s="8">
        <f t="shared" ref="Y68:Y87" si="35">IF(X68&lt;&gt;"",IF(X68=1,100,IF(X68=2,90,IF(X68=3,80,IF(X68=4,70,IF(X68=5,60))))),"")</f>
        <v>60</v>
      </c>
      <c r="Z68" s="57">
        <f t="shared" ref="Z68:Z87" si="36">IFERROR(AVERAGE(K68,R68,Y68),"")</f>
        <v>63.333333333333336</v>
      </c>
    </row>
    <row r="69" spans="1:26" x14ac:dyDescent="0.3">
      <c r="A69" s="8" t="s">
        <v>98</v>
      </c>
      <c r="B69" s="70" t="str">
        <f>IFERROR(VLOOKUP('1-2-2 关键绩效'!$A69,'1-1 基本信息'!$A:$K,7,0),"")</f>
        <v>采油气工程服务中心党委副书记、纪委书记、工会主席</v>
      </c>
      <c r="C69" s="8" t="str">
        <f>IFERROR(VLOOKUP($A69,'1-1 基本信息'!$A:$J,10,0),"")</f>
        <v>采油气工程服务中心</v>
      </c>
      <c r="D69" s="8" t="str">
        <f>IFERROR(VLOOKUP(A69,'1-1 基本信息'!$A:$I,8,0),"")</f>
        <v>中层副职</v>
      </c>
      <c r="E69" s="57">
        <f>IFERROR(VLOOKUP($A69,'1-2-1 绩效数据'!$A:$C,3,0),"")</f>
        <v>94.740000000000009</v>
      </c>
      <c r="F69" s="8" t="str">
        <f t="shared" si="25"/>
        <v>1</v>
      </c>
      <c r="G69" s="8">
        <f t="shared" si="19"/>
        <v>4</v>
      </c>
      <c r="H69" s="8">
        <f t="shared" si="20"/>
        <v>4</v>
      </c>
      <c r="I69" s="58">
        <f t="shared" si="26"/>
        <v>1</v>
      </c>
      <c r="J69" s="8">
        <f t="shared" si="27"/>
        <v>1</v>
      </c>
      <c r="K69" s="8">
        <f t="shared" si="28"/>
        <v>100</v>
      </c>
      <c r="L69" s="57">
        <f>IFERROR(VLOOKUP($A69,'1-2-1 绩效数据'!$D:$F,3,0),"")</f>
        <v>98.22</v>
      </c>
      <c r="M69" s="8" t="str">
        <f t="shared" ref="M69:M87" si="37">IF($L69&lt;&gt;"","1","2")</f>
        <v>1</v>
      </c>
      <c r="N69" s="8">
        <f t="shared" si="21"/>
        <v>5</v>
      </c>
      <c r="O69" s="8">
        <f t="shared" si="22"/>
        <v>4</v>
      </c>
      <c r="P69" s="58">
        <f t="shared" si="29"/>
        <v>0.8</v>
      </c>
      <c r="Q69" s="8">
        <f t="shared" si="30"/>
        <v>5</v>
      </c>
      <c r="R69" s="8">
        <f t="shared" si="31"/>
        <v>60</v>
      </c>
      <c r="S69" s="57">
        <f>IFERROR(VLOOKUP(A69,'1-2-1 绩效数据'!$G:$I,3,0),"")</f>
        <v>97.795899999999989</v>
      </c>
      <c r="T69" s="8" t="str">
        <f t="shared" si="32"/>
        <v>1</v>
      </c>
      <c r="U69" s="8">
        <f t="shared" si="23"/>
        <v>5</v>
      </c>
      <c r="V69" s="8">
        <f t="shared" si="24"/>
        <v>4</v>
      </c>
      <c r="W69" s="58">
        <f t="shared" si="33"/>
        <v>0.8</v>
      </c>
      <c r="X69" s="8">
        <f t="shared" si="34"/>
        <v>5</v>
      </c>
      <c r="Y69" s="8">
        <f t="shared" si="35"/>
        <v>60</v>
      </c>
      <c r="Z69" s="57">
        <f t="shared" si="36"/>
        <v>73.333333333333329</v>
      </c>
    </row>
    <row r="70" spans="1:26" x14ac:dyDescent="0.3">
      <c r="A70" s="8" t="s">
        <v>106</v>
      </c>
      <c r="B70" s="70" t="str">
        <f>IFERROR(VLOOKUP('1-2-2 关键绩效'!$A70,'1-1 基本信息'!$A:$K,7,0),"")</f>
        <v>采油气工程服务中心总会计师</v>
      </c>
      <c r="C70" s="8" t="str">
        <f>IFERROR(VLOOKUP($A70,'1-1 基本信息'!$A:$J,10,0),"")</f>
        <v>采油气工程服务中心</v>
      </c>
      <c r="D70" s="8" t="str">
        <f>IFERROR(VLOOKUP(A70,'1-1 基本信息'!$A:$I,8,0),"")</f>
        <v>中层副职</v>
      </c>
      <c r="E70" s="57" t="str">
        <f>IFERROR(VLOOKUP($A70,'1-2-1 绩效数据'!$A:$C,3,0),"")</f>
        <v/>
      </c>
      <c r="F70" s="8" t="str">
        <f t="shared" si="25"/>
        <v>2</v>
      </c>
      <c r="G70" s="8" t="str">
        <f t="shared" si="19"/>
        <v/>
      </c>
      <c r="H70" s="8" t="str">
        <f t="shared" si="20"/>
        <v/>
      </c>
      <c r="I70" s="58" t="str">
        <f t="shared" si="26"/>
        <v/>
      </c>
      <c r="J70" s="8" t="str">
        <f t="shared" si="27"/>
        <v/>
      </c>
      <c r="K70" s="8" t="str">
        <f t="shared" si="28"/>
        <v/>
      </c>
      <c r="L70" s="57">
        <f>IFERROR(VLOOKUP($A70,'1-2-1 绩效数据'!$D:$F,3,0),"")</f>
        <v>97.449999999999989</v>
      </c>
      <c r="M70" s="8" t="str">
        <f t="shared" si="37"/>
        <v>1</v>
      </c>
      <c r="N70" s="8">
        <f t="shared" si="21"/>
        <v>5</v>
      </c>
      <c r="O70" s="8">
        <f t="shared" si="22"/>
        <v>5</v>
      </c>
      <c r="P70" s="58">
        <f t="shared" si="29"/>
        <v>1</v>
      </c>
      <c r="Q70" s="8">
        <f t="shared" si="30"/>
        <v>1</v>
      </c>
      <c r="R70" s="8">
        <f t="shared" si="31"/>
        <v>100</v>
      </c>
      <c r="S70" s="57">
        <f>IFERROR(VLOOKUP(A70,'1-2-1 绩效数据'!$G:$I,3,0),"")</f>
        <v>97.599899999999991</v>
      </c>
      <c r="T70" s="8" t="str">
        <f t="shared" si="32"/>
        <v>1</v>
      </c>
      <c r="U70" s="8">
        <f t="shared" si="23"/>
        <v>5</v>
      </c>
      <c r="V70" s="8">
        <f t="shared" si="24"/>
        <v>5</v>
      </c>
      <c r="W70" s="58">
        <f t="shared" si="33"/>
        <v>1</v>
      </c>
      <c r="X70" s="8">
        <f t="shared" si="34"/>
        <v>1</v>
      </c>
      <c r="Y70" s="8">
        <f t="shared" si="35"/>
        <v>100</v>
      </c>
      <c r="Z70" s="57">
        <f t="shared" si="36"/>
        <v>100</v>
      </c>
    </row>
    <row r="71" spans="1:26" x14ac:dyDescent="0.3">
      <c r="A71" s="8" t="s">
        <v>87</v>
      </c>
      <c r="B71" s="70" t="str">
        <f>IFERROR(VLOOKUP('1-2-2 关键绩效'!$A71,'1-1 基本信息'!$A:$K,7,0),"")</f>
        <v>石油工程监督中心主任、党委副书记</v>
      </c>
      <c r="C71" s="8" t="str">
        <f>IFERROR(VLOOKUP($A71,'1-1 基本信息'!$A:$J,10,0),"")</f>
        <v>石油工程监督中心</v>
      </c>
      <c r="D71" s="8" t="str">
        <f>IFERROR(VLOOKUP(A71,'1-1 基本信息'!$A:$I,8,0),"")</f>
        <v>中层正职</v>
      </c>
      <c r="E71" s="57">
        <f>IFERROR(VLOOKUP($A71,'1-2-1 绩效数据'!$A:$C,3,0),"")</f>
        <v>96.49</v>
      </c>
      <c r="F71" s="8" t="str">
        <f t="shared" si="25"/>
        <v>1</v>
      </c>
      <c r="G71" s="8">
        <f t="shared" si="19"/>
        <v>4</v>
      </c>
      <c r="H71" s="8">
        <f t="shared" si="20"/>
        <v>2</v>
      </c>
      <c r="I71" s="58">
        <f t="shared" si="26"/>
        <v>0.5</v>
      </c>
      <c r="J71" s="8">
        <f t="shared" si="27"/>
        <v>4</v>
      </c>
      <c r="K71" s="8">
        <f t="shared" si="28"/>
        <v>70</v>
      </c>
      <c r="L71" s="57">
        <f>IFERROR(VLOOKUP($A71,'1-2-1 绩效数据'!$D:$F,3,0),"")</f>
        <v>96.94</v>
      </c>
      <c r="M71" s="8" t="str">
        <f t="shared" si="37"/>
        <v>1</v>
      </c>
      <c r="N71" s="8">
        <f t="shared" si="21"/>
        <v>4</v>
      </c>
      <c r="O71" s="8">
        <f t="shared" si="22"/>
        <v>4</v>
      </c>
      <c r="P71" s="58">
        <f t="shared" si="29"/>
        <v>1</v>
      </c>
      <c r="Q71" s="8">
        <f t="shared" si="30"/>
        <v>1</v>
      </c>
      <c r="R71" s="8">
        <f t="shared" si="31"/>
        <v>100</v>
      </c>
      <c r="S71" s="57">
        <f>IFERROR(VLOOKUP(A71,'1-2-1 绩效数据'!$G:$I,3,0),"")</f>
        <v>97.031999999999996</v>
      </c>
      <c r="T71" s="8" t="str">
        <f t="shared" si="32"/>
        <v>1</v>
      </c>
      <c r="U71" s="8">
        <f t="shared" si="23"/>
        <v>4</v>
      </c>
      <c r="V71" s="8">
        <f t="shared" si="24"/>
        <v>3</v>
      </c>
      <c r="W71" s="58">
        <f t="shared" si="33"/>
        <v>0.75</v>
      </c>
      <c r="X71" s="8">
        <f t="shared" si="34"/>
        <v>4</v>
      </c>
      <c r="Y71" s="8">
        <f t="shared" si="35"/>
        <v>70</v>
      </c>
      <c r="Z71" s="57">
        <f t="shared" si="36"/>
        <v>80</v>
      </c>
    </row>
    <row r="72" spans="1:26" x14ac:dyDescent="0.3">
      <c r="A72" s="8" t="s">
        <v>53</v>
      </c>
      <c r="B72" s="70" t="str">
        <f>IFERROR(VLOOKUP('1-2-2 关键绩效'!$A72,'1-1 基本信息'!$A:$K,7,0),"")</f>
        <v>石油工程监督中心党委书记、副主任、纪委书记、工会主席</v>
      </c>
      <c r="C72" s="8" t="str">
        <f>IFERROR(VLOOKUP($A72,'1-1 基本信息'!$A:$J,10,0),"")</f>
        <v>石油工程监督中心</v>
      </c>
      <c r="D72" s="8" t="str">
        <f>IFERROR(VLOOKUP(A72,'1-1 基本信息'!$A:$I,8,0),"")</f>
        <v>党委书记</v>
      </c>
      <c r="E72" s="57">
        <f>IFERROR(VLOOKUP($A72,'1-2-1 绩效数据'!$A:$C,3,0),"")</f>
        <v>95.5</v>
      </c>
      <c r="F72" s="8" t="str">
        <f t="shared" si="25"/>
        <v>1</v>
      </c>
      <c r="G72" s="8">
        <f t="shared" si="19"/>
        <v>4</v>
      </c>
      <c r="H72" s="8">
        <f t="shared" si="20"/>
        <v>4</v>
      </c>
      <c r="I72" s="58">
        <f t="shared" si="26"/>
        <v>1</v>
      </c>
      <c r="J72" s="8">
        <f t="shared" si="27"/>
        <v>1</v>
      </c>
      <c r="K72" s="8">
        <f t="shared" si="28"/>
        <v>100</v>
      </c>
      <c r="L72" s="57">
        <f>IFERROR(VLOOKUP($A72,'1-2-1 绩效数据'!$D:$F,3,0),"")</f>
        <v>97.21</v>
      </c>
      <c r="M72" s="8" t="str">
        <f t="shared" si="37"/>
        <v>1</v>
      </c>
      <c r="N72" s="8">
        <f t="shared" si="21"/>
        <v>4</v>
      </c>
      <c r="O72" s="8">
        <f t="shared" si="22"/>
        <v>3</v>
      </c>
      <c r="P72" s="58">
        <f t="shared" si="29"/>
        <v>0.75</v>
      </c>
      <c r="Q72" s="8">
        <f t="shared" si="30"/>
        <v>4</v>
      </c>
      <c r="R72" s="8">
        <f t="shared" si="31"/>
        <v>70</v>
      </c>
      <c r="S72" s="57">
        <f>IFERROR(VLOOKUP(A72,'1-2-1 绩效数据'!$G:$I,3,0),"")</f>
        <v>96.632000000000005</v>
      </c>
      <c r="T72" s="8" t="str">
        <f t="shared" si="32"/>
        <v>1</v>
      </c>
      <c r="U72" s="8">
        <f t="shared" si="23"/>
        <v>4</v>
      </c>
      <c r="V72" s="8">
        <f t="shared" si="24"/>
        <v>4</v>
      </c>
      <c r="W72" s="58">
        <f t="shared" si="33"/>
        <v>1</v>
      </c>
      <c r="X72" s="8">
        <f t="shared" si="34"/>
        <v>1</v>
      </c>
      <c r="Y72" s="8">
        <f t="shared" si="35"/>
        <v>100</v>
      </c>
      <c r="Z72" s="57">
        <f t="shared" si="36"/>
        <v>90</v>
      </c>
    </row>
    <row r="73" spans="1:26" x14ac:dyDescent="0.3">
      <c r="A73" s="8" t="s">
        <v>111</v>
      </c>
      <c r="B73" s="70" t="str">
        <f>IFERROR(VLOOKUP('1-2-2 关键绩效'!$A73,'1-1 基本信息'!$A:$K,7,0),"")</f>
        <v>石油工程监督中心副主任</v>
      </c>
      <c r="C73" s="8" t="str">
        <f>IFERROR(VLOOKUP($A73,'1-1 基本信息'!$A:$J,10,0),"")</f>
        <v>石油工程监督中心</v>
      </c>
      <c r="D73" s="8" t="str">
        <f>IFERROR(VLOOKUP(A73,'1-1 基本信息'!$A:$I,8,0),"")</f>
        <v>中层副职</v>
      </c>
      <c r="E73" s="57">
        <f>IFERROR(VLOOKUP($A73,'1-2-1 绩效数据'!$A:$C,3,0),"")</f>
        <v>97.62</v>
      </c>
      <c r="F73" s="8" t="str">
        <f t="shared" si="25"/>
        <v>1</v>
      </c>
      <c r="G73" s="8">
        <f t="shared" si="19"/>
        <v>4</v>
      </c>
      <c r="H73" s="8">
        <f t="shared" si="20"/>
        <v>1</v>
      </c>
      <c r="I73" s="58">
        <f t="shared" si="26"/>
        <v>0.25</v>
      </c>
      <c r="J73" s="8">
        <f t="shared" si="27"/>
        <v>4</v>
      </c>
      <c r="K73" s="8">
        <f t="shared" si="28"/>
        <v>70</v>
      </c>
      <c r="L73" s="57">
        <f>IFERROR(VLOOKUP($A73,'1-2-1 绩效数据'!$D:$F,3,0),"")</f>
        <v>99.06</v>
      </c>
      <c r="M73" s="8" t="str">
        <f t="shared" si="37"/>
        <v>1</v>
      </c>
      <c r="N73" s="8">
        <f t="shared" si="21"/>
        <v>4</v>
      </c>
      <c r="O73" s="8">
        <f t="shared" si="22"/>
        <v>1</v>
      </c>
      <c r="P73" s="58">
        <f t="shared" si="29"/>
        <v>0.25</v>
      </c>
      <c r="Q73" s="8">
        <f t="shared" si="30"/>
        <v>4</v>
      </c>
      <c r="R73" s="8">
        <f t="shared" si="31"/>
        <v>70</v>
      </c>
      <c r="S73" s="57">
        <f>IFERROR(VLOOKUP(A73,'1-2-1 绩效数据'!$G:$I,3,0),"")</f>
        <v>97.051999999999992</v>
      </c>
      <c r="T73" s="8" t="str">
        <f t="shared" si="32"/>
        <v>1</v>
      </c>
      <c r="U73" s="8">
        <f t="shared" si="23"/>
        <v>4</v>
      </c>
      <c r="V73" s="8">
        <f t="shared" si="24"/>
        <v>2</v>
      </c>
      <c r="W73" s="58">
        <f t="shared" si="33"/>
        <v>0.5</v>
      </c>
      <c r="X73" s="8">
        <f t="shared" si="34"/>
        <v>4</v>
      </c>
      <c r="Y73" s="8">
        <f t="shared" si="35"/>
        <v>70</v>
      </c>
      <c r="Z73" s="57">
        <f t="shared" si="36"/>
        <v>70</v>
      </c>
    </row>
    <row r="74" spans="1:26" x14ac:dyDescent="0.3">
      <c r="A74" s="8" t="s">
        <v>423</v>
      </c>
      <c r="B74" s="70" t="str">
        <f>IFERROR(VLOOKUP('1-2-2 关键绩效'!$A74,'1-1 基本信息'!$A:$K,7,0),"")</f>
        <v>石油工程监督中心副主任</v>
      </c>
      <c r="C74" s="8" t="str">
        <f>IFERROR(VLOOKUP($A74,'1-1 基本信息'!$A:$J,10,0),"")</f>
        <v>石油工程监督中心</v>
      </c>
      <c r="D74" s="8" t="str">
        <f>IFERROR(VLOOKUP(A74,'1-1 基本信息'!$A:$I,8,0),"")</f>
        <v>中层副职</v>
      </c>
      <c r="E74" s="57">
        <f>IFERROR(VLOOKUP($A74,'1-2-1 绩效数据'!$A:$C,3,0),"")</f>
        <v>96.05</v>
      </c>
      <c r="F74" s="8" t="str">
        <f t="shared" si="25"/>
        <v>1</v>
      </c>
      <c r="G74" s="8">
        <f t="shared" si="19"/>
        <v>4</v>
      </c>
      <c r="H74" s="8">
        <f t="shared" si="20"/>
        <v>3</v>
      </c>
      <c r="I74" s="58">
        <f t="shared" si="26"/>
        <v>0.75</v>
      </c>
      <c r="J74" s="8">
        <f t="shared" si="27"/>
        <v>4</v>
      </c>
      <c r="K74" s="8">
        <f t="shared" si="28"/>
        <v>70</v>
      </c>
      <c r="L74" s="57">
        <f>IFERROR(VLOOKUP($A74,'1-2-1 绩效数据'!$D:$F,3,0),"")</f>
        <v>97.72999999999999</v>
      </c>
      <c r="M74" s="8" t="str">
        <f t="shared" si="37"/>
        <v>1</v>
      </c>
      <c r="N74" s="8">
        <f t="shared" si="21"/>
        <v>4</v>
      </c>
      <c r="O74" s="8">
        <f t="shared" si="22"/>
        <v>2</v>
      </c>
      <c r="P74" s="58">
        <f t="shared" si="29"/>
        <v>0.5</v>
      </c>
      <c r="Q74" s="8">
        <f t="shared" si="30"/>
        <v>4</v>
      </c>
      <c r="R74" s="8">
        <f t="shared" si="31"/>
        <v>70</v>
      </c>
      <c r="S74" s="57">
        <f>IFERROR(VLOOKUP(A74,'1-2-1 绩效数据'!$G:$I,3,0),"")</f>
        <v>97.103999999999985</v>
      </c>
      <c r="T74" s="8" t="str">
        <f t="shared" si="32"/>
        <v>1</v>
      </c>
      <c r="U74" s="8">
        <f t="shared" si="23"/>
        <v>4</v>
      </c>
      <c r="V74" s="8">
        <f t="shared" si="24"/>
        <v>1</v>
      </c>
      <c r="W74" s="58">
        <f t="shared" si="33"/>
        <v>0.25</v>
      </c>
      <c r="X74" s="8">
        <f t="shared" si="34"/>
        <v>4</v>
      </c>
      <c r="Y74" s="8">
        <f t="shared" si="35"/>
        <v>70</v>
      </c>
      <c r="Z74" s="57">
        <f t="shared" si="36"/>
        <v>70</v>
      </c>
    </row>
    <row r="75" spans="1:26" x14ac:dyDescent="0.3">
      <c r="A75" s="8" t="s">
        <v>50</v>
      </c>
      <c r="B75" s="70" t="str">
        <f>IFERROR(VLOOKUP('1-2-2 关键绩效'!$A75,'1-1 基本信息'!$A:$K,7,0),"")</f>
        <v>物资供应中心主任、党委副书记</v>
      </c>
      <c r="C75" s="8" t="str">
        <f>IFERROR(VLOOKUP($A75,'1-1 基本信息'!$A:$J,10,0),"")</f>
        <v>物资供应中心</v>
      </c>
      <c r="D75" s="8" t="str">
        <f>IFERROR(VLOOKUP(A75,'1-1 基本信息'!$A:$I,8,0),"")</f>
        <v>中层正职</v>
      </c>
      <c r="E75" s="57">
        <f>IFERROR(VLOOKUP($A75,'1-2-1 绩效数据'!$A:$C,3,0),"")</f>
        <v>97.54</v>
      </c>
      <c r="F75" s="8" t="str">
        <f t="shared" si="25"/>
        <v>1</v>
      </c>
      <c r="G75" s="8">
        <f t="shared" si="19"/>
        <v>2</v>
      </c>
      <c r="H75" s="8">
        <f t="shared" si="20"/>
        <v>1</v>
      </c>
      <c r="I75" s="58">
        <f t="shared" si="26"/>
        <v>0.5</v>
      </c>
      <c r="J75" s="8">
        <f t="shared" si="27"/>
        <v>2</v>
      </c>
      <c r="K75" s="8">
        <f t="shared" si="28"/>
        <v>90</v>
      </c>
      <c r="L75" s="57">
        <f>IFERROR(VLOOKUP($A75,'1-2-1 绩效数据'!$D:$F,3,0),"")</f>
        <v>96.800000000000011</v>
      </c>
      <c r="M75" s="8" t="str">
        <f t="shared" si="37"/>
        <v>1</v>
      </c>
      <c r="N75" s="8">
        <f t="shared" si="21"/>
        <v>3</v>
      </c>
      <c r="O75" s="8">
        <f t="shared" si="22"/>
        <v>2</v>
      </c>
      <c r="P75" s="58">
        <f t="shared" si="29"/>
        <v>0.66666666666666663</v>
      </c>
      <c r="Q75" s="8">
        <f t="shared" si="30"/>
        <v>3</v>
      </c>
      <c r="R75" s="8">
        <f t="shared" si="31"/>
        <v>80</v>
      </c>
      <c r="S75" s="57">
        <f>IFERROR(VLOOKUP(A75,'1-2-1 绩效数据'!$G:$I,3,0),"")</f>
        <v>99.454800000000006</v>
      </c>
      <c r="T75" s="8" t="str">
        <f t="shared" si="32"/>
        <v>1</v>
      </c>
      <c r="U75" s="8">
        <f t="shared" si="23"/>
        <v>3</v>
      </c>
      <c r="V75" s="8">
        <f t="shared" si="24"/>
        <v>2</v>
      </c>
      <c r="W75" s="58">
        <f t="shared" si="33"/>
        <v>0.66666666666666663</v>
      </c>
      <c r="X75" s="8">
        <f t="shared" si="34"/>
        <v>3</v>
      </c>
      <c r="Y75" s="8">
        <f t="shared" si="35"/>
        <v>80</v>
      </c>
      <c r="Z75" s="57">
        <f t="shared" si="36"/>
        <v>83.333333333333329</v>
      </c>
    </row>
    <row r="76" spans="1:26" x14ac:dyDescent="0.3">
      <c r="A76" s="8" t="s">
        <v>130</v>
      </c>
      <c r="B76" s="70" t="str">
        <f>IFERROR(VLOOKUP('1-2-2 关键绩效'!$A76,'1-1 基本信息'!$A:$K,7,0),"")</f>
        <v>物资供应中心党委书记、副主任、纪委书记、工会主席</v>
      </c>
      <c r="C76" s="8" t="str">
        <f>IFERROR(VLOOKUP($A76,'1-1 基本信息'!$A:$J,10,0),"")</f>
        <v>物资供应中心</v>
      </c>
      <c r="D76" s="8" t="str">
        <f>IFERROR(VLOOKUP(A76,'1-1 基本信息'!$A:$I,8,0),"")</f>
        <v>党委书记</v>
      </c>
      <c r="E76" s="57">
        <f>IFERROR(VLOOKUP($A76,'1-2-1 绩效数据'!$A:$C,3,0),"")</f>
        <v>97.51</v>
      </c>
      <c r="F76" s="8" t="str">
        <f t="shared" si="25"/>
        <v>1</v>
      </c>
      <c r="G76" s="8">
        <f t="shared" si="19"/>
        <v>2</v>
      </c>
      <c r="H76" s="8">
        <f t="shared" si="20"/>
        <v>2</v>
      </c>
      <c r="I76" s="58">
        <f t="shared" si="26"/>
        <v>1</v>
      </c>
      <c r="J76" s="8">
        <f t="shared" si="27"/>
        <v>1</v>
      </c>
      <c r="K76" s="8">
        <f t="shared" si="28"/>
        <v>100</v>
      </c>
      <c r="L76" s="57">
        <f>IFERROR(VLOOKUP($A76,'1-2-1 绩效数据'!$D:$F,3,0),"")</f>
        <v>96.080000000000013</v>
      </c>
      <c r="M76" s="8" t="str">
        <f t="shared" si="37"/>
        <v>1</v>
      </c>
      <c r="N76" s="8">
        <f t="shared" si="21"/>
        <v>3</v>
      </c>
      <c r="O76" s="8">
        <f t="shared" si="22"/>
        <v>3</v>
      </c>
      <c r="P76" s="58">
        <f t="shared" si="29"/>
        <v>1</v>
      </c>
      <c r="Q76" s="8">
        <f t="shared" si="30"/>
        <v>1</v>
      </c>
      <c r="R76" s="8">
        <f t="shared" si="31"/>
        <v>100</v>
      </c>
      <c r="S76" s="57">
        <f>IFERROR(VLOOKUP(A76,'1-2-1 绩效数据'!$G:$I,3,0),"")</f>
        <v>98.55080000000001</v>
      </c>
      <c r="T76" s="8" t="str">
        <f t="shared" si="32"/>
        <v>1</v>
      </c>
      <c r="U76" s="8">
        <f t="shared" si="23"/>
        <v>3</v>
      </c>
      <c r="V76" s="8">
        <f t="shared" si="24"/>
        <v>3</v>
      </c>
      <c r="W76" s="58">
        <f t="shared" si="33"/>
        <v>1</v>
      </c>
      <c r="X76" s="8">
        <f t="shared" si="34"/>
        <v>1</v>
      </c>
      <c r="Y76" s="8">
        <f t="shared" si="35"/>
        <v>100</v>
      </c>
      <c r="Z76" s="57">
        <f t="shared" si="36"/>
        <v>100</v>
      </c>
    </row>
    <row r="77" spans="1:26" x14ac:dyDescent="0.3">
      <c r="A77" s="8" t="s">
        <v>43</v>
      </c>
      <c r="B77" s="70" t="str">
        <f>IFERROR(VLOOKUP('1-2-2 关键绩效'!$A77,'1-1 基本信息'!$A:$K,7,0),"")</f>
        <v>物资供应中心副主任</v>
      </c>
      <c r="C77" s="8" t="str">
        <f>IFERROR(VLOOKUP($A77,'1-1 基本信息'!$A:$J,10,0),"")</f>
        <v>物资供应中心</v>
      </c>
      <c r="D77" s="8" t="str">
        <f>IFERROR(VLOOKUP(A77,'1-1 基本信息'!$A:$I,8,0),"")</f>
        <v>中层副职</v>
      </c>
      <c r="E77" s="57" t="str">
        <f>IFERROR(VLOOKUP($A77,'1-2-1 绩效数据'!$A:$C,3,0),"")</f>
        <v/>
      </c>
      <c r="F77" s="8" t="str">
        <f t="shared" si="25"/>
        <v>2</v>
      </c>
      <c r="G77" s="8" t="str">
        <f t="shared" si="19"/>
        <v/>
      </c>
      <c r="H77" s="8" t="str">
        <f t="shared" si="20"/>
        <v/>
      </c>
      <c r="I77" s="58" t="str">
        <f t="shared" si="26"/>
        <v/>
      </c>
      <c r="J77" s="8" t="str">
        <f t="shared" si="27"/>
        <v/>
      </c>
      <c r="K77" s="8" t="str">
        <f t="shared" si="28"/>
        <v/>
      </c>
      <c r="L77" s="57">
        <f>IFERROR(VLOOKUP($A77,'1-2-1 绩效数据'!$D:$F,3,0),"")</f>
        <v>97.64</v>
      </c>
      <c r="M77" s="8" t="str">
        <f t="shared" si="37"/>
        <v>1</v>
      </c>
      <c r="N77" s="8">
        <f t="shared" si="21"/>
        <v>3</v>
      </c>
      <c r="O77" s="8">
        <f t="shared" si="22"/>
        <v>1</v>
      </c>
      <c r="P77" s="58">
        <f t="shared" si="29"/>
        <v>0.33333333333333331</v>
      </c>
      <c r="Q77" s="8">
        <f t="shared" si="30"/>
        <v>3</v>
      </c>
      <c r="R77" s="8">
        <f t="shared" si="31"/>
        <v>80</v>
      </c>
      <c r="S77" s="57">
        <f>IFERROR(VLOOKUP(A77,'1-2-1 绩效数据'!$G:$I,3,0),"")</f>
        <v>99.694800000000015</v>
      </c>
      <c r="T77" s="8" t="str">
        <f t="shared" si="32"/>
        <v>1</v>
      </c>
      <c r="U77" s="8">
        <f t="shared" si="23"/>
        <v>3</v>
      </c>
      <c r="V77" s="8">
        <f t="shared" si="24"/>
        <v>1</v>
      </c>
      <c r="W77" s="58">
        <f t="shared" si="33"/>
        <v>0.33333333333333331</v>
      </c>
      <c r="X77" s="8">
        <f t="shared" si="34"/>
        <v>3</v>
      </c>
      <c r="Y77" s="8">
        <f t="shared" si="35"/>
        <v>80</v>
      </c>
      <c r="Z77" s="57">
        <f t="shared" si="36"/>
        <v>80</v>
      </c>
    </row>
    <row r="78" spans="1:26" x14ac:dyDescent="0.3">
      <c r="A78" s="8" t="s">
        <v>107</v>
      </c>
      <c r="B78" s="70" t="str">
        <f>IFERROR(VLOOKUP('1-2-2 关键绩效'!$A78,'1-1 基本信息'!$A:$K,7,0),"")</f>
        <v>油气销售中心主任、党总支书记</v>
      </c>
      <c r="C78" s="8" t="str">
        <f>IFERROR(VLOOKUP($A78,'1-1 基本信息'!$A:$J,10,0),"")</f>
        <v>油气销售中心</v>
      </c>
      <c r="D78" s="8" t="str">
        <f>IFERROR(VLOOKUP(A78,'1-1 基本信息'!$A:$I,8,0),"")</f>
        <v>中层正职</v>
      </c>
      <c r="E78" s="57">
        <f>IFERROR(VLOOKUP($A78,'1-2-1 绩效数据'!$A:$C,3,0),"")</f>
        <v>97.6</v>
      </c>
      <c r="F78" s="8" t="str">
        <f t="shared" si="25"/>
        <v>1</v>
      </c>
      <c r="G78" s="8">
        <f t="shared" si="19"/>
        <v>2</v>
      </c>
      <c r="H78" s="8">
        <f t="shared" si="20"/>
        <v>1</v>
      </c>
      <c r="I78" s="58">
        <f t="shared" si="26"/>
        <v>0.5</v>
      </c>
      <c r="J78" s="8">
        <f t="shared" si="27"/>
        <v>2</v>
      </c>
      <c r="K78" s="8">
        <f t="shared" si="28"/>
        <v>90</v>
      </c>
      <c r="L78" s="57">
        <f>IFERROR(VLOOKUP($A78,'1-2-1 绩效数据'!$D:$F,3,0),"")</f>
        <v>96.7</v>
      </c>
      <c r="M78" s="8" t="str">
        <f t="shared" si="37"/>
        <v>1</v>
      </c>
      <c r="N78" s="8">
        <f t="shared" si="21"/>
        <v>3</v>
      </c>
      <c r="O78" s="8">
        <f t="shared" si="22"/>
        <v>2</v>
      </c>
      <c r="P78" s="58">
        <f t="shared" si="29"/>
        <v>0.66666666666666663</v>
      </c>
      <c r="Q78" s="8">
        <f t="shared" si="30"/>
        <v>3</v>
      </c>
      <c r="R78" s="8">
        <f t="shared" si="31"/>
        <v>80</v>
      </c>
      <c r="S78" s="57">
        <f>IFERROR(VLOOKUP(A78,'1-2-1 绩效数据'!$G:$I,3,0),"")</f>
        <v>97.685199999999995</v>
      </c>
      <c r="T78" s="8" t="str">
        <f t="shared" si="32"/>
        <v>1</v>
      </c>
      <c r="U78" s="8">
        <f t="shared" si="23"/>
        <v>3</v>
      </c>
      <c r="V78" s="8">
        <f t="shared" si="24"/>
        <v>3</v>
      </c>
      <c r="W78" s="58">
        <f t="shared" si="33"/>
        <v>1</v>
      </c>
      <c r="X78" s="8">
        <f t="shared" si="34"/>
        <v>1</v>
      </c>
      <c r="Y78" s="8">
        <f t="shared" si="35"/>
        <v>100</v>
      </c>
      <c r="Z78" s="57">
        <f t="shared" si="36"/>
        <v>90</v>
      </c>
    </row>
    <row r="79" spans="1:26" x14ac:dyDescent="0.3">
      <c r="A79" s="8" t="s">
        <v>62</v>
      </c>
      <c r="B79" s="70" t="str">
        <f>IFERROR(VLOOKUP('1-2-2 关键绩效'!$A79,'1-1 基本信息'!$A:$K,7,0),"")</f>
        <v>油气销售中心副主任</v>
      </c>
      <c r="C79" s="8" t="str">
        <f>IFERROR(VLOOKUP($A79,'1-1 基本信息'!$A:$J,10,0),"")</f>
        <v>油气销售中心</v>
      </c>
      <c r="D79" s="8" t="str">
        <f>IFERROR(VLOOKUP(A79,'1-1 基本信息'!$A:$I,8,0),"")</f>
        <v>中层副职</v>
      </c>
      <c r="E79" s="57">
        <f>IFERROR(VLOOKUP($A79,'1-2-1 绩效数据'!$A:$C,3,0),"")</f>
        <v>96.79</v>
      </c>
      <c r="F79" s="8" t="str">
        <f t="shared" si="25"/>
        <v>1</v>
      </c>
      <c r="G79" s="8">
        <f t="shared" si="19"/>
        <v>2</v>
      </c>
      <c r="H79" s="8">
        <f t="shared" si="20"/>
        <v>2</v>
      </c>
      <c r="I79" s="58">
        <f t="shared" si="26"/>
        <v>1</v>
      </c>
      <c r="J79" s="8">
        <f t="shared" si="27"/>
        <v>1</v>
      </c>
      <c r="K79" s="8">
        <f t="shared" si="28"/>
        <v>100</v>
      </c>
      <c r="L79" s="57">
        <f>IFERROR(VLOOKUP($A79,'1-2-1 绩效数据'!$D:$F,3,0),"")</f>
        <v>96.490000000000009</v>
      </c>
      <c r="M79" s="8" t="str">
        <f t="shared" si="37"/>
        <v>1</v>
      </c>
      <c r="N79" s="8">
        <f t="shared" si="21"/>
        <v>3</v>
      </c>
      <c r="O79" s="8">
        <f t="shared" si="22"/>
        <v>3</v>
      </c>
      <c r="P79" s="58">
        <f t="shared" si="29"/>
        <v>1</v>
      </c>
      <c r="Q79" s="8">
        <f t="shared" si="30"/>
        <v>1</v>
      </c>
      <c r="R79" s="8">
        <f t="shared" si="31"/>
        <v>100</v>
      </c>
      <c r="S79" s="57">
        <f>IFERROR(VLOOKUP(A79,'1-2-1 绩效数据'!$G:$I,3,0),"")</f>
        <v>97.709199999999996</v>
      </c>
      <c r="T79" s="8" t="str">
        <f t="shared" si="32"/>
        <v>1</v>
      </c>
      <c r="U79" s="8">
        <f t="shared" si="23"/>
        <v>3</v>
      </c>
      <c r="V79" s="8">
        <f t="shared" si="24"/>
        <v>2</v>
      </c>
      <c r="W79" s="58">
        <f t="shared" si="33"/>
        <v>0.66666666666666663</v>
      </c>
      <c r="X79" s="8">
        <f t="shared" si="34"/>
        <v>3</v>
      </c>
      <c r="Y79" s="8">
        <f t="shared" si="35"/>
        <v>80</v>
      </c>
      <c r="Z79" s="57">
        <f t="shared" si="36"/>
        <v>93.333333333333329</v>
      </c>
    </row>
    <row r="80" spans="1:26" x14ac:dyDescent="0.3">
      <c r="A80" s="8" t="s">
        <v>137</v>
      </c>
      <c r="B80" s="70" t="str">
        <f>IFERROR(VLOOKUP('1-2-2 关键绩效'!$A80,'1-1 基本信息'!$A:$K,7,0),"")</f>
        <v>油气销售中心党总支副书记、工会主席、纪检委员</v>
      </c>
      <c r="C80" s="8" t="str">
        <f>IFERROR(VLOOKUP($A80,'1-1 基本信息'!$A:$J,10,0),"")</f>
        <v>油气销售中心</v>
      </c>
      <c r="D80" s="8" t="str">
        <f>IFERROR(VLOOKUP(A80,'1-1 基本信息'!$A:$I,8,0),"")</f>
        <v>中层副职</v>
      </c>
      <c r="E80" s="57" t="str">
        <f>IFERROR(VLOOKUP($A80,'1-2-1 绩效数据'!$A:$C,3,0),"")</f>
        <v/>
      </c>
      <c r="F80" s="8" t="str">
        <f t="shared" si="25"/>
        <v>2</v>
      </c>
      <c r="G80" s="8" t="str">
        <f t="shared" si="19"/>
        <v/>
      </c>
      <c r="H80" s="8" t="str">
        <f t="shared" si="20"/>
        <v/>
      </c>
      <c r="I80" s="58" t="str">
        <f t="shared" si="26"/>
        <v/>
      </c>
      <c r="J80" s="8" t="str">
        <f t="shared" si="27"/>
        <v/>
      </c>
      <c r="K80" s="8" t="str">
        <f t="shared" si="28"/>
        <v/>
      </c>
      <c r="L80" s="57">
        <f>IFERROR(VLOOKUP($A80,'1-2-1 绩效数据'!$D:$F,3,0),"")</f>
        <v>96.93</v>
      </c>
      <c r="M80" s="8" t="str">
        <f t="shared" si="37"/>
        <v>1</v>
      </c>
      <c r="N80" s="8">
        <f t="shared" si="21"/>
        <v>3</v>
      </c>
      <c r="O80" s="8">
        <f t="shared" si="22"/>
        <v>1</v>
      </c>
      <c r="P80" s="58">
        <f t="shared" si="29"/>
        <v>0.33333333333333331</v>
      </c>
      <c r="Q80" s="8">
        <f t="shared" si="30"/>
        <v>3</v>
      </c>
      <c r="R80" s="8">
        <f t="shared" si="31"/>
        <v>80</v>
      </c>
      <c r="S80" s="57">
        <f>IFERROR(VLOOKUP(A80,'1-2-1 绩效数据'!$G:$I,3,0),"")</f>
        <v>97.93719999999999</v>
      </c>
      <c r="T80" s="8" t="str">
        <f t="shared" si="32"/>
        <v>1</v>
      </c>
      <c r="U80" s="8">
        <f t="shared" si="23"/>
        <v>3</v>
      </c>
      <c r="V80" s="8">
        <f t="shared" si="24"/>
        <v>1</v>
      </c>
      <c r="W80" s="58">
        <f t="shared" si="33"/>
        <v>0.33333333333333331</v>
      </c>
      <c r="X80" s="8">
        <f t="shared" si="34"/>
        <v>3</v>
      </c>
      <c r="Y80" s="8">
        <f t="shared" si="35"/>
        <v>80</v>
      </c>
      <c r="Z80" s="57">
        <f t="shared" si="36"/>
        <v>80</v>
      </c>
    </row>
    <row r="81" spans="1:26" x14ac:dyDescent="0.3">
      <c r="A81" s="8" t="s">
        <v>89</v>
      </c>
      <c r="B81" s="70" t="str">
        <f>IFERROR(VLOOKUP('1-2-2 关键绩效'!$A81,'1-1 基本信息'!$A:$K,7,0),"")</f>
        <v>延安华延天然气有限公司执行董事、总经理、党支部书记兼采油一厂副中层正职</v>
      </c>
      <c r="C81" s="8" t="str">
        <f>IFERROR(VLOOKUP($A81,'1-1 基本信息'!$A:$J,10,0),"")</f>
        <v>延安华延天然气有限公司</v>
      </c>
      <c r="D81" s="8" t="str">
        <f>IFERROR(VLOOKUP(A81,'1-1 基本信息'!$A:$I,8,0),"")</f>
        <v>中层正职</v>
      </c>
      <c r="E81" s="57">
        <f>IFERROR(VLOOKUP($A81,'1-2-1 绩效数据'!$A:$C,3,0),"")</f>
        <v>97.07</v>
      </c>
      <c r="F81" s="8" t="str">
        <f t="shared" si="25"/>
        <v>1</v>
      </c>
      <c r="G81" s="8">
        <f t="shared" si="19"/>
        <v>1</v>
      </c>
      <c r="H81" s="8">
        <f t="shared" si="20"/>
        <v>1</v>
      </c>
      <c r="I81" s="58">
        <f t="shared" si="26"/>
        <v>1</v>
      </c>
      <c r="J81" s="8">
        <f t="shared" si="27"/>
        <v>1</v>
      </c>
      <c r="K81" s="8">
        <f t="shared" si="28"/>
        <v>100</v>
      </c>
      <c r="L81" s="57">
        <f>IFERROR(VLOOKUP($A81,'1-2-1 绩效数据'!$D:$F,3,0),"")</f>
        <v>98.38</v>
      </c>
      <c r="M81" s="8" t="str">
        <f t="shared" si="37"/>
        <v>1</v>
      </c>
      <c r="N81" s="8">
        <f t="shared" si="21"/>
        <v>1</v>
      </c>
      <c r="O81" s="8">
        <f t="shared" si="22"/>
        <v>1</v>
      </c>
      <c r="P81" s="58">
        <f t="shared" si="29"/>
        <v>1</v>
      </c>
      <c r="Q81" s="8">
        <f t="shared" si="30"/>
        <v>1</v>
      </c>
      <c r="R81" s="8">
        <f t="shared" si="31"/>
        <v>100</v>
      </c>
      <c r="S81" s="57">
        <f>IFERROR(VLOOKUP(A81,'1-2-1 绩效数据'!$G:$I,3,0),"")</f>
        <v>95.978399999999993</v>
      </c>
      <c r="T81" s="8" t="str">
        <f t="shared" si="32"/>
        <v>1</v>
      </c>
      <c r="U81" s="8">
        <f t="shared" si="23"/>
        <v>1</v>
      </c>
      <c r="V81" s="8">
        <f t="shared" si="24"/>
        <v>1</v>
      </c>
      <c r="W81" s="58">
        <f t="shared" si="33"/>
        <v>1</v>
      </c>
      <c r="X81" s="8">
        <f t="shared" si="34"/>
        <v>1</v>
      </c>
      <c r="Y81" s="8">
        <f t="shared" si="35"/>
        <v>100</v>
      </c>
      <c r="Z81" s="57">
        <f t="shared" si="36"/>
        <v>100</v>
      </c>
    </row>
    <row r="82" spans="1:26" x14ac:dyDescent="0.3">
      <c r="A82" s="8" t="s">
        <v>75</v>
      </c>
      <c r="B82" s="70" t="str">
        <f>IFERROR(VLOOKUP('1-2-2 关键绩效'!$A82,'1-1 基本信息'!$A:$K,7,0),"")</f>
        <v>鄂南原油滚动开发方案创新项目组项目长，勘探开发研究院副中层正职</v>
      </c>
      <c r="C82" s="8" t="str">
        <f>IFERROR(VLOOKUP($A82,'1-1 基本信息'!$A:$J,10,0),"")</f>
        <v>鄂南原油创新项目组</v>
      </c>
      <c r="D82" s="8" t="str">
        <f>IFERROR(VLOOKUP(A82,'1-1 基本信息'!$A:$I,8,0),"")</f>
        <v>中层副职</v>
      </c>
      <c r="E82" s="57">
        <f>IFERROR(VLOOKUP($A82,'1-2-1 绩效数据'!$A:$C,3,0),"")</f>
        <v>97.73</v>
      </c>
      <c r="F82" s="8" t="str">
        <f t="shared" si="25"/>
        <v>1</v>
      </c>
      <c r="G82" s="8">
        <f t="shared" si="19"/>
        <v>1</v>
      </c>
      <c r="H82" s="8">
        <f t="shared" si="20"/>
        <v>1</v>
      </c>
      <c r="I82" s="58">
        <f t="shared" si="26"/>
        <v>1</v>
      </c>
      <c r="J82" s="8">
        <f t="shared" si="27"/>
        <v>1</v>
      </c>
      <c r="K82" s="8">
        <f t="shared" si="28"/>
        <v>100</v>
      </c>
      <c r="L82" s="57">
        <f>IFERROR(VLOOKUP($A82,'1-2-1 绩效数据'!$D:$F,3,0),"")</f>
        <v>99.14</v>
      </c>
      <c r="M82" s="8" t="str">
        <f t="shared" si="37"/>
        <v>1</v>
      </c>
      <c r="N82" s="8">
        <f t="shared" si="21"/>
        <v>1</v>
      </c>
      <c r="O82" s="8">
        <f t="shared" si="22"/>
        <v>1</v>
      </c>
      <c r="P82" s="58">
        <f t="shared" si="29"/>
        <v>1</v>
      </c>
      <c r="Q82" s="8">
        <f t="shared" si="30"/>
        <v>1</v>
      </c>
      <c r="R82" s="8">
        <f t="shared" si="31"/>
        <v>100</v>
      </c>
      <c r="S82" s="57">
        <f>IFERROR(VLOOKUP(A82,'1-2-1 绩效数据'!$G:$I,3,0),"")</f>
        <v>99.623799999999989</v>
      </c>
      <c r="T82" s="8" t="str">
        <f t="shared" si="32"/>
        <v>1</v>
      </c>
      <c r="U82" s="8">
        <f t="shared" si="23"/>
        <v>1</v>
      </c>
      <c r="V82" s="8">
        <f t="shared" si="24"/>
        <v>1</v>
      </c>
      <c r="W82" s="58">
        <f t="shared" si="33"/>
        <v>1</v>
      </c>
      <c r="X82" s="8">
        <f t="shared" si="34"/>
        <v>1</v>
      </c>
      <c r="Y82" s="8">
        <f t="shared" si="35"/>
        <v>100</v>
      </c>
      <c r="Z82" s="57">
        <f t="shared" si="36"/>
        <v>100</v>
      </c>
    </row>
    <row r="83" spans="1:26" x14ac:dyDescent="0.3">
      <c r="A83" s="8" t="s">
        <v>93</v>
      </c>
      <c r="B83" s="70" t="str">
        <f>IFERROR(VLOOKUP('1-2-2 关键绩效'!$A83,'1-1 基本信息'!$A:$K,7,0),"")</f>
        <v>培训中心主任、党总支书记、党校副校长</v>
      </c>
      <c r="C83" s="8" t="str">
        <f>IFERROR(VLOOKUP($A83,'1-1 基本信息'!$A:$J,10,0),"")</f>
        <v>培训中心</v>
      </c>
      <c r="D83" s="8" t="str">
        <f>IFERROR(VLOOKUP(A83,'1-1 基本信息'!$A:$I,8,0),"")</f>
        <v>中层正职</v>
      </c>
      <c r="E83" s="57">
        <f>IFERROR(VLOOKUP($A83,'1-2-1 绩效数据'!$A:$C,3,0),"")</f>
        <v>96.32</v>
      </c>
      <c r="F83" s="8" t="str">
        <f t="shared" si="25"/>
        <v>1</v>
      </c>
      <c r="G83" s="8">
        <f t="shared" si="19"/>
        <v>1</v>
      </c>
      <c r="H83" s="8">
        <f t="shared" si="20"/>
        <v>1</v>
      </c>
      <c r="I83" s="58">
        <f t="shared" si="26"/>
        <v>1</v>
      </c>
      <c r="J83" s="8">
        <f t="shared" si="27"/>
        <v>1</v>
      </c>
      <c r="K83" s="8">
        <f t="shared" si="28"/>
        <v>100</v>
      </c>
      <c r="L83" s="57">
        <f>IFERROR(VLOOKUP($A83,'1-2-1 绩效数据'!$D:$F,3,0),"")</f>
        <v>97.47999999999999</v>
      </c>
      <c r="M83" s="8" t="str">
        <f t="shared" si="37"/>
        <v>1</v>
      </c>
      <c r="N83" s="8">
        <f t="shared" si="21"/>
        <v>1</v>
      </c>
      <c r="O83" s="8">
        <f t="shared" si="22"/>
        <v>1</v>
      </c>
      <c r="P83" s="58">
        <f t="shared" si="29"/>
        <v>1</v>
      </c>
      <c r="Q83" s="8">
        <f t="shared" si="30"/>
        <v>1</v>
      </c>
      <c r="R83" s="8">
        <f t="shared" si="31"/>
        <v>100</v>
      </c>
      <c r="S83" s="57">
        <f>IFERROR(VLOOKUP(A83,'1-2-1 绩效数据'!$G:$I,3,0),"")</f>
        <v>98.593999999999994</v>
      </c>
      <c r="T83" s="8" t="str">
        <f t="shared" si="32"/>
        <v>1</v>
      </c>
      <c r="U83" s="8">
        <f t="shared" si="23"/>
        <v>1</v>
      </c>
      <c r="V83" s="8">
        <f t="shared" si="24"/>
        <v>1</v>
      </c>
      <c r="W83" s="58">
        <f t="shared" si="33"/>
        <v>1</v>
      </c>
      <c r="X83" s="8">
        <f t="shared" si="34"/>
        <v>1</v>
      </c>
      <c r="Y83" s="8">
        <f t="shared" si="35"/>
        <v>100</v>
      </c>
      <c r="Z83" s="57">
        <f t="shared" si="36"/>
        <v>100</v>
      </c>
    </row>
    <row r="84" spans="1:26" x14ac:dyDescent="0.3">
      <c r="A84" s="8" t="s">
        <v>68</v>
      </c>
      <c r="B84" s="70" t="str">
        <f>IFERROR(VLOOKUP('1-2-2 关键绩效'!$A84,'1-1 基本信息'!$A:$K,7,0),"")</f>
        <v>郑州基地管理站站长、党委书记，局有限公司公共事业部经理（兼），党支部书记、离退休管理部经理（兼）</v>
      </c>
      <c r="C84" s="8" t="str">
        <f>IFERROR(VLOOKUP($A84,'1-1 基本信息'!$A:$J,10,0),"")</f>
        <v>郑州社区管理服务中心</v>
      </c>
      <c r="D84" s="8" t="str">
        <f>IFERROR(VLOOKUP(A84,'1-1 基本信息'!$A:$I,8,0),"")</f>
        <v>中层正职</v>
      </c>
      <c r="E84" s="57">
        <f>IFERROR(VLOOKUP($A84,'1-2-1 绩效数据'!$A:$C,3,0),"")</f>
        <v>96.97</v>
      </c>
      <c r="F84" s="8" t="str">
        <f t="shared" si="25"/>
        <v>1</v>
      </c>
      <c r="G84" s="8">
        <f t="shared" si="19"/>
        <v>2</v>
      </c>
      <c r="H84" s="8">
        <f t="shared" si="20"/>
        <v>1</v>
      </c>
      <c r="I84" s="58">
        <f t="shared" si="26"/>
        <v>0.5</v>
      </c>
      <c r="J84" s="8">
        <f t="shared" si="27"/>
        <v>2</v>
      </c>
      <c r="K84" s="8">
        <f t="shared" si="28"/>
        <v>90</v>
      </c>
      <c r="L84" s="57">
        <f>IFERROR(VLOOKUP($A84,'1-2-1 绩效数据'!$D:$F,3,0),"")</f>
        <v>95.12</v>
      </c>
      <c r="M84" s="8" t="str">
        <f t="shared" si="37"/>
        <v>1</v>
      </c>
      <c r="N84" s="8">
        <f t="shared" si="21"/>
        <v>2</v>
      </c>
      <c r="O84" s="8">
        <f t="shared" si="22"/>
        <v>2</v>
      </c>
      <c r="P84" s="58">
        <f t="shared" si="29"/>
        <v>1</v>
      </c>
      <c r="Q84" s="8">
        <f t="shared" si="30"/>
        <v>1</v>
      </c>
      <c r="R84" s="8">
        <f t="shared" si="31"/>
        <v>100</v>
      </c>
      <c r="S84" s="57">
        <f>IFERROR(VLOOKUP(A84,'1-2-1 绩效数据'!$G:$I,3,0),"")</f>
        <v>96.466800000000006</v>
      </c>
      <c r="T84" s="8" t="str">
        <f t="shared" si="32"/>
        <v>1</v>
      </c>
      <c r="U84" s="8">
        <f t="shared" si="23"/>
        <v>2</v>
      </c>
      <c r="V84" s="8">
        <f t="shared" si="24"/>
        <v>2</v>
      </c>
      <c r="W84" s="58">
        <f t="shared" si="33"/>
        <v>1</v>
      </c>
      <c r="X84" s="8">
        <f t="shared" si="34"/>
        <v>1</v>
      </c>
      <c r="Y84" s="8">
        <f t="shared" si="35"/>
        <v>100</v>
      </c>
      <c r="Z84" s="57">
        <f t="shared" si="36"/>
        <v>96.666666666666671</v>
      </c>
    </row>
    <row r="85" spans="1:26" x14ac:dyDescent="0.3">
      <c r="A85" s="8" t="s">
        <v>99</v>
      </c>
      <c r="B85" s="70" t="str">
        <f>IFERROR(VLOOKUP('1-2-2 关键绩效'!$A85,'1-1 基本信息'!$A:$K,7,0),"")</f>
        <v>郑州基地管理站副站长（中层副职）、纪委书记、工会主席</v>
      </c>
      <c r="C85" s="8" t="str">
        <f>IFERROR(VLOOKUP($A85,'1-1 基本信息'!$A:$J,10,0),"")</f>
        <v>郑州社区管理服务中心</v>
      </c>
      <c r="D85" s="8" t="str">
        <f>IFERROR(VLOOKUP(A85,'1-1 基本信息'!$A:$I,8,0),"")</f>
        <v>中层副职</v>
      </c>
      <c r="E85" s="57">
        <f>IFERROR(VLOOKUP($A85,'1-2-1 绩效数据'!$A:$C,3,0),"")</f>
        <v>96.27</v>
      </c>
      <c r="F85" s="8" t="str">
        <f t="shared" si="25"/>
        <v>1</v>
      </c>
      <c r="G85" s="8">
        <f t="shared" si="19"/>
        <v>2</v>
      </c>
      <c r="H85" s="8">
        <f t="shared" si="20"/>
        <v>2</v>
      </c>
      <c r="I85" s="58">
        <f t="shared" si="26"/>
        <v>1</v>
      </c>
      <c r="J85" s="8">
        <f t="shared" si="27"/>
        <v>1</v>
      </c>
      <c r="K85" s="8">
        <f t="shared" si="28"/>
        <v>100</v>
      </c>
      <c r="L85" s="57">
        <f>IFERROR(VLOOKUP($A85,'1-2-1 绩效数据'!$D:$F,3,0),"")</f>
        <v>95.45</v>
      </c>
      <c r="M85" s="8" t="str">
        <f t="shared" si="37"/>
        <v>1</v>
      </c>
      <c r="N85" s="8">
        <f t="shared" si="21"/>
        <v>2</v>
      </c>
      <c r="O85" s="8">
        <f t="shared" si="22"/>
        <v>1</v>
      </c>
      <c r="P85" s="58">
        <f t="shared" si="29"/>
        <v>0.5</v>
      </c>
      <c r="Q85" s="8">
        <f t="shared" si="30"/>
        <v>2</v>
      </c>
      <c r="R85" s="8">
        <f t="shared" si="31"/>
        <v>90</v>
      </c>
      <c r="S85" s="57">
        <f>IFERROR(VLOOKUP(A85,'1-2-1 绩效数据'!$G:$I,3,0),"")</f>
        <v>96.902800000000013</v>
      </c>
      <c r="T85" s="8" t="str">
        <f t="shared" si="32"/>
        <v>1</v>
      </c>
      <c r="U85" s="8">
        <f t="shared" si="23"/>
        <v>2</v>
      </c>
      <c r="V85" s="8">
        <f t="shared" si="24"/>
        <v>1</v>
      </c>
      <c r="W85" s="58">
        <f t="shared" si="33"/>
        <v>0.5</v>
      </c>
      <c r="X85" s="8">
        <f t="shared" si="34"/>
        <v>2</v>
      </c>
      <c r="Y85" s="8">
        <f t="shared" si="35"/>
        <v>90</v>
      </c>
      <c r="Z85" s="57">
        <f t="shared" si="36"/>
        <v>93.333333333333329</v>
      </c>
    </row>
    <row r="86" spans="1:26" x14ac:dyDescent="0.3">
      <c r="A86" s="8" t="s">
        <v>133</v>
      </c>
      <c r="B86" s="70" t="str">
        <f>IFERROR(VLOOKUP('1-2-2 关键绩效'!$A86,'1-1 基本信息'!$A:$K,7,0),"")</f>
        <v>新乡基地管理站站长（中层副职）、新乡办事处主任（中层副职），公司信访维稳办公室副主任（兼）</v>
      </c>
      <c r="C86" s="8" t="str">
        <f>IFERROR(VLOOKUP($A86,'1-1 基本信息'!$A:$J,10,0),"")</f>
        <v>新乡社区管理服务中心</v>
      </c>
      <c r="D86" s="8" t="str">
        <f>IFERROR(VLOOKUP(A86,'1-1 基本信息'!$A:$I,8,0),"")</f>
        <v>中层副职</v>
      </c>
      <c r="E86" s="57">
        <f>IFERROR(VLOOKUP($A86,'1-2-1 绩效数据'!$A:$C,3,0),"")</f>
        <v>95.72</v>
      </c>
      <c r="F86" s="8" t="str">
        <f t="shared" si="25"/>
        <v>1</v>
      </c>
      <c r="G86" s="8">
        <f t="shared" si="19"/>
        <v>2</v>
      </c>
      <c r="H86" s="8">
        <f t="shared" si="20"/>
        <v>1</v>
      </c>
      <c r="I86" s="58">
        <f t="shared" si="26"/>
        <v>0.5</v>
      </c>
      <c r="J86" s="8">
        <f t="shared" si="27"/>
        <v>2</v>
      </c>
      <c r="K86" s="8">
        <f t="shared" si="28"/>
        <v>90</v>
      </c>
      <c r="L86" s="57">
        <f>IFERROR(VLOOKUP($A86,'1-2-1 绩效数据'!$D:$F,3,0),"")</f>
        <v>95.45</v>
      </c>
      <c r="M86" s="8" t="str">
        <f t="shared" si="37"/>
        <v>1</v>
      </c>
      <c r="N86" s="8">
        <f t="shared" si="21"/>
        <v>2</v>
      </c>
      <c r="O86" s="8">
        <f t="shared" si="22"/>
        <v>2</v>
      </c>
      <c r="P86" s="58">
        <f t="shared" si="29"/>
        <v>1</v>
      </c>
      <c r="Q86" s="8">
        <f t="shared" si="30"/>
        <v>1</v>
      </c>
      <c r="R86" s="8">
        <f t="shared" si="31"/>
        <v>100</v>
      </c>
      <c r="S86" s="57">
        <f>IFERROR(VLOOKUP(A86,'1-2-1 绩效数据'!$G:$I,3,0),"")</f>
        <v>95.560699999999997</v>
      </c>
      <c r="T86" s="8" t="str">
        <f t="shared" si="32"/>
        <v>1</v>
      </c>
      <c r="U86" s="8">
        <f t="shared" si="23"/>
        <v>2</v>
      </c>
      <c r="V86" s="8">
        <f t="shared" si="24"/>
        <v>1</v>
      </c>
      <c r="W86" s="58">
        <f t="shared" si="33"/>
        <v>0.5</v>
      </c>
      <c r="X86" s="8">
        <f t="shared" si="34"/>
        <v>2</v>
      </c>
      <c r="Y86" s="8">
        <f t="shared" si="35"/>
        <v>90</v>
      </c>
      <c r="Z86" s="57">
        <f t="shared" si="36"/>
        <v>93.333333333333329</v>
      </c>
    </row>
    <row r="87" spans="1:26" x14ac:dyDescent="0.3">
      <c r="A87" s="8" t="s">
        <v>426</v>
      </c>
      <c r="B87" s="70" t="str">
        <f>IFERROR(VLOOKUP('1-2-2 关键绩效'!$A87,'1-1 基本信息'!$A:$K,7,0),"")</f>
        <v>新乡基地管理站党委书记（中层副职）、纪委书记、工会主席、副站长、新乡办事处副主任</v>
      </c>
      <c r="C87" s="8" t="str">
        <f>IFERROR(VLOOKUP($A87,'1-1 基本信息'!$A:$J,10,0),"")</f>
        <v>新乡社区管理服务中心</v>
      </c>
      <c r="D87" s="8" t="str">
        <f>IFERROR(VLOOKUP(A87,'1-1 基本信息'!$A:$I,8,0),"")</f>
        <v>党委书记</v>
      </c>
      <c r="E87" s="57">
        <f>IFERROR(VLOOKUP($A87,'1-2-1 绩效数据'!$A:$C,3,0),"")</f>
        <v>94.9</v>
      </c>
      <c r="F87" s="8" t="str">
        <f t="shared" si="25"/>
        <v>1</v>
      </c>
      <c r="G87" s="8">
        <f t="shared" si="19"/>
        <v>2</v>
      </c>
      <c r="H87" s="8">
        <f t="shared" si="20"/>
        <v>2</v>
      </c>
      <c r="I87" s="58">
        <f t="shared" si="26"/>
        <v>1</v>
      </c>
      <c r="J87" s="8">
        <f t="shared" si="27"/>
        <v>1</v>
      </c>
      <c r="K87" s="8">
        <f t="shared" si="28"/>
        <v>100</v>
      </c>
      <c r="L87" s="57">
        <f>IFERROR(VLOOKUP($A87,'1-2-1 绩效数据'!$D:$F,3,0),"")</f>
        <v>98.16</v>
      </c>
      <c r="M87" s="8" t="str">
        <f t="shared" si="37"/>
        <v>1</v>
      </c>
      <c r="N87" s="8">
        <f t="shared" si="21"/>
        <v>2</v>
      </c>
      <c r="O87" s="8">
        <f t="shared" si="22"/>
        <v>1</v>
      </c>
      <c r="P87" s="58">
        <f t="shared" si="29"/>
        <v>0.5</v>
      </c>
      <c r="Q87" s="8">
        <f t="shared" si="30"/>
        <v>2</v>
      </c>
      <c r="R87" s="8">
        <f t="shared" si="31"/>
        <v>90</v>
      </c>
      <c r="S87" s="57">
        <f>IFERROR(VLOOKUP(A87,'1-2-1 绩效数据'!$G:$I,3,0),"")</f>
        <v>95.252700000000004</v>
      </c>
      <c r="T87" s="8" t="str">
        <f t="shared" si="32"/>
        <v>1</v>
      </c>
      <c r="U87" s="8">
        <f t="shared" si="23"/>
        <v>2</v>
      </c>
      <c r="V87" s="8">
        <f t="shared" si="24"/>
        <v>2</v>
      </c>
      <c r="W87" s="58">
        <f t="shared" si="33"/>
        <v>1</v>
      </c>
      <c r="X87" s="8">
        <f t="shared" si="34"/>
        <v>1</v>
      </c>
      <c r="Y87" s="8">
        <f t="shared" si="35"/>
        <v>100</v>
      </c>
      <c r="Z87" s="57">
        <f t="shared" si="36"/>
        <v>96.666666666666671</v>
      </c>
    </row>
    <row r="88" spans="1:26" x14ac:dyDescent="0.3">
      <c r="A88" s="8"/>
      <c r="B88" s="70" t="str">
        <f>IFERROR(VLOOKUP('1-2-2 关键绩效'!$A88,'1-1 基本信息'!$A:$K,7,0),"")</f>
        <v/>
      </c>
      <c r="C88" s="8" t="str">
        <f>IFERROR(VLOOKUP($A88,'1-1 基本信息'!$A:$J,10,0),"")</f>
        <v/>
      </c>
      <c r="D88" s="8" t="str">
        <f>IFERROR(VLOOKUP(A88,'1-1 基本信息'!$A:$I,8,0),"")</f>
        <v/>
      </c>
      <c r="E88" s="57" t="str">
        <f>IFERROR(VLOOKUP($A88,'1-2-1 绩效数据'!$A:$C,3,0),"")</f>
        <v/>
      </c>
      <c r="F88" s="8" t="str">
        <f t="shared" ref="F88:F133" si="38">IF(E88&lt;&gt;"","1","2")</f>
        <v>2</v>
      </c>
      <c r="G88" s="8" t="str">
        <f t="shared" si="19"/>
        <v/>
      </c>
      <c r="H88" s="8" t="str">
        <f t="shared" si="20"/>
        <v/>
      </c>
      <c r="I88" s="58" t="str">
        <f t="shared" ref="I88:I133" si="39">IFERROR(H88/G88,"")</f>
        <v/>
      </c>
      <c r="J88" s="8" t="str">
        <f t="shared" si="27"/>
        <v/>
      </c>
      <c r="K88" s="8" t="str">
        <f t="shared" ref="K88:K133" si="40">IF(J88&lt;&gt;"",IF(J88=1,100,IF(J88=2,90,IF(J88=3,80,IF(J88=4,70,IF(J88=5,60))))),"")</f>
        <v/>
      </c>
      <c r="L88" s="57" t="str">
        <f>IFERROR(VLOOKUP($A88,'1-2-1 绩效数据'!$D:$F,3,0),"")</f>
        <v/>
      </c>
      <c r="M88" s="8" t="str">
        <f t="shared" ref="M88:M134" si="41">IF($L88&lt;&gt;"","1","2")</f>
        <v>2</v>
      </c>
      <c r="N88" s="8" t="str">
        <f t="shared" si="21"/>
        <v/>
      </c>
      <c r="O88" s="8" t="str">
        <f t="shared" si="22"/>
        <v/>
      </c>
      <c r="P88" s="58" t="str">
        <f t="shared" ref="P88:P133" si="42">IFERROR(O88/N88,"")</f>
        <v/>
      </c>
      <c r="Q88" s="8" t="str">
        <f t="shared" si="30"/>
        <v/>
      </c>
      <c r="R88" s="8" t="str">
        <f t="shared" ref="R88:R133" si="43">IF(Q88&lt;&gt;"",IF(Q88=1,100,IF(Q88=2,90,IF(Q88=3,80,IF(Q88=4,70,IF(Q88=5,60))))),"")</f>
        <v/>
      </c>
      <c r="S88" s="57" t="str">
        <f>IFERROR(VLOOKUP(A88,'1-2-1 绩效数据'!$G:$I,3,0),"")</f>
        <v/>
      </c>
      <c r="T88" s="8" t="str">
        <f t="shared" ref="T88:T133" si="44">IF(S88&lt;&gt;"","1","2")</f>
        <v>2</v>
      </c>
      <c r="U88" s="8" t="str">
        <f t="shared" si="23"/>
        <v/>
      </c>
      <c r="V88" s="8" t="str">
        <f t="shared" si="24"/>
        <v/>
      </c>
      <c r="W88" s="58" t="str">
        <f t="shared" ref="W88:W133" si="45">IFERROR(V88/U88,"")</f>
        <v/>
      </c>
      <c r="X88" s="8" t="str">
        <f t="shared" si="34"/>
        <v/>
      </c>
      <c r="Y88" s="8" t="str">
        <f t="shared" ref="Y88:Y133" si="46">IF(X88&lt;&gt;"",IF(X88=1,100,IF(X88=2,90,IF(X88=3,80,IF(X88=4,70,IF(X88=5,60))))),"")</f>
        <v/>
      </c>
      <c r="Z88" s="57" t="str">
        <f t="shared" ref="Z88:Z133" si="47">IFERROR(AVERAGE(K88,R88,Y88),"")</f>
        <v/>
      </c>
    </row>
    <row r="89" spans="1:26" x14ac:dyDescent="0.3">
      <c r="A89" s="8"/>
      <c r="B89" s="70" t="str">
        <f>IFERROR(VLOOKUP('1-2-2 关键绩效'!$A89,'1-1 基本信息'!$A:$K,7,0),"")</f>
        <v/>
      </c>
      <c r="C89" s="8" t="str">
        <f>IFERROR(VLOOKUP($A89,'1-1 基本信息'!$A:$J,10,0),"")</f>
        <v/>
      </c>
      <c r="D89" s="8" t="str">
        <f>IFERROR(VLOOKUP(A89,'1-1 基本信息'!$A:$I,8,0),"")</f>
        <v/>
      </c>
      <c r="E89" s="57" t="str">
        <f>IFERROR(VLOOKUP($A89,'1-2-1 绩效数据'!$A:$C,3,0),"")</f>
        <v/>
      </c>
      <c r="F89" s="8" t="str">
        <f t="shared" si="38"/>
        <v>2</v>
      </c>
      <c r="G89" s="8" t="str">
        <f t="shared" si="19"/>
        <v/>
      </c>
      <c r="H89" s="8" t="str">
        <f t="shared" si="20"/>
        <v/>
      </c>
      <c r="I89" s="58" t="str">
        <f t="shared" si="39"/>
        <v/>
      </c>
      <c r="J89" s="8" t="str">
        <f t="shared" si="27"/>
        <v/>
      </c>
      <c r="K89" s="8" t="str">
        <f t="shared" si="40"/>
        <v/>
      </c>
      <c r="L89" s="57" t="str">
        <f>IFERROR(VLOOKUP($A89,'1-2-1 绩效数据'!$D:$F,3,0),"")</f>
        <v/>
      </c>
      <c r="M89" s="8" t="str">
        <f t="shared" si="41"/>
        <v>2</v>
      </c>
      <c r="N89" s="8" t="str">
        <f t="shared" si="21"/>
        <v/>
      </c>
      <c r="O89" s="8" t="str">
        <f t="shared" si="22"/>
        <v/>
      </c>
      <c r="P89" s="58" t="str">
        <f t="shared" si="42"/>
        <v/>
      </c>
      <c r="Q89" s="8" t="str">
        <f t="shared" si="30"/>
        <v/>
      </c>
      <c r="R89" s="8" t="str">
        <f t="shared" si="43"/>
        <v/>
      </c>
      <c r="S89" s="57" t="str">
        <f>IFERROR(VLOOKUP(A89,'1-2-1 绩效数据'!$G:$I,3,0),"")</f>
        <v/>
      </c>
      <c r="T89" s="8" t="str">
        <f t="shared" si="44"/>
        <v>2</v>
      </c>
      <c r="U89" s="8" t="str">
        <f t="shared" si="23"/>
        <v/>
      </c>
      <c r="V89" s="8" t="str">
        <f t="shared" si="24"/>
        <v/>
      </c>
      <c r="W89" s="58" t="str">
        <f t="shared" si="45"/>
        <v/>
      </c>
      <c r="X89" s="8" t="str">
        <f t="shared" si="34"/>
        <v/>
      </c>
      <c r="Y89" s="8" t="str">
        <f t="shared" si="46"/>
        <v/>
      </c>
      <c r="Z89" s="57" t="str">
        <f t="shared" si="47"/>
        <v/>
      </c>
    </row>
    <row r="90" spans="1:26" x14ac:dyDescent="0.3">
      <c r="A90" s="8"/>
      <c r="B90" s="70" t="str">
        <f>IFERROR(VLOOKUP('1-2-2 关键绩效'!$A90,'1-1 基本信息'!$A:$K,7,0),"")</f>
        <v/>
      </c>
      <c r="C90" s="8" t="str">
        <f>IFERROR(VLOOKUP($A90,'1-1 基本信息'!$A:$J,10,0),"")</f>
        <v/>
      </c>
      <c r="D90" s="8" t="str">
        <f>IFERROR(VLOOKUP(A90,'1-1 基本信息'!$A:$I,8,0),"")</f>
        <v/>
      </c>
      <c r="E90" s="57" t="str">
        <f>IFERROR(VLOOKUP($A90,'1-2-1 绩效数据'!$A:$C,3,0),"")</f>
        <v/>
      </c>
      <c r="F90" s="8" t="str">
        <f t="shared" si="38"/>
        <v>2</v>
      </c>
      <c r="G90" s="8" t="str">
        <f t="shared" si="19"/>
        <v/>
      </c>
      <c r="H90" s="8" t="str">
        <f t="shared" si="20"/>
        <v/>
      </c>
      <c r="I90" s="58" t="str">
        <f t="shared" si="39"/>
        <v/>
      </c>
      <c r="J90" s="8" t="str">
        <f t="shared" si="27"/>
        <v/>
      </c>
      <c r="K90" s="8" t="str">
        <f t="shared" si="40"/>
        <v/>
      </c>
      <c r="L90" s="57" t="str">
        <f>IFERROR(VLOOKUP($A90,'1-2-1 绩效数据'!$D:$F,3,0),"")</f>
        <v/>
      </c>
      <c r="M90" s="8" t="str">
        <f t="shared" si="41"/>
        <v>2</v>
      </c>
      <c r="N90" s="8" t="str">
        <f t="shared" si="21"/>
        <v/>
      </c>
      <c r="O90" s="8" t="str">
        <f t="shared" si="22"/>
        <v/>
      </c>
      <c r="P90" s="58" t="str">
        <f t="shared" si="42"/>
        <v/>
      </c>
      <c r="Q90" s="8" t="str">
        <f t="shared" si="30"/>
        <v/>
      </c>
      <c r="R90" s="8" t="str">
        <f t="shared" si="43"/>
        <v/>
      </c>
      <c r="S90" s="57" t="str">
        <f>IFERROR(VLOOKUP(A90,'1-2-1 绩效数据'!$G:$I,3,0),"")</f>
        <v/>
      </c>
      <c r="T90" s="8" t="str">
        <f t="shared" si="44"/>
        <v>2</v>
      </c>
      <c r="U90" s="8" t="str">
        <f t="shared" si="23"/>
        <v/>
      </c>
      <c r="V90" s="8" t="str">
        <f t="shared" si="24"/>
        <v/>
      </c>
      <c r="W90" s="58" t="str">
        <f t="shared" si="45"/>
        <v/>
      </c>
      <c r="X90" s="8" t="str">
        <f t="shared" si="34"/>
        <v/>
      </c>
      <c r="Y90" s="8" t="str">
        <f t="shared" si="46"/>
        <v/>
      </c>
      <c r="Z90" s="57" t="str">
        <f t="shared" si="47"/>
        <v/>
      </c>
    </row>
    <row r="91" spans="1:26" x14ac:dyDescent="0.3">
      <c r="A91" s="8"/>
      <c r="B91" s="70" t="str">
        <f>IFERROR(VLOOKUP('1-2-2 关键绩效'!$A91,'1-1 基本信息'!$A:$K,7,0),"")</f>
        <v/>
      </c>
      <c r="C91" s="8" t="str">
        <f>IFERROR(VLOOKUP($A91,'1-1 基本信息'!$A:$J,10,0),"")</f>
        <v/>
      </c>
      <c r="D91" s="8" t="str">
        <f>IFERROR(VLOOKUP(A91,'1-1 基本信息'!$A:$I,8,0),"")</f>
        <v/>
      </c>
      <c r="E91" s="57" t="str">
        <f>IFERROR(VLOOKUP($A91,'1-2-1 绩效数据'!$A:$C,3,0),"")</f>
        <v/>
      </c>
      <c r="F91" s="8" t="str">
        <f t="shared" si="38"/>
        <v>2</v>
      </c>
      <c r="G91" s="8" t="str">
        <f t="shared" si="19"/>
        <v/>
      </c>
      <c r="H91" s="8" t="str">
        <f t="shared" si="20"/>
        <v/>
      </c>
      <c r="I91" s="58" t="str">
        <f t="shared" si="39"/>
        <v/>
      </c>
      <c r="J91" s="8" t="str">
        <f t="shared" si="27"/>
        <v/>
      </c>
      <c r="K91" s="8" t="str">
        <f t="shared" si="40"/>
        <v/>
      </c>
      <c r="L91" s="57" t="str">
        <f>IFERROR(VLOOKUP($A91,'1-2-1 绩效数据'!$D:$F,3,0),"")</f>
        <v/>
      </c>
      <c r="M91" s="8" t="str">
        <f t="shared" si="41"/>
        <v>2</v>
      </c>
      <c r="N91" s="8" t="str">
        <f t="shared" si="21"/>
        <v/>
      </c>
      <c r="O91" s="8" t="str">
        <f t="shared" si="22"/>
        <v/>
      </c>
      <c r="P91" s="58" t="str">
        <f t="shared" si="42"/>
        <v/>
      </c>
      <c r="Q91" s="8" t="str">
        <f t="shared" si="30"/>
        <v/>
      </c>
      <c r="R91" s="8" t="str">
        <f t="shared" si="43"/>
        <v/>
      </c>
      <c r="S91" s="57" t="str">
        <f>IFERROR(VLOOKUP(A91,'1-2-1 绩效数据'!$G:$I,3,0),"")</f>
        <v/>
      </c>
      <c r="T91" s="8" t="str">
        <f t="shared" si="44"/>
        <v>2</v>
      </c>
      <c r="U91" s="8" t="str">
        <f t="shared" si="23"/>
        <v/>
      </c>
      <c r="V91" s="8" t="str">
        <f t="shared" si="24"/>
        <v/>
      </c>
      <c r="W91" s="58" t="str">
        <f t="shared" si="45"/>
        <v/>
      </c>
      <c r="X91" s="8" t="str">
        <f t="shared" si="34"/>
        <v/>
      </c>
      <c r="Y91" s="8" t="str">
        <f t="shared" si="46"/>
        <v/>
      </c>
      <c r="Z91" s="57" t="str">
        <f t="shared" si="47"/>
        <v/>
      </c>
    </row>
    <row r="92" spans="1:26" x14ac:dyDescent="0.3">
      <c r="A92" s="8"/>
      <c r="B92" s="70" t="str">
        <f>IFERROR(VLOOKUP('1-2-2 关键绩效'!$A92,'1-1 基本信息'!$A:$K,7,0),"")</f>
        <v/>
      </c>
      <c r="C92" s="8" t="str">
        <f>IFERROR(VLOOKUP($A92,'1-1 基本信息'!$A:$J,10,0),"")</f>
        <v/>
      </c>
      <c r="D92" s="8" t="str">
        <f>IFERROR(VLOOKUP(A92,'1-1 基本信息'!$A:$I,8,0),"")</f>
        <v/>
      </c>
      <c r="E92" s="57" t="str">
        <f>IFERROR(VLOOKUP($A92,'1-2-1 绩效数据'!$A:$C,3,0),"")</f>
        <v/>
      </c>
      <c r="F92" s="8" t="str">
        <f t="shared" si="38"/>
        <v>2</v>
      </c>
      <c r="G92" s="8" t="str">
        <f t="shared" si="19"/>
        <v/>
      </c>
      <c r="H92" s="8" t="str">
        <f t="shared" si="20"/>
        <v/>
      </c>
      <c r="I92" s="58" t="str">
        <f t="shared" si="39"/>
        <v/>
      </c>
      <c r="J92" s="8" t="str">
        <f t="shared" si="27"/>
        <v/>
      </c>
      <c r="K92" s="8" t="str">
        <f t="shared" si="40"/>
        <v/>
      </c>
      <c r="L92" s="57" t="str">
        <f>IFERROR(VLOOKUP($A92,'1-2-1 绩效数据'!$D:$F,3,0),"")</f>
        <v/>
      </c>
      <c r="M92" s="8" t="str">
        <f t="shared" si="41"/>
        <v>2</v>
      </c>
      <c r="N92" s="8" t="str">
        <f t="shared" si="21"/>
        <v/>
      </c>
      <c r="O92" s="8" t="str">
        <f t="shared" si="22"/>
        <v/>
      </c>
      <c r="P92" s="58" t="str">
        <f t="shared" si="42"/>
        <v/>
      </c>
      <c r="Q92" s="8" t="str">
        <f t="shared" si="30"/>
        <v/>
      </c>
      <c r="R92" s="8" t="str">
        <f t="shared" si="43"/>
        <v/>
      </c>
      <c r="S92" s="57" t="str">
        <f>IFERROR(VLOOKUP(A92,'1-2-1 绩效数据'!$G:$I,3,0),"")</f>
        <v/>
      </c>
      <c r="T92" s="8" t="str">
        <f t="shared" si="44"/>
        <v>2</v>
      </c>
      <c r="U92" s="8" t="str">
        <f t="shared" si="23"/>
        <v/>
      </c>
      <c r="V92" s="8" t="str">
        <f t="shared" si="24"/>
        <v/>
      </c>
      <c r="W92" s="58" t="str">
        <f t="shared" si="45"/>
        <v/>
      </c>
      <c r="X92" s="8" t="str">
        <f t="shared" si="34"/>
        <v/>
      </c>
      <c r="Y92" s="8" t="str">
        <f t="shared" si="46"/>
        <v/>
      </c>
      <c r="Z92" s="57" t="str">
        <f t="shared" si="47"/>
        <v/>
      </c>
    </row>
    <row r="93" spans="1:26" x14ac:dyDescent="0.3">
      <c r="A93" s="8"/>
      <c r="B93" s="70" t="str">
        <f>IFERROR(VLOOKUP('1-2-2 关键绩效'!$A93,'1-1 基本信息'!$A:$K,7,0),"")</f>
        <v/>
      </c>
      <c r="C93" s="8" t="str">
        <f>IFERROR(VLOOKUP($A93,'1-1 基本信息'!$A:$J,10,0),"")</f>
        <v/>
      </c>
      <c r="D93" s="8" t="str">
        <f>IFERROR(VLOOKUP(A93,'1-1 基本信息'!$A:$I,8,0),"")</f>
        <v/>
      </c>
      <c r="E93" s="57" t="str">
        <f>IFERROR(VLOOKUP($A93,'1-2-1 绩效数据'!$A:$C,3,0),"")</f>
        <v/>
      </c>
      <c r="F93" s="8" t="str">
        <f t="shared" si="38"/>
        <v>2</v>
      </c>
      <c r="G93" s="8" t="str">
        <f t="shared" si="19"/>
        <v/>
      </c>
      <c r="H93" s="8" t="str">
        <f t="shared" si="20"/>
        <v/>
      </c>
      <c r="I93" s="58" t="str">
        <f t="shared" si="39"/>
        <v/>
      </c>
      <c r="J93" s="8" t="str">
        <f t="shared" si="27"/>
        <v/>
      </c>
      <c r="K93" s="8" t="str">
        <f t="shared" si="40"/>
        <v/>
      </c>
      <c r="L93" s="57" t="str">
        <f>IFERROR(VLOOKUP($A93,'1-2-1 绩效数据'!$D:$F,3,0),"")</f>
        <v/>
      </c>
      <c r="M93" s="8" t="str">
        <f t="shared" si="41"/>
        <v>2</v>
      </c>
      <c r="N93" s="8" t="str">
        <f t="shared" si="21"/>
        <v/>
      </c>
      <c r="O93" s="8" t="str">
        <f t="shared" si="22"/>
        <v/>
      </c>
      <c r="P93" s="58" t="str">
        <f t="shared" si="42"/>
        <v/>
      </c>
      <c r="Q93" s="8" t="str">
        <f t="shared" si="30"/>
        <v/>
      </c>
      <c r="R93" s="8" t="str">
        <f t="shared" si="43"/>
        <v/>
      </c>
      <c r="S93" s="57" t="str">
        <f>IFERROR(VLOOKUP(A93,'1-2-1 绩效数据'!$G:$I,3,0),"")</f>
        <v/>
      </c>
      <c r="T93" s="8" t="str">
        <f t="shared" si="44"/>
        <v>2</v>
      </c>
      <c r="U93" s="8" t="str">
        <f t="shared" si="23"/>
        <v/>
      </c>
      <c r="V93" s="8" t="str">
        <f t="shared" si="24"/>
        <v/>
      </c>
      <c r="W93" s="58" t="str">
        <f t="shared" si="45"/>
        <v/>
      </c>
      <c r="X93" s="8" t="str">
        <f t="shared" si="34"/>
        <v/>
      </c>
      <c r="Y93" s="8" t="str">
        <f t="shared" si="46"/>
        <v/>
      </c>
      <c r="Z93" s="57" t="str">
        <f t="shared" si="47"/>
        <v/>
      </c>
    </row>
    <row r="94" spans="1:26" x14ac:dyDescent="0.3">
      <c r="A94" s="8"/>
      <c r="B94" s="70" t="str">
        <f>IFERROR(VLOOKUP('1-2-2 关键绩效'!$A94,'1-1 基本信息'!$A:$K,7,0),"")</f>
        <v/>
      </c>
      <c r="C94" s="8" t="str">
        <f>IFERROR(VLOOKUP($A94,'1-1 基本信息'!$A:$J,10,0),"")</f>
        <v/>
      </c>
      <c r="D94" s="8" t="str">
        <f>IFERROR(VLOOKUP(A94,'1-1 基本信息'!$A:$I,8,0),"")</f>
        <v/>
      </c>
      <c r="E94" s="57" t="str">
        <f>IFERROR(VLOOKUP($A94,'1-2-1 绩效数据'!$A:$C,3,0),"")</f>
        <v/>
      </c>
      <c r="F94" s="8" t="str">
        <f t="shared" si="38"/>
        <v>2</v>
      </c>
      <c r="G94" s="8" t="str">
        <f t="shared" si="19"/>
        <v/>
      </c>
      <c r="H94" s="8" t="str">
        <f t="shared" si="20"/>
        <v/>
      </c>
      <c r="I94" s="58" t="str">
        <f t="shared" si="39"/>
        <v/>
      </c>
      <c r="J94" s="8" t="str">
        <f t="shared" si="27"/>
        <v/>
      </c>
      <c r="K94" s="8" t="str">
        <f t="shared" si="40"/>
        <v/>
      </c>
      <c r="L94" s="57" t="str">
        <f>IFERROR(VLOOKUP($A94,'1-2-1 绩效数据'!$D:$F,3,0),"")</f>
        <v/>
      </c>
      <c r="M94" s="8" t="str">
        <f t="shared" si="41"/>
        <v>2</v>
      </c>
      <c r="N94" s="8" t="str">
        <f t="shared" si="21"/>
        <v/>
      </c>
      <c r="O94" s="8" t="str">
        <f t="shared" si="22"/>
        <v/>
      </c>
      <c r="P94" s="58" t="str">
        <f t="shared" si="42"/>
        <v/>
      </c>
      <c r="Q94" s="8" t="str">
        <f t="shared" si="30"/>
        <v/>
      </c>
      <c r="R94" s="8" t="str">
        <f t="shared" si="43"/>
        <v/>
      </c>
      <c r="S94" s="57" t="str">
        <f>IFERROR(VLOOKUP(A94,'1-2-1 绩效数据'!$G:$I,3,0),"")</f>
        <v/>
      </c>
      <c r="T94" s="8" t="str">
        <f t="shared" si="44"/>
        <v>2</v>
      </c>
      <c r="U94" s="8" t="str">
        <f t="shared" si="23"/>
        <v/>
      </c>
      <c r="V94" s="8" t="str">
        <f t="shared" si="24"/>
        <v/>
      </c>
      <c r="W94" s="58" t="str">
        <f t="shared" si="45"/>
        <v/>
      </c>
      <c r="X94" s="8" t="str">
        <f t="shared" si="34"/>
        <v/>
      </c>
      <c r="Y94" s="8" t="str">
        <f t="shared" si="46"/>
        <v/>
      </c>
      <c r="Z94" s="57" t="str">
        <f t="shared" si="47"/>
        <v/>
      </c>
    </row>
    <row r="95" spans="1:26" x14ac:dyDescent="0.3">
      <c r="A95" s="8"/>
      <c r="B95" s="70" t="str">
        <f>IFERROR(VLOOKUP('1-2-2 关键绩效'!$A95,'1-1 基本信息'!$A:$K,7,0),"")</f>
        <v/>
      </c>
      <c r="C95" s="8" t="str">
        <f>IFERROR(VLOOKUP($A95,'1-1 基本信息'!$A:$J,10,0),"")</f>
        <v/>
      </c>
      <c r="D95" s="8" t="str">
        <f>IFERROR(VLOOKUP(A95,'1-1 基本信息'!$A:$I,8,0),"")</f>
        <v/>
      </c>
      <c r="E95" s="57" t="str">
        <f>IFERROR(VLOOKUP($A95,'1-2-1 绩效数据'!$A:$C,3,0),"")</f>
        <v/>
      </c>
      <c r="F95" s="8" t="str">
        <f t="shared" si="38"/>
        <v>2</v>
      </c>
      <c r="G95" s="8" t="str">
        <f t="shared" si="19"/>
        <v/>
      </c>
      <c r="H95" s="8" t="str">
        <f t="shared" si="20"/>
        <v/>
      </c>
      <c r="I95" s="58" t="str">
        <f t="shared" si="39"/>
        <v/>
      </c>
      <c r="J95" s="8" t="str">
        <f t="shared" si="27"/>
        <v/>
      </c>
      <c r="K95" s="8" t="str">
        <f t="shared" si="40"/>
        <v/>
      </c>
      <c r="L95" s="57" t="str">
        <f>IFERROR(VLOOKUP($A95,'1-2-1 绩效数据'!$D:$F,3,0),"")</f>
        <v/>
      </c>
      <c r="M95" s="8" t="str">
        <f t="shared" si="41"/>
        <v>2</v>
      </c>
      <c r="N95" s="8" t="str">
        <f t="shared" si="21"/>
        <v/>
      </c>
      <c r="O95" s="8" t="str">
        <f t="shared" si="22"/>
        <v/>
      </c>
      <c r="P95" s="58" t="str">
        <f t="shared" si="42"/>
        <v/>
      </c>
      <c r="Q95" s="8" t="str">
        <f t="shared" si="30"/>
        <v/>
      </c>
      <c r="R95" s="8" t="str">
        <f t="shared" si="43"/>
        <v/>
      </c>
      <c r="S95" s="57" t="str">
        <f>IFERROR(VLOOKUP(A95,'1-2-1 绩效数据'!$G:$I,3,0),"")</f>
        <v/>
      </c>
      <c r="T95" s="8" t="str">
        <f t="shared" si="44"/>
        <v>2</v>
      </c>
      <c r="U95" s="8" t="str">
        <f t="shared" si="23"/>
        <v/>
      </c>
      <c r="V95" s="8" t="str">
        <f t="shared" si="24"/>
        <v/>
      </c>
      <c r="W95" s="58" t="str">
        <f t="shared" si="45"/>
        <v/>
      </c>
      <c r="X95" s="8" t="str">
        <f t="shared" si="34"/>
        <v/>
      </c>
      <c r="Y95" s="8" t="str">
        <f t="shared" si="46"/>
        <v/>
      </c>
      <c r="Z95" s="57" t="str">
        <f t="shared" si="47"/>
        <v/>
      </c>
    </row>
    <row r="96" spans="1:26" x14ac:dyDescent="0.3">
      <c r="A96" s="8"/>
      <c r="B96" s="70" t="str">
        <f>IFERROR(VLOOKUP('1-2-2 关键绩效'!$A96,'1-1 基本信息'!$A:$K,7,0),"")</f>
        <v/>
      </c>
      <c r="C96" s="8" t="str">
        <f>IFERROR(VLOOKUP($A96,'1-1 基本信息'!$A:$J,10,0),"")</f>
        <v/>
      </c>
      <c r="D96" s="8" t="str">
        <f>IFERROR(VLOOKUP(A96,'1-1 基本信息'!$A:$I,8,0),"")</f>
        <v/>
      </c>
      <c r="E96" s="57" t="str">
        <f>IFERROR(VLOOKUP($A96,'1-2-1 绩效数据'!$A:$C,3,0),"")</f>
        <v/>
      </c>
      <c r="F96" s="8" t="str">
        <f t="shared" si="38"/>
        <v>2</v>
      </c>
      <c r="G96" s="8" t="str">
        <f t="shared" si="19"/>
        <v/>
      </c>
      <c r="H96" s="8" t="str">
        <f t="shared" si="20"/>
        <v/>
      </c>
      <c r="I96" s="58" t="str">
        <f t="shared" si="39"/>
        <v/>
      </c>
      <c r="J96" s="8" t="str">
        <f t="shared" si="27"/>
        <v/>
      </c>
      <c r="K96" s="8" t="str">
        <f t="shared" si="40"/>
        <v/>
      </c>
      <c r="L96" s="57" t="str">
        <f>IFERROR(VLOOKUP($A96,'1-2-1 绩效数据'!$D:$F,3,0),"")</f>
        <v/>
      </c>
      <c r="M96" s="8" t="str">
        <f t="shared" si="41"/>
        <v>2</v>
      </c>
      <c r="N96" s="8" t="str">
        <f t="shared" si="21"/>
        <v/>
      </c>
      <c r="O96" s="8" t="str">
        <f t="shared" si="22"/>
        <v/>
      </c>
      <c r="P96" s="58" t="str">
        <f t="shared" si="42"/>
        <v/>
      </c>
      <c r="Q96" s="8" t="str">
        <f t="shared" si="30"/>
        <v/>
      </c>
      <c r="R96" s="8" t="str">
        <f t="shared" si="43"/>
        <v/>
      </c>
      <c r="S96" s="57" t="str">
        <f>IFERROR(VLOOKUP(A96,'1-2-1 绩效数据'!$G:$I,3,0),"")</f>
        <v/>
      </c>
      <c r="T96" s="8" t="str">
        <f t="shared" si="44"/>
        <v>2</v>
      </c>
      <c r="U96" s="8" t="str">
        <f t="shared" si="23"/>
        <v/>
      </c>
      <c r="V96" s="8" t="str">
        <f t="shared" si="24"/>
        <v/>
      </c>
      <c r="W96" s="58" t="str">
        <f t="shared" si="45"/>
        <v/>
      </c>
      <c r="X96" s="8" t="str">
        <f t="shared" si="34"/>
        <v/>
      </c>
      <c r="Y96" s="8" t="str">
        <f t="shared" si="46"/>
        <v/>
      </c>
      <c r="Z96" s="57" t="str">
        <f t="shared" si="47"/>
        <v/>
      </c>
    </row>
    <row r="97" spans="1:26" x14ac:dyDescent="0.3">
      <c r="A97" s="8"/>
      <c r="B97" s="70" t="str">
        <f>IFERROR(VLOOKUP('1-2-2 关键绩效'!$A97,'1-1 基本信息'!$A:$K,7,0),"")</f>
        <v/>
      </c>
      <c r="C97" s="8" t="str">
        <f>IFERROR(VLOOKUP($A97,'1-1 基本信息'!$A:$J,10,0),"")</f>
        <v/>
      </c>
      <c r="D97" s="8" t="str">
        <f>IFERROR(VLOOKUP(A97,'1-1 基本信息'!$A:$I,8,0),"")</f>
        <v/>
      </c>
      <c r="E97" s="57" t="str">
        <f>IFERROR(VLOOKUP($A97,'1-2-1 绩效数据'!$A:$C,3,0),"")</f>
        <v/>
      </c>
      <c r="F97" s="8" t="str">
        <f t="shared" si="38"/>
        <v>2</v>
      </c>
      <c r="G97" s="8" t="str">
        <f t="shared" si="19"/>
        <v/>
      </c>
      <c r="H97" s="8" t="str">
        <f t="shared" si="20"/>
        <v/>
      </c>
      <c r="I97" s="58" t="str">
        <f t="shared" si="39"/>
        <v/>
      </c>
      <c r="J97" s="8" t="str">
        <f t="shared" si="27"/>
        <v/>
      </c>
      <c r="K97" s="8" t="str">
        <f t="shared" si="40"/>
        <v/>
      </c>
      <c r="L97" s="57" t="str">
        <f>IFERROR(VLOOKUP($A97,'1-2-1 绩效数据'!$D:$F,3,0),"")</f>
        <v/>
      </c>
      <c r="M97" s="8" t="str">
        <f t="shared" si="41"/>
        <v>2</v>
      </c>
      <c r="N97" s="8" t="str">
        <f t="shared" si="21"/>
        <v/>
      </c>
      <c r="O97" s="8" t="str">
        <f t="shared" si="22"/>
        <v/>
      </c>
      <c r="P97" s="58" t="str">
        <f t="shared" si="42"/>
        <v/>
      </c>
      <c r="Q97" s="8" t="str">
        <f t="shared" si="30"/>
        <v/>
      </c>
      <c r="R97" s="8" t="str">
        <f t="shared" si="43"/>
        <v/>
      </c>
      <c r="S97" s="57" t="str">
        <f>IFERROR(VLOOKUP(A97,'1-2-1 绩效数据'!$G:$I,3,0),"")</f>
        <v/>
      </c>
      <c r="T97" s="8" t="str">
        <f t="shared" si="44"/>
        <v>2</v>
      </c>
      <c r="U97" s="8" t="str">
        <f t="shared" si="23"/>
        <v/>
      </c>
      <c r="V97" s="8" t="str">
        <f t="shared" si="24"/>
        <v/>
      </c>
      <c r="W97" s="58" t="str">
        <f t="shared" si="45"/>
        <v/>
      </c>
      <c r="X97" s="8" t="str">
        <f t="shared" si="34"/>
        <v/>
      </c>
      <c r="Y97" s="8" t="str">
        <f t="shared" si="46"/>
        <v/>
      </c>
      <c r="Z97" s="57" t="str">
        <f t="shared" si="47"/>
        <v/>
      </c>
    </row>
    <row r="98" spans="1:26" x14ac:dyDescent="0.3">
      <c r="A98" s="8"/>
      <c r="B98" s="70" t="str">
        <f>IFERROR(VLOOKUP('1-2-2 关键绩效'!$A98,'1-1 基本信息'!$A:$K,7,0),"")</f>
        <v/>
      </c>
      <c r="C98" s="8" t="str">
        <f>IFERROR(VLOOKUP($A98,'1-1 基本信息'!$A:$J,10,0),"")</f>
        <v/>
      </c>
      <c r="D98" s="8" t="str">
        <f>IFERROR(VLOOKUP(A98,'1-1 基本信息'!$A:$I,8,0),"")</f>
        <v/>
      </c>
      <c r="E98" s="57" t="str">
        <f>IFERROR(VLOOKUP($A98,'1-2-1 绩效数据'!$A:$C,3,0),"")</f>
        <v/>
      </c>
      <c r="F98" s="8" t="str">
        <f t="shared" si="38"/>
        <v>2</v>
      </c>
      <c r="G98" s="8" t="str">
        <f t="shared" si="19"/>
        <v/>
      </c>
      <c r="H98" s="8" t="str">
        <f t="shared" si="20"/>
        <v/>
      </c>
      <c r="I98" s="58" t="str">
        <f t="shared" si="39"/>
        <v/>
      </c>
      <c r="J98" s="8" t="str">
        <f t="shared" si="27"/>
        <v/>
      </c>
      <c r="K98" s="8" t="str">
        <f t="shared" si="40"/>
        <v/>
      </c>
      <c r="L98" s="57" t="str">
        <f>IFERROR(VLOOKUP($A98,'1-2-1 绩效数据'!$D:$F,3,0),"")</f>
        <v/>
      </c>
      <c r="M98" s="8" t="str">
        <f t="shared" si="41"/>
        <v>2</v>
      </c>
      <c r="N98" s="8" t="str">
        <f t="shared" si="21"/>
        <v/>
      </c>
      <c r="O98" s="8" t="str">
        <f t="shared" si="22"/>
        <v/>
      </c>
      <c r="P98" s="58" t="str">
        <f t="shared" si="42"/>
        <v/>
      </c>
      <c r="Q98" s="8" t="str">
        <f t="shared" si="30"/>
        <v/>
      </c>
      <c r="R98" s="8" t="str">
        <f t="shared" si="43"/>
        <v/>
      </c>
      <c r="S98" s="57" t="str">
        <f>IFERROR(VLOOKUP(A98,'1-2-1 绩效数据'!$G:$I,3,0),"")</f>
        <v/>
      </c>
      <c r="T98" s="8" t="str">
        <f t="shared" si="44"/>
        <v>2</v>
      </c>
      <c r="U98" s="8" t="str">
        <f t="shared" si="23"/>
        <v/>
      </c>
      <c r="V98" s="8" t="str">
        <f t="shared" si="24"/>
        <v/>
      </c>
      <c r="W98" s="58" t="str">
        <f t="shared" si="45"/>
        <v/>
      </c>
      <c r="X98" s="8" t="str">
        <f t="shared" si="34"/>
        <v/>
      </c>
      <c r="Y98" s="8" t="str">
        <f t="shared" si="46"/>
        <v/>
      </c>
      <c r="Z98" s="57" t="str">
        <f t="shared" si="47"/>
        <v/>
      </c>
    </row>
    <row r="99" spans="1:26" x14ac:dyDescent="0.3">
      <c r="A99" s="8"/>
      <c r="B99" s="70" t="str">
        <f>IFERROR(VLOOKUP('1-2-2 关键绩效'!$A99,'1-1 基本信息'!$A:$K,7,0),"")</f>
        <v/>
      </c>
      <c r="C99" s="8" t="str">
        <f>IFERROR(VLOOKUP($A99,'1-1 基本信息'!$A:$J,10,0),"")</f>
        <v/>
      </c>
      <c r="D99" s="8" t="str">
        <f>IFERROR(VLOOKUP(A99,'1-1 基本信息'!$A:$I,8,0),"")</f>
        <v/>
      </c>
      <c r="E99" s="57" t="str">
        <f>IFERROR(VLOOKUP($A99,'1-2-1 绩效数据'!$A:$C,3,0),"")</f>
        <v/>
      </c>
      <c r="F99" s="8" t="str">
        <f t="shared" si="38"/>
        <v>2</v>
      </c>
      <c r="G99" s="8" t="str">
        <f t="shared" si="19"/>
        <v/>
      </c>
      <c r="H99" s="8" t="str">
        <f t="shared" si="20"/>
        <v/>
      </c>
      <c r="I99" s="58" t="str">
        <f t="shared" si="39"/>
        <v/>
      </c>
      <c r="J99" s="8" t="str">
        <f t="shared" si="27"/>
        <v/>
      </c>
      <c r="K99" s="8" t="str">
        <f t="shared" si="40"/>
        <v/>
      </c>
      <c r="L99" s="57" t="str">
        <f>IFERROR(VLOOKUP($A99,'1-2-1 绩效数据'!$D:$F,3,0),"")</f>
        <v/>
      </c>
      <c r="M99" s="8" t="str">
        <f t="shared" si="41"/>
        <v>2</v>
      </c>
      <c r="N99" s="8" t="str">
        <f t="shared" si="21"/>
        <v/>
      </c>
      <c r="O99" s="8" t="str">
        <f t="shared" si="22"/>
        <v/>
      </c>
      <c r="P99" s="58" t="str">
        <f t="shared" si="42"/>
        <v/>
      </c>
      <c r="Q99" s="8" t="str">
        <f t="shared" si="30"/>
        <v/>
      </c>
      <c r="R99" s="8" t="str">
        <f t="shared" si="43"/>
        <v/>
      </c>
      <c r="S99" s="57" t="str">
        <f>IFERROR(VLOOKUP(A99,'1-2-1 绩效数据'!$G:$I,3,0),"")</f>
        <v/>
      </c>
      <c r="T99" s="8" t="str">
        <f t="shared" si="44"/>
        <v>2</v>
      </c>
      <c r="U99" s="8" t="str">
        <f t="shared" si="23"/>
        <v/>
      </c>
      <c r="V99" s="8" t="str">
        <f t="shared" si="24"/>
        <v/>
      </c>
      <c r="W99" s="58" t="str">
        <f t="shared" si="45"/>
        <v/>
      </c>
      <c r="X99" s="8" t="str">
        <f t="shared" si="34"/>
        <v/>
      </c>
      <c r="Y99" s="8" t="str">
        <f t="shared" si="46"/>
        <v/>
      </c>
      <c r="Z99" s="57" t="str">
        <f t="shared" si="47"/>
        <v/>
      </c>
    </row>
    <row r="100" spans="1:26" x14ac:dyDescent="0.3">
      <c r="A100" s="8"/>
      <c r="B100" s="70" t="str">
        <f>IFERROR(VLOOKUP('1-2-2 关键绩效'!$A100,'1-1 基本信息'!$A:$K,7,0),"")</f>
        <v/>
      </c>
      <c r="C100" s="8" t="str">
        <f>IFERROR(VLOOKUP($A100,'1-1 基本信息'!$A:$J,10,0),"")</f>
        <v/>
      </c>
      <c r="D100" s="8" t="str">
        <f>IFERROR(VLOOKUP(A100,'1-1 基本信息'!$A:$I,8,0),"")</f>
        <v/>
      </c>
      <c r="E100" s="57" t="str">
        <f>IFERROR(VLOOKUP($A100,'1-2-1 绩效数据'!$A:$C,3,0),"")</f>
        <v/>
      </c>
      <c r="F100" s="8" t="str">
        <f t="shared" si="38"/>
        <v>2</v>
      </c>
      <c r="G100" s="8" t="str">
        <f t="shared" si="19"/>
        <v/>
      </c>
      <c r="H100" s="8" t="str">
        <f t="shared" si="20"/>
        <v/>
      </c>
      <c r="I100" s="58" t="str">
        <f t="shared" si="39"/>
        <v/>
      </c>
      <c r="J100" s="8" t="str">
        <f t="shared" si="27"/>
        <v/>
      </c>
      <c r="K100" s="8" t="str">
        <f t="shared" si="40"/>
        <v/>
      </c>
      <c r="L100" s="57" t="str">
        <f>IFERROR(VLOOKUP($A100,'1-2-1 绩效数据'!$D:$F,3,0),"")</f>
        <v/>
      </c>
      <c r="M100" s="8" t="str">
        <f t="shared" si="41"/>
        <v>2</v>
      </c>
      <c r="N100" s="8" t="str">
        <f t="shared" si="21"/>
        <v/>
      </c>
      <c r="O100" s="8" t="str">
        <f t="shared" si="22"/>
        <v/>
      </c>
      <c r="P100" s="58" t="str">
        <f t="shared" si="42"/>
        <v/>
      </c>
      <c r="Q100" s="8" t="str">
        <f t="shared" si="30"/>
        <v/>
      </c>
      <c r="R100" s="8" t="str">
        <f t="shared" si="43"/>
        <v/>
      </c>
      <c r="S100" s="57" t="str">
        <f>IFERROR(VLOOKUP(A100,'1-2-1 绩效数据'!$G:$I,3,0),"")</f>
        <v/>
      </c>
      <c r="T100" s="8" t="str">
        <f t="shared" si="44"/>
        <v>2</v>
      </c>
      <c r="U100" s="8" t="str">
        <f t="shared" si="23"/>
        <v/>
      </c>
      <c r="V100" s="8" t="str">
        <f t="shared" si="24"/>
        <v/>
      </c>
      <c r="W100" s="58" t="str">
        <f t="shared" si="45"/>
        <v/>
      </c>
      <c r="X100" s="8" t="str">
        <f t="shared" si="34"/>
        <v/>
      </c>
      <c r="Y100" s="8" t="str">
        <f t="shared" si="46"/>
        <v/>
      </c>
      <c r="Z100" s="57" t="str">
        <f t="shared" si="47"/>
        <v/>
      </c>
    </row>
    <row r="101" spans="1:26" x14ac:dyDescent="0.3">
      <c r="A101" s="8"/>
      <c r="B101" s="70" t="str">
        <f>IFERROR(VLOOKUP('1-2-2 关键绩效'!$A101,'1-1 基本信息'!$A:$K,7,0),"")</f>
        <v/>
      </c>
      <c r="C101" s="8" t="str">
        <f>IFERROR(VLOOKUP($A101,'1-1 基本信息'!$A:$J,10,0),"")</f>
        <v/>
      </c>
      <c r="D101" s="8" t="str">
        <f>IFERROR(VLOOKUP(A101,'1-1 基本信息'!$A:$I,8,0),"")</f>
        <v/>
      </c>
      <c r="E101" s="57" t="str">
        <f>IFERROR(VLOOKUP($A101,'1-2-1 绩效数据'!$A:$C,3,0),"")</f>
        <v/>
      </c>
      <c r="F101" s="8" t="str">
        <f t="shared" si="38"/>
        <v>2</v>
      </c>
      <c r="G101" s="8" t="str">
        <f t="shared" si="19"/>
        <v/>
      </c>
      <c r="H101" s="8" t="str">
        <f t="shared" si="20"/>
        <v/>
      </c>
      <c r="I101" s="58" t="str">
        <f t="shared" si="39"/>
        <v/>
      </c>
      <c r="J101" s="8" t="str">
        <f t="shared" si="27"/>
        <v/>
      </c>
      <c r="K101" s="8" t="str">
        <f t="shared" si="40"/>
        <v/>
      </c>
      <c r="L101" s="57" t="str">
        <f>IFERROR(VLOOKUP($A101,'1-2-1 绩效数据'!$D:$F,3,0),"")</f>
        <v/>
      </c>
      <c r="M101" s="8" t="str">
        <f t="shared" si="41"/>
        <v>2</v>
      </c>
      <c r="N101" s="8" t="str">
        <f t="shared" si="21"/>
        <v/>
      </c>
      <c r="O101" s="8" t="str">
        <f t="shared" si="22"/>
        <v/>
      </c>
      <c r="P101" s="58" t="str">
        <f t="shared" si="42"/>
        <v/>
      </c>
      <c r="Q101" s="8" t="str">
        <f t="shared" si="30"/>
        <v/>
      </c>
      <c r="R101" s="8" t="str">
        <f t="shared" si="43"/>
        <v/>
      </c>
      <c r="S101" s="57" t="str">
        <f>IFERROR(VLOOKUP(A101,'1-2-1 绩效数据'!$G:$I,3,0),"")</f>
        <v/>
      </c>
      <c r="T101" s="8" t="str">
        <f t="shared" si="44"/>
        <v>2</v>
      </c>
      <c r="U101" s="8" t="str">
        <f t="shared" si="23"/>
        <v/>
      </c>
      <c r="V101" s="8" t="str">
        <f t="shared" si="24"/>
        <v/>
      </c>
      <c r="W101" s="58" t="str">
        <f t="shared" si="45"/>
        <v/>
      </c>
      <c r="X101" s="8" t="str">
        <f t="shared" si="34"/>
        <v/>
      </c>
      <c r="Y101" s="8" t="str">
        <f t="shared" si="46"/>
        <v/>
      </c>
      <c r="Z101" s="57" t="str">
        <f t="shared" si="47"/>
        <v/>
      </c>
    </row>
    <row r="102" spans="1:26" x14ac:dyDescent="0.3">
      <c r="A102" s="8"/>
      <c r="B102" s="70" t="str">
        <f>IFERROR(VLOOKUP('1-2-2 关键绩效'!$A102,'1-1 基本信息'!$A:$K,7,0),"")</f>
        <v/>
      </c>
      <c r="C102" s="8" t="str">
        <f>IFERROR(VLOOKUP($A102,'1-1 基本信息'!$A:$J,10,0),"")</f>
        <v/>
      </c>
      <c r="D102" s="8" t="str">
        <f>IFERROR(VLOOKUP(A102,'1-1 基本信息'!$A:$I,8,0),"")</f>
        <v/>
      </c>
      <c r="E102" s="57" t="str">
        <f>IFERROR(VLOOKUP($A102,'1-2-1 绩效数据'!$A:$C,3,0),"")</f>
        <v/>
      </c>
      <c r="F102" s="8" t="str">
        <f t="shared" si="38"/>
        <v>2</v>
      </c>
      <c r="G102" s="8" t="str">
        <f t="shared" si="19"/>
        <v/>
      </c>
      <c r="H102" s="8" t="str">
        <f t="shared" si="20"/>
        <v/>
      </c>
      <c r="I102" s="58" t="str">
        <f t="shared" si="39"/>
        <v/>
      </c>
      <c r="J102" s="8" t="str">
        <f t="shared" si="27"/>
        <v/>
      </c>
      <c r="K102" s="8" t="str">
        <f t="shared" si="40"/>
        <v/>
      </c>
      <c r="L102" s="57" t="str">
        <f>IFERROR(VLOOKUP($A102,'1-2-1 绩效数据'!$D:$F,3,0),"")</f>
        <v/>
      </c>
      <c r="M102" s="8" t="str">
        <f t="shared" si="41"/>
        <v>2</v>
      </c>
      <c r="N102" s="8" t="str">
        <f t="shared" si="21"/>
        <v/>
      </c>
      <c r="O102" s="8" t="str">
        <f t="shared" si="22"/>
        <v/>
      </c>
      <c r="P102" s="58" t="str">
        <f t="shared" si="42"/>
        <v/>
      </c>
      <c r="Q102" s="8" t="str">
        <f t="shared" si="30"/>
        <v/>
      </c>
      <c r="R102" s="8" t="str">
        <f t="shared" si="43"/>
        <v/>
      </c>
      <c r="S102" s="57" t="str">
        <f>IFERROR(VLOOKUP(A102,'1-2-1 绩效数据'!$G:$I,3,0),"")</f>
        <v/>
      </c>
      <c r="T102" s="8" t="str">
        <f t="shared" si="44"/>
        <v>2</v>
      </c>
      <c r="U102" s="8" t="str">
        <f t="shared" si="23"/>
        <v/>
      </c>
      <c r="V102" s="8" t="str">
        <f t="shared" si="24"/>
        <v/>
      </c>
      <c r="W102" s="58" t="str">
        <f t="shared" si="45"/>
        <v/>
      </c>
      <c r="X102" s="8" t="str">
        <f t="shared" si="34"/>
        <v/>
      </c>
      <c r="Y102" s="8" t="str">
        <f t="shared" si="46"/>
        <v/>
      </c>
      <c r="Z102" s="57" t="str">
        <f t="shared" si="47"/>
        <v/>
      </c>
    </row>
    <row r="103" spans="1:26" x14ac:dyDescent="0.3">
      <c r="A103" s="8"/>
      <c r="B103" s="70" t="str">
        <f>IFERROR(VLOOKUP('1-2-2 关键绩效'!$A103,'1-1 基本信息'!$A:$K,7,0),"")</f>
        <v/>
      </c>
      <c r="C103" s="8" t="str">
        <f>IFERROR(VLOOKUP($A103,'1-1 基本信息'!$A:$J,10,0),"")</f>
        <v/>
      </c>
      <c r="D103" s="8" t="str">
        <f>IFERROR(VLOOKUP(A103,'1-1 基本信息'!$A:$I,8,0),"")</f>
        <v/>
      </c>
      <c r="E103" s="57" t="str">
        <f>IFERROR(VLOOKUP($A103,'1-2-1 绩效数据'!$A:$C,3,0),"")</f>
        <v/>
      </c>
      <c r="F103" s="8" t="str">
        <f t="shared" si="38"/>
        <v>2</v>
      </c>
      <c r="G103" s="8" t="str">
        <f t="shared" si="19"/>
        <v/>
      </c>
      <c r="H103" s="8" t="str">
        <f t="shared" si="20"/>
        <v/>
      </c>
      <c r="I103" s="58" t="str">
        <f t="shared" si="39"/>
        <v/>
      </c>
      <c r="J103" s="8" t="str">
        <f t="shared" si="27"/>
        <v/>
      </c>
      <c r="K103" s="8" t="str">
        <f t="shared" si="40"/>
        <v/>
      </c>
      <c r="L103" s="57" t="str">
        <f>IFERROR(VLOOKUP($A103,'1-2-1 绩效数据'!$D:$F,3,0),"")</f>
        <v/>
      </c>
      <c r="M103" s="8" t="str">
        <f t="shared" si="41"/>
        <v>2</v>
      </c>
      <c r="N103" s="8" t="str">
        <f t="shared" si="21"/>
        <v/>
      </c>
      <c r="O103" s="8" t="str">
        <f t="shared" si="22"/>
        <v/>
      </c>
      <c r="P103" s="58" t="str">
        <f t="shared" si="42"/>
        <v/>
      </c>
      <c r="Q103" s="8" t="str">
        <f t="shared" si="30"/>
        <v/>
      </c>
      <c r="R103" s="8" t="str">
        <f t="shared" si="43"/>
        <v/>
      </c>
      <c r="S103" s="57" t="str">
        <f>IFERROR(VLOOKUP(A103,'1-2-1 绩效数据'!$G:$I,3,0),"")</f>
        <v/>
      </c>
      <c r="T103" s="8" t="str">
        <f t="shared" si="44"/>
        <v>2</v>
      </c>
      <c r="U103" s="8" t="str">
        <f t="shared" si="23"/>
        <v/>
      </c>
      <c r="V103" s="8" t="str">
        <f t="shared" si="24"/>
        <v/>
      </c>
      <c r="W103" s="58" t="str">
        <f t="shared" si="45"/>
        <v/>
      </c>
      <c r="X103" s="8" t="str">
        <f t="shared" si="34"/>
        <v/>
      </c>
      <c r="Y103" s="8" t="str">
        <f t="shared" si="46"/>
        <v/>
      </c>
      <c r="Z103" s="57" t="str">
        <f t="shared" si="47"/>
        <v/>
      </c>
    </row>
    <row r="104" spans="1:26" x14ac:dyDescent="0.3">
      <c r="A104" s="8"/>
      <c r="B104" s="70" t="str">
        <f>IFERROR(VLOOKUP('1-2-2 关键绩效'!$A104,'1-1 基本信息'!$A:$K,7,0),"")</f>
        <v/>
      </c>
      <c r="C104" s="8" t="str">
        <f>IFERROR(VLOOKUP($A104,'1-1 基本信息'!$A:$J,10,0),"")</f>
        <v/>
      </c>
      <c r="D104" s="8" t="str">
        <f>IFERROR(VLOOKUP(A104,'1-1 基本信息'!$A:$I,8,0),"")</f>
        <v/>
      </c>
      <c r="E104" s="57" t="str">
        <f>IFERROR(VLOOKUP($A104,'1-2-1 绩效数据'!$A:$C,3,0),"")</f>
        <v/>
      </c>
      <c r="F104" s="8" t="str">
        <f t="shared" si="38"/>
        <v>2</v>
      </c>
      <c r="G104" s="8" t="str">
        <f t="shared" si="19"/>
        <v/>
      </c>
      <c r="H104" s="8" t="str">
        <f t="shared" si="20"/>
        <v/>
      </c>
      <c r="I104" s="58" t="str">
        <f t="shared" si="39"/>
        <v/>
      </c>
      <c r="J104" s="8" t="str">
        <f t="shared" si="27"/>
        <v/>
      </c>
      <c r="K104" s="8" t="str">
        <f t="shared" si="40"/>
        <v/>
      </c>
      <c r="L104" s="57" t="str">
        <f>IFERROR(VLOOKUP($A104,'1-2-1 绩效数据'!$D:$F,3,0),"")</f>
        <v/>
      </c>
      <c r="M104" s="8" t="str">
        <f t="shared" si="41"/>
        <v>2</v>
      </c>
      <c r="N104" s="8" t="str">
        <f t="shared" si="21"/>
        <v/>
      </c>
      <c r="O104" s="8" t="str">
        <f t="shared" si="22"/>
        <v/>
      </c>
      <c r="P104" s="58" t="str">
        <f t="shared" si="42"/>
        <v/>
      </c>
      <c r="Q104" s="8" t="str">
        <f t="shared" si="30"/>
        <v/>
      </c>
      <c r="R104" s="8" t="str">
        <f t="shared" si="43"/>
        <v/>
      </c>
      <c r="S104" s="57" t="str">
        <f>IFERROR(VLOOKUP(A104,'1-2-1 绩效数据'!$G:$I,3,0),"")</f>
        <v/>
      </c>
      <c r="T104" s="8" t="str">
        <f t="shared" si="44"/>
        <v>2</v>
      </c>
      <c r="U104" s="8" t="str">
        <f t="shared" si="23"/>
        <v/>
      </c>
      <c r="V104" s="8" t="str">
        <f t="shared" si="24"/>
        <v/>
      </c>
      <c r="W104" s="58" t="str">
        <f t="shared" si="45"/>
        <v/>
      </c>
      <c r="X104" s="8" t="str">
        <f t="shared" si="34"/>
        <v/>
      </c>
      <c r="Y104" s="8" t="str">
        <f t="shared" si="46"/>
        <v/>
      </c>
      <c r="Z104" s="57" t="str">
        <f t="shared" si="47"/>
        <v/>
      </c>
    </row>
    <row r="105" spans="1:26" x14ac:dyDescent="0.3">
      <c r="A105" s="8"/>
      <c r="B105" s="70" t="str">
        <f>IFERROR(VLOOKUP('1-2-2 关键绩效'!$A105,'1-1 基本信息'!$A:$K,7,0),"")</f>
        <v/>
      </c>
      <c r="C105" s="8" t="str">
        <f>IFERROR(VLOOKUP($A105,'1-1 基本信息'!$A:$J,10,0),"")</f>
        <v/>
      </c>
      <c r="D105" s="8" t="str">
        <f>IFERROR(VLOOKUP(A105,'1-1 基本信息'!$A:$I,8,0),"")</f>
        <v/>
      </c>
      <c r="E105" s="57" t="str">
        <f>IFERROR(VLOOKUP($A105,'1-2-1 绩效数据'!$A:$C,3,0),"")</f>
        <v/>
      </c>
      <c r="F105" s="8" t="str">
        <f t="shared" si="38"/>
        <v>2</v>
      </c>
      <c r="G105" s="8" t="str">
        <f t="shared" si="19"/>
        <v/>
      </c>
      <c r="H105" s="8" t="str">
        <f t="shared" si="20"/>
        <v/>
      </c>
      <c r="I105" s="58" t="str">
        <f t="shared" si="39"/>
        <v/>
      </c>
      <c r="J105" s="8" t="str">
        <f t="shared" si="27"/>
        <v/>
      </c>
      <c r="K105" s="8" t="str">
        <f t="shared" si="40"/>
        <v/>
      </c>
      <c r="L105" s="57" t="str">
        <f>IFERROR(VLOOKUP($A105,'1-2-1 绩效数据'!$D:$F,3,0),"")</f>
        <v/>
      </c>
      <c r="M105" s="8" t="str">
        <f t="shared" si="41"/>
        <v>2</v>
      </c>
      <c r="N105" s="8" t="str">
        <f t="shared" si="21"/>
        <v/>
      </c>
      <c r="O105" s="8" t="str">
        <f t="shared" si="22"/>
        <v/>
      </c>
      <c r="P105" s="58" t="str">
        <f t="shared" si="42"/>
        <v/>
      </c>
      <c r="Q105" s="8" t="str">
        <f t="shared" si="30"/>
        <v/>
      </c>
      <c r="R105" s="8" t="str">
        <f t="shared" si="43"/>
        <v/>
      </c>
      <c r="S105" s="57" t="str">
        <f>IFERROR(VLOOKUP(A105,'1-2-1 绩效数据'!$G:$I,3,0),"")</f>
        <v/>
      </c>
      <c r="T105" s="8" t="str">
        <f t="shared" si="44"/>
        <v>2</v>
      </c>
      <c r="U105" s="8" t="str">
        <f t="shared" si="23"/>
        <v/>
      </c>
      <c r="V105" s="8" t="str">
        <f t="shared" si="24"/>
        <v/>
      </c>
      <c r="W105" s="58" t="str">
        <f t="shared" si="45"/>
        <v/>
      </c>
      <c r="X105" s="8" t="str">
        <f t="shared" si="34"/>
        <v/>
      </c>
      <c r="Y105" s="8" t="str">
        <f t="shared" si="46"/>
        <v/>
      </c>
      <c r="Z105" s="57" t="str">
        <f t="shared" si="47"/>
        <v/>
      </c>
    </row>
    <row r="106" spans="1:26" x14ac:dyDescent="0.3">
      <c r="A106" s="8"/>
      <c r="B106" s="70" t="str">
        <f>IFERROR(VLOOKUP('1-2-2 关键绩效'!$A106,'1-1 基本信息'!$A:$K,7,0),"")</f>
        <v/>
      </c>
      <c r="C106" s="8" t="str">
        <f>IFERROR(VLOOKUP($A106,'1-1 基本信息'!$A:$J,10,0),"")</f>
        <v/>
      </c>
      <c r="D106" s="8" t="str">
        <f>IFERROR(VLOOKUP(A106,'1-1 基本信息'!$A:$I,8,0),"")</f>
        <v/>
      </c>
      <c r="E106" s="57" t="str">
        <f>IFERROR(VLOOKUP($A106,'1-2-1 绩效数据'!$A:$C,3,0),"")</f>
        <v/>
      </c>
      <c r="F106" s="8" t="str">
        <f t="shared" si="38"/>
        <v>2</v>
      </c>
      <c r="G106" s="8" t="str">
        <f t="shared" si="19"/>
        <v/>
      </c>
      <c r="H106" s="8" t="str">
        <f t="shared" si="20"/>
        <v/>
      </c>
      <c r="I106" s="58" t="str">
        <f t="shared" si="39"/>
        <v/>
      </c>
      <c r="J106" s="8" t="str">
        <f t="shared" si="27"/>
        <v/>
      </c>
      <c r="K106" s="8" t="str">
        <f t="shared" si="40"/>
        <v/>
      </c>
      <c r="L106" s="57" t="str">
        <f>IFERROR(VLOOKUP($A106,'1-2-1 绩效数据'!$D:$F,3,0),"")</f>
        <v/>
      </c>
      <c r="M106" s="8" t="str">
        <f t="shared" si="41"/>
        <v>2</v>
      </c>
      <c r="N106" s="8" t="str">
        <f t="shared" si="21"/>
        <v/>
      </c>
      <c r="O106" s="8" t="str">
        <f t="shared" si="22"/>
        <v/>
      </c>
      <c r="P106" s="58" t="str">
        <f t="shared" si="42"/>
        <v/>
      </c>
      <c r="Q106" s="8" t="str">
        <f t="shared" si="30"/>
        <v/>
      </c>
      <c r="R106" s="8" t="str">
        <f t="shared" si="43"/>
        <v/>
      </c>
      <c r="S106" s="57" t="str">
        <f>IFERROR(VLOOKUP(A106,'1-2-1 绩效数据'!$G:$I,3,0),"")</f>
        <v/>
      </c>
      <c r="T106" s="8" t="str">
        <f t="shared" si="44"/>
        <v>2</v>
      </c>
      <c r="U106" s="8" t="str">
        <f t="shared" si="23"/>
        <v/>
      </c>
      <c r="V106" s="8" t="str">
        <f t="shared" si="24"/>
        <v/>
      </c>
      <c r="W106" s="58" t="str">
        <f t="shared" si="45"/>
        <v/>
      </c>
      <c r="X106" s="8" t="str">
        <f t="shared" si="34"/>
        <v/>
      </c>
      <c r="Y106" s="8" t="str">
        <f t="shared" si="46"/>
        <v/>
      </c>
      <c r="Z106" s="57" t="str">
        <f t="shared" si="47"/>
        <v/>
      </c>
    </row>
    <row r="107" spans="1:26" x14ac:dyDescent="0.3">
      <c r="A107" s="8"/>
      <c r="B107" s="70" t="str">
        <f>IFERROR(VLOOKUP('1-2-2 关键绩效'!$A107,'1-1 基本信息'!$A:$K,7,0),"")</f>
        <v/>
      </c>
      <c r="C107" s="8" t="str">
        <f>IFERROR(VLOOKUP($A107,'1-1 基本信息'!$A:$J,10,0),"")</f>
        <v/>
      </c>
      <c r="D107" s="8" t="str">
        <f>IFERROR(VLOOKUP(A107,'1-1 基本信息'!$A:$I,8,0),"")</f>
        <v/>
      </c>
      <c r="E107" s="57" t="str">
        <f>IFERROR(VLOOKUP($A107,'1-2-1 绩效数据'!$A:$C,3,0),"")</f>
        <v/>
      </c>
      <c r="F107" s="8" t="str">
        <f t="shared" si="38"/>
        <v>2</v>
      </c>
      <c r="G107" s="8" t="str">
        <f t="shared" si="19"/>
        <v/>
      </c>
      <c r="H107" s="8" t="str">
        <f t="shared" si="20"/>
        <v/>
      </c>
      <c r="I107" s="58" t="str">
        <f t="shared" si="39"/>
        <v/>
      </c>
      <c r="J107" s="8" t="str">
        <f t="shared" si="27"/>
        <v/>
      </c>
      <c r="K107" s="8" t="str">
        <f t="shared" si="40"/>
        <v/>
      </c>
      <c r="L107" s="57" t="str">
        <f>IFERROR(VLOOKUP($A107,'1-2-1 绩效数据'!$D:$F,3,0),"")</f>
        <v/>
      </c>
      <c r="M107" s="8" t="str">
        <f t="shared" si="41"/>
        <v>2</v>
      </c>
      <c r="N107" s="8" t="str">
        <f t="shared" si="21"/>
        <v/>
      </c>
      <c r="O107" s="8" t="str">
        <f t="shared" si="22"/>
        <v/>
      </c>
      <c r="P107" s="58" t="str">
        <f t="shared" si="42"/>
        <v/>
      </c>
      <c r="Q107" s="8" t="str">
        <f t="shared" si="30"/>
        <v/>
      </c>
      <c r="R107" s="8" t="str">
        <f t="shared" si="43"/>
        <v/>
      </c>
      <c r="S107" s="57" t="str">
        <f>IFERROR(VLOOKUP(A107,'1-2-1 绩效数据'!$G:$I,3,0),"")</f>
        <v/>
      </c>
      <c r="T107" s="8" t="str">
        <f t="shared" si="44"/>
        <v>2</v>
      </c>
      <c r="U107" s="8" t="str">
        <f t="shared" si="23"/>
        <v/>
      </c>
      <c r="V107" s="8" t="str">
        <f t="shared" si="24"/>
        <v/>
      </c>
      <c r="W107" s="58" t="str">
        <f t="shared" si="45"/>
        <v/>
      </c>
      <c r="X107" s="8" t="str">
        <f t="shared" si="34"/>
        <v/>
      </c>
      <c r="Y107" s="8" t="str">
        <f t="shared" si="46"/>
        <v/>
      </c>
      <c r="Z107" s="57" t="str">
        <f t="shared" si="47"/>
        <v/>
      </c>
    </row>
    <row r="108" spans="1:26" x14ac:dyDescent="0.3">
      <c r="A108" s="8"/>
      <c r="B108" s="70" t="str">
        <f>IFERROR(VLOOKUP('1-2-2 关键绩效'!$A108,'1-1 基本信息'!$A:$K,7,0),"")</f>
        <v/>
      </c>
      <c r="C108" s="8" t="str">
        <f>IFERROR(VLOOKUP($A108,'1-1 基本信息'!$A:$J,10,0),"")</f>
        <v/>
      </c>
      <c r="D108" s="8" t="str">
        <f>IFERROR(VLOOKUP(A108,'1-1 基本信息'!$A:$I,8,0),"")</f>
        <v/>
      </c>
      <c r="E108" s="57" t="str">
        <f>IFERROR(VLOOKUP($A108,'1-2-1 绩效数据'!$A:$C,3,0),"")</f>
        <v/>
      </c>
      <c r="F108" s="8" t="str">
        <f t="shared" si="38"/>
        <v>2</v>
      </c>
      <c r="G108" s="8" t="str">
        <f t="shared" si="19"/>
        <v/>
      </c>
      <c r="H108" s="8" t="str">
        <f t="shared" si="20"/>
        <v/>
      </c>
      <c r="I108" s="58" t="str">
        <f t="shared" si="39"/>
        <v/>
      </c>
      <c r="J108" s="8" t="str">
        <f t="shared" si="27"/>
        <v/>
      </c>
      <c r="K108" s="8" t="str">
        <f t="shared" si="40"/>
        <v/>
      </c>
      <c r="L108" s="57" t="str">
        <f>IFERROR(VLOOKUP($A108,'1-2-1 绩效数据'!$D:$F,3,0),"")</f>
        <v/>
      </c>
      <c r="M108" s="8" t="str">
        <f t="shared" si="41"/>
        <v>2</v>
      </c>
      <c r="N108" s="8" t="str">
        <f t="shared" si="21"/>
        <v/>
      </c>
      <c r="O108" s="8" t="str">
        <f t="shared" si="22"/>
        <v/>
      </c>
      <c r="P108" s="58" t="str">
        <f t="shared" si="42"/>
        <v/>
      </c>
      <c r="Q108" s="8" t="str">
        <f t="shared" si="30"/>
        <v/>
      </c>
      <c r="R108" s="8" t="str">
        <f t="shared" si="43"/>
        <v/>
      </c>
      <c r="S108" s="57" t="str">
        <f>IFERROR(VLOOKUP(A108,'1-2-1 绩效数据'!$G:$I,3,0),"")</f>
        <v/>
      </c>
      <c r="T108" s="8" t="str">
        <f t="shared" si="44"/>
        <v>2</v>
      </c>
      <c r="U108" s="8" t="str">
        <f t="shared" si="23"/>
        <v/>
      </c>
      <c r="V108" s="8" t="str">
        <f t="shared" si="24"/>
        <v/>
      </c>
      <c r="W108" s="58" t="str">
        <f t="shared" si="45"/>
        <v/>
      </c>
      <c r="X108" s="8" t="str">
        <f t="shared" si="34"/>
        <v/>
      </c>
      <c r="Y108" s="8" t="str">
        <f t="shared" si="46"/>
        <v/>
      </c>
      <c r="Z108" s="57" t="str">
        <f t="shared" si="47"/>
        <v/>
      </c>
    </row>
    <row r="109" spans="1:26" x14ac:dyDescent="0.3">
      <c r="A109" s="8"/>
      <c r="B109" s="70" t="str">
        <f>IFERROR(VLOOKUP('1-2-2 关键绩效'!$A109,'1-1 基本信息'!$A:$K,7,0),"")</f>
        <v/>
      </c>
      <c r="C109" s="8" t="str">
        <f>IFERROR(VLOOKUP($A109,'1-1 基本信息'!$A:$J,10,0),"")</f>
        <v/>
      </c>
      <c r="D109" s="8" t="str">
        <f>IFERROR(VLOOKUP(A109,'1-1 基本信息'!$A:$I,8,0),"")</f>
        <v/>
      </c>
      <c r="E109" s="57" t="str">
        <f>IFERROR(VLOOKUP($A109,'1-2-1 绩效数据'!$A:$C,3,0),"")</f>
        <v/>
      </c>
      <c r="F109" s="8" t="str">
        <f t="shared" si="38"/>
        <v>2</v>
      </c>
      <c r="G109" s="8" t="str">
        <f t="shared" si="19"/>
        <v/>
      </c>
      <c r="H109" s="8" t="str">
        <f t="shared" si="20"/>
        <v/>
      </c>
      <c r="I109" s="58" t="str">
        <f t="shared" si="39"/>
        <v/>
      </c>
      <c r="J109" s="8" t="str">
        <f t="shared" si="27"/>
        <v/>
      </c>
      <c r="K109" s="8" t="str">
        <f t="shared" si="40"/>
        <v/>
      </c>
      <c r="L109" s="57" t="str">
        <f>IFERROR(VLOOKUP($A109,'1-2-1 绩效数据'!$D:$F,3,0),"")</f>
        <v/>
      </c>
      <c r="M109" s="8" t="str">
        <f t="shared" si="41"/>
        <v>2</v>
      </c>
      <c r="N109" s="8" t="str">
        <f t="shared" si="21"/>
        <v/>
      </c>
      <c r="O109" s="8" t="str">
        <f t="shared" si="22"/>
        <v/>
      </c>
      <c r="P109" s="58" t="str">
        <f t="shared" si="42"/>
        <v/>
      </c>
      <c r="Q109" s="8" t="str">
        <f t="shared" si="30"/>
        <v/>
      </c>
      <c r="R109" s="8" t="str">
        <f t="shared" si="43"/>
        <v/>
      </c>
      <c r="S109" s="57" t="str">
        <f>IFERROR(VLOOKUP(A109,'1-2-1 绩效数据'!$G:$I,3,0),"")</f>
        <v/>
      </c>
      <c r="T109" s="8" t="str">
        <f t="shared" si="44"/>
        <v>2</v>
      </c>
      <c r="U109" s="8" t="str">
        <f t="shared" si="23"/>
        <v/>
      </c>
      <c r="V109" s="8" t="str">
        <f t="shared" si="24"/>
        <v/>
      </c>
      <c r="W109" s="58" t="str">
        <f t="shared" si="45"/>
        <v/>
      </c>
      <c r="X109" s="8" t="str">
        <f t="shared" si="34"/>
        <v/>
      </c>
      <c r="Y109" s="8" t="str">
        <f t="shared" si="46"/>
        <v/>
      </c>
      <c r="Z109" s="57" t="str">
        <f t="shared" si="47"/>
        <v/>
      </c>
    </row>
    <row r="110" spans="1:26" x14ac:dyDescent="0.3">
      <c r="A110" s="8"/>
      <c r="B110" s="70" t="str">
        <f>IFERROR(VLOOKUP('1-2-2 关键绩效'!$A110,'1-1 基本信息'!$A:$K,7,0),"")</f>
        <v/>
      </c>
      <c r="C110" s="8" t="str">
        <f>IFERROR(VLOOKUP($A110,'1-1 基本信息'!$A:$J,10,0),"")</f>
        <v/>
      </c>
      <c r="D110" s="8" t="str">
        <f>IFERROR(VLOOKUP(A110,'1-1 基本信息'!$A:$I,8,0),"")</f>
        <v/>
      </c>
      <c r="E110" s="57" t="str">
        <f>IFERROR(VLOOKUP($A110,'1-2-1 绩效数据'!$A:$C,3,0),"")</f>
        <v/>
      </c>
      <c r="F110" s="8" t="str">
        <f t="shared" si="38"/>
        <v>2</v>
      </c>
      <c r="G110" s="8" t="str">
        <f t="shared" si="19"/>
        <v/>
      </c>
      <c r="H110" s="8" t="str">
        <f t="shared" si="20"/>
        <v/>
      </c>
      <c r="I110" s="58" t="str">
        <f t="shared" si="39"/>
        <v/>
      </c>
      <c r="J110" s="8" t="str">
        <f t="shared" si="27"/>
        <v/>
      </c>
      <c r="K110" s="8" t="str">
        <f t="shared" si="40"/>
        <v/>
      </c>
      <c r="L110" s="57" t="str">
        <f>IFERROR(VLOOKUP($A110,'1-2-1 绩效数据'!$D:$F,3,0),"")</f>
        <v/>
      </c>
      <c r="M110" s="8" t="str">
        <f t="shared" si="41"/>
        <v>2</v>
      </c>
      <c r="N110" s="8" t="str">
        <f t="shared" si="21"/>
        <v/>
      </c>
      <c r="O110" s="8" t="str">
        <f t="shared" si="22"/>
        <v/>
      </c>
      <c r="P110" s="58" t="str">
        <f t="shared" si="42"/>
        <v/>
      </c>
      <c r="Q110" s="8" t="str">
        <f t="shared" si="30"/>
        <v/>
      </c>
      <c r="R110" s="8" t="str">
        <f t="shared" si="43"/>
        <v/>
      </c>
      <c r="S110" s="57" t="str">
        <f>IFERROR(VLOOKUP(A110,'1-2-1 绩效数据'!$G:$I,3,0),"")</f>
        <v/>
      </c>
      <c r="T110" s="8" t="str">
        <f t="shared" si="44"/>
        <v>2</v>
      </c>
      <c r="U110" s="8" t="str">
        <f t="shared" si="23"/>
        <v/>
      </c>
      <c r="V110" s="8" t="str">
        <f t="shared" si="24"/>
        <v/>
      </c>
      <c r="W110" s="58" t="str">
        <f t="shared" si="45"/>
        <v/>
      </c>
      <c r="X110" s="8" t="str">
        <f t="shared" si="34"/>
        <v/>
      </c>
      <c r="Y110" s="8" t="str">
        <f t="shared" si="46"/>
        <v/>
      </c>
      <c r="Z110" s="57" t="str">
        <f t="shared" si="47"/>
        <v/>
      </c>
    </row>
    <row r="111" spans="1:26" x14ac:dyDescent="0.3">
      <c r="A111" s="8"/>
      <c r="B111" s="70" t="str">
        <f>IFERROR(VLOOKUP('1-2-2 关键绩效'!$A111,'1-1 基本信息'!$A:$K,7,0),"")</f>
        <v/>
      </c>
      <c r="C111" s="8" t="str">
        <f>IFERROR(VLOOKUP($A111,'1-1 基本信息'!$A:$J,10,0),"")</f>
        <v/>
      </c>
      <c r="D111" s="8" t="str">
        <f>IFERROR(VLOOKUP(A111,'1-1 基本信息'!$A:$I,8,0),"")</f>
        <v/>
      </c>
      <c r="E111" s="57" t="str">
        <f>IFERROR(VLOOKUP($A111,'1-2-1 绩效数据'!$A:$C,3,0),"")</f>
        <v/>
      </c>
      <c r="F111" s="8" t="str">
        <f t="shared" si="38"/>
        <v>2</v>
      </c>
      <c r="G111" s="8" t="str">
        <f t="shared" si="19"/>
        <v/>
      </c>
      <c r="H111" s="8" t="str">
        <f t="shared" si="20"/>
        <v/>
      </c>
      <c r="I111" s="58" t="str">
        <f t="shared" si="39"/>
        <v/>
      </c>
      <c r="J111" s="8" t="str">
        <f t="shared" si="27"/>
        <v/>
      </c>
      <c r="K111" s="8" t="str">
        <f t="shared" si="40"/>
        <v/>
      </c>
      <c r="L111" s="57" t="str">
        <f>IFERROR(VLOOKUP($A111,'1-2-1 绩效数据'!$D:$F,3,0),"")</f>
        <v/>
      </c>
      <c r="M111" s="8" t="str">
        <f t="shared" si="41"/>
        <v>2</v>
      </c>
      <c r="N111" s="8" t="str">
        <f t="shared" si="21"/>
        <v/>
      </c>
      <c r="O111" s="8" t="str">
        <f t="shared" si="22"/>
        <v/>
      </c>
      <c r="P111" s="58" t="str">
        <f t="shared" si="42"/>
        <v/>
      </c>
      <c r="Q111" s="8" t="str">
        <f t="shared" si="30"/>
        <v/>
      </c>
      <c r="R111" s="8" t="str">
        <f t="shared" si="43"/>
        <v/>
      </c>
      <c r="S111" s="57" t="str">
        <f>IFERROR(VLOOKUP(A111,'1-2-1 绩效数据'!$G:$I,3,0),"")</f>
        <v/>
      </c>
      <c r="T111" s="8" t="str">
        <f t="shared" si="44"/>
        <v>2</v>
      </c>
      <c r="U111" s="8" t="str">
        <f t="shared" si="23"/>
        <v/>
      </c>
      <c r="V111" s="8" t="str">
        <f t="shared" si="24"/>
        <v/>
      </c>
      <c r="W111" s="58" t="str">
        <f t="shared" si="45"/>
        <v/>
      </c>
      <c r="X111" s="8" t="str">
        <f t="shared" si="34"/>
        <v/>
      </c>
      <c r="Y111" s="8" t="str">
        <f t="shared" si="46"/>
        <v/>
      </c>
      <c r="Z111" s="57" t="str">
        <f t="shared" si="47"/>
        <v/>
      </c>
    </row>
    <row r="112" spans="1:26" x14ac:dyDescent="0.3">
      <c r="A112" s="8"/>
      <c r="B112" s="70" t="str">
        <f>IFERROR(VLOOKUP('1-2-2 关键绩效'!$A112,'1-1 基本信息'!$A:$K,7,0),"")</f>
        <v/>
      </c>
      <c r="C112" s="8" t="str">
        <f>IFERROR(VLOOKUP($A112,'1-1 基本信息'!$A:$J,10,0),"")</f>
        <v/>
      </c>
      <c r="D112" s="8" t="str">
        <f>IFERROR(VLOOKUP(A112,'1-1 基本信息'!$A:$I,8,0),"")</f>
        <v/>
      </c>
      <c r="E112" s="57" t="str">
        <f>IFERROR(VLOOKUP($A112,'1-2-1 绩效数据'!$A:$C,3,0),"")</f>
        <v/>
      </c>
      <c r="F112" s="8" t="str">
        <f t="shared" si="38"/>
        <v>2</v>
      </c>
      <c r="G112" s="8" t="str">
        <f t="shared" si="19"/>
        <v/>
      </c>
      <c r="H112" s="8" t="str">
        <f t="shared" si="20"/>
        <v/>
      </c>
      <c r="I112" s="58" t="str">
        <f t="shared" si="39"/>
        <v/>
      </c>
      <c r="J112" s="8" t="str">
        <f t="shared" si="27"/>
        <v/>
      </c>
      <c r="K112" s="8" t="str">
        <f t="shared" si="40"/>
        <v/>
      </c>
      <c r="L112" s="57" t="str">
        <f>IFERROR(VLOOKUP($A112,'1-2-1 绩效数据'!$D:$F,3,0),"")</f>
        <v/>
      </c>
      <c r="M112" s="8" t="str">
        <f t="shared" si="41"/>
        <v>2</v>
      </c>
      <c r="N112" s="8" t="str">
        <f t="shared" si="21"/>
        <v/>
      </c>
      <c r="O112" s="8" t="str">
        <f t="shared" si="22"/>
        <v/>
      </c>
      <c r="P112" s="58" t="str">
        <f t="shared" si="42"/>
        <v/>
      </c>
      <c r="Q112" s="8" t="str">
        <f t="shared" si="30"/>
        <v/>
      </c>
      <c r="R112" s="8" t="str">
        <f t="shared" si="43"/>
        <v/>
      </c>
      <c r="S112" s="57" t="str">
        <f>IFERROR(VLOOKUP(A112,'1-2-1 绩效数据'!$G:$I,3,0),"")</f>
        <v/>
      </c>
      <c r="T112" s="8" t="str">
        <f t="shared" si="44"/>
        <v>2</v>
      </c>
      <c r="U112" s="8" t="str">
        <f t="shared" si="23"/>
        <v/>
      </c>
      <c r="V112" s="8" t="str">
        <f t="shared" si="24"/>
        <v/>
      </c>
      <c r="W112" s="58" t="str">
        <f t="shared" si="45"/>
        <v/>
      </c>
      <c r="X112" s="8" t="str">
        <f t="shared" si="34"/>
        <v/>
      </c>
      <c r="Y112" s="8" t="str">
        <f t="shared" si="46"/>
        <v/>
      </c>
      <c r="Z112" s="57" t="str">
        <f t="shared" si="47"/>
        <v/>
      </c>
    </row>
    <row r="113" spans="1:26" x14ac:dyDescent="0.3">
      <c r="A113" s="8"/>
      <c r="B113" s="70" t="str">
        <f>IFERROR(VLOOKUP('1-2-2 关键绩效'!$A113,'1-1 基本信息'!$A:$K,7,0),"")</f>
        <v/>
      </c>
      <c r="C113" s="8" t="str">
        <f>IFERROR(VLOOKUP($A113,'1-1 基本信息'!$A:$J,10,0),"")</f>
        <v/>
      </c>
      <c r="D113" s="8" t="str">
        <f>IFERROR(VLOOKUP(A113,'1-1 基本信息'!$A:$I,8,0),"")</f>
        <v/>
      </c>
      <c r="E113" s="57" t="str">
        <f>IFERROR(VLOOKUP($A113,'1-2-1 绩效数据'!$A:$C,3,0),"")</f>
        <v/>
      </c>
      <c r="F113" s="8" t="str">
        <f t="shared" si="38"/>
        <v>2</v>
      </c>
      <c r="G113" s="8" t="str">
        <f t="shared" si="19"/>
        <v/>
      </c>
      <c r="H113" s="8" t="str">
        <f t="shared" si="20"/>
        <v/>
      </c>
      <c r="I113" s="58" t="str">
        <f t="shared" si="39"/>
        <v/>
      </c>
      <c r="J113" s="8" t="str">
        <f t="shared" si="27"/>
        <v/>
      </c>
      <c r="K113" s="8" t="str">
        <f t="shared" si="40"/>
        <v/>
      </c>
      <c r="L113" s="57" t="str">
        <f>IFERROR(VLOOKUP($A113,'1-2-1 绩效数据'!$D:$F,3,0),"")</f>
        <v/>
      </c>
      <c r="M113" s="8" t="str">
        <f t="shared" si="41"/>
        <v>2</v>
      </c>
      <c r="N113" s="8" t="str">
        <f t="shared" si="21"/>
        <v/>
      </c>
      <c r="O113" s="8" t="str">
        <f t="shared" si="22"/>
        <v/>
      </c>
      <c r="P113" s="58" t="str">
        <f t="shared" si="42"/>
        <v/>
      </c>
      <c r="Q113" s="8" t="str">
        <f t="shared" si="30"/>
        <v/>
      </c>
      <c r="R113" s="8" t="str">
        <f t="shared" si="43"/>
        <v/>
      </c>
      <c r="S113" s="57" t="str">
        <f>IFERROR(VLOOKUP(A113,'1-2-1 绩效数据'!$G:$I,3,0),"")</f>
        <v/>
      </c>
      <c r="T113" s="8" t="str">
        <f t="shared" si="44"/>
        <v>2</v>
      </c>
      <c r="U113" s="8" t="str">
        <f t="shared" si="23"/>
        <v/>
      </c>
      <c r="V113" s="8" t="str">
        <f t="shared" si="24"/>
        <v/>
      </c>
      <c r="W113" s="58" t="str">
        <f t="shared" si="45"/>
        <v/>
      </c>
      <c r="X113" s="8" t="str">
        <f t="shared" si="34"/>
        <v/>
      </c>
      <c r="Y113" s="8" t="str">
        <f t="shared" si="46"/>
        <v/>
      </c>
      <c r="Z113" s="57" t="str">
        <f t="shared" si="47"/>
        <v/>
      </c>
    </row>
    <row r="114" spans="1:26" x14ac:dyDescent="0.3">
      <c r="A114" s="8"/>
      <c r="B114" s="70" t="str">
        <f>IFERROR(VLOOKUP('1-2-2 关键绩效'!$A114,'1-1 基本信息'!$A:$K,7,0),"")</f>
        <v/>
      </c>
      <c r="C114" s="8" t="str">
        <f>IFERROR(VLOOKUP($A114,'1-1 基本信息'!$A:$J,10,0),"")</f>
        <v/>
      </c>
      <c r="D114" s="8" t="str">
        <f>IFERROR(VLOOKUP(A114,'1-1 基本信息'!$A:$I,8,0),"")</f>
        <v/>
      </c>
      <c r="E114" s="57" t="str">
        <f>IFERROR(VLOOKUP($A114,'1-2-1 绩效数据'!$A:$C,3,0),"")</f>
        <v/>
      </c>
      <c r="F114" s="8" t="str">
        <f t="shared" si="38"/>
        <v>2</v>
      </c>
      <c r="G114" s="8" t="str">
        <f t="shared" si="19"/>
        <v/>
      </c>
      <c r="H114" s="8" t="str">
        <f t="shared" si="20"/>
        <v/>
      </c>
      <c r="I114" s="58" t="str">
        <f t="shared" si="39"/>
        <v/>
      </c>
      <c r="J114" s="8" t="str">
        <f t="shared" si="27"/>
        <v/>
      </c>
      <c r="K114" s="8" t="str">
        <f t="shared" si="40"/>
        <v/>
      </c>
      <c r="L114" s="57" t="str">
        <f>IFERROR(VLOOKUP($A114,'1-2-1 绩效数据'!$D:$F,3,0),"")</f>
        <v/>
      </c>
      <c r="M114" s="8" t="str">
        <f t="shared" si="41"/>
        <v>2</v>
      </c>
      <c r="N114" s="8" t="str">
        <f t="shared" si="21"/>
        <v/>
      </c>
      <c r="O114" s="8" t="str">
        <f t="shared" si="22"/>
        <v/>
      </c>
      <c r="P114" s="58" t="str">
        <f t="shared" si="42"/>
        <v/>
      </c>
      <c r="Q114" s="8" t="str">
        <f t="shared" si="30"/>
        <v/>
      </c>
      <c r="R114" s="8" t="str">
        <f t="shared" si="43"/>
        <v/>
      </c>
      <c r="S114" s="57" t="str">
        <f>IFERROR(VLOOKUP(A114,'1-2-1 绩效数据'!$G:$I,3,0),"")</f>
        <v/>
      </c>
      <c r="T114" s="8" t="str">
        <f t="shared" si="44"/>
        <v>2</v>
      </c>
      <c r="U114" s="8" t="str">
        <f t="shared" si="23"/>
        <v/>
      </c>
      <c r="V114" s="8" t="str">
        <f t="shared" si="24"/>
        <v/>
      </c>
      <c r="W114" s="58" t="str">
        <f t="shared" si="45"/>
        <v/>
      </c>
      <c r="X114" s="8" t="str">
        <f t="shared" si="34"/>
        <v/>
      </c>
      <c r="Y114" s="8" t="str">
        <f t="shared" si="46"/>
        <v/>
      </c>
      <c r="Z114" s="57" t="str">
        <f t="shared" si="47"/>
        <v/>
      </c>
    </row>
    <row r="115" spans="1:26" x14ac:dyDescent="0.3">
      <c r="A115" s="8"/>
      <c r="B115" s="70" t="str">
        <f>IFERROR(VLOOKUP('1-2-2 关键绩效'!$A115,'1-1 基本信息'!$A:$K,7,0),"")</f>
        <v/>
      </c>
      <c r="C115" s="8" t="str">
        <f>IFERROR(VLOOKUP($A115,'1-1 基本信息'!$A:$J,10,0),"")</f>
        <v/>
      </c>
      <c r="D115" s="8" t="str">
        <f>IFERROR(VLOOKUP(A115,'1-1 基本信息'!$A:$I,8,0),"")</f>
        <v/>
      </c>
      <c r="E115" s="57" t="str">
        <f>IFERROR(VLOOKUP($A115,'1-2-1 绩效数据'!$A:$C,3,0),"")</f>
        <v/>
      </c>
      <c r="F115" s="8" t="str">
        <f t="shared" si="38"/>
        <v>2</v>
      </c>
      <c r="G115" s="8" t="str">
        <f t="shared" si="19"/>
        <v/>
      </c>
      <c r="H115" s="8" t="str">
        <f t="shared" si="20"/>
        <v/>
      </c>
      <c r="I115" s="58" t="str">
        <f t="shared" si="39"/>
        <v/>
      </c>
      <c r="J115" s="8" t="str">
        <f t="shared" si="27"/>
        <v/>
      </c>
      <c r="K115" s="8" t="str">
        <f t="shared" si="40"/>
        <v/>
      </c>
      <c r="L115" s="57" t="str">
        <f>IFERROR(VLOOKUP($A115,'1-2-1 绩效数据'!$D:$F,3,0),"")</f>
        <v/>
      </c>
      <c r="M115" s="8" t="str">
        <f t="shared" si="41"/>
        <v>2</v>
      </c>
      <c r="N115" s="8" t="str">
        <f t="shared" si="21"/>
        <v/>
      </c>
      <c r="O115" s="8" t="str">
        <f t="shared" si="22"/>
        <v/>
      </c>
      <c r="P115" s="58" t="str">
        <f t="shared" si="42"/>
        <v/>
      </c>
      <c r="Q115" s="8" t="str">
        <f t="shared" si="30"/>
        <v/>
      </c>
      <c r="R115" s="8" t="str">
        <f t="shared" si="43"/>
        <v/>
      </c>
      <c r="S115" s="57" t="str">
        <f>IFERROR(VLOOKUP(A115,'1-2-1 绩效数据'!$G:$I,3,0),"")</f>
        <v/>
      </c>
      <c r="T115" s="8" t="str">
        <f t="shared" si="44"/>
        <v>2</v>
      </c>
      <c r="U115" s="8" t="str">
        <f t="shared" si="23"/>
        <v/>
      </c>
      <c r="V115" s="8" t="str">
        <f t="shared" si="24"/>
        <v/>
      </c>
      <c r="W115" s="58" t="str">
        <f t="shared" si="45"/>
        <v/>
      </c>
      <c r="X115" s="8" t="str">
        <f t="shared" si="34"/>
        <v/>
      </c>
      <c r="Y115" s="8" t="str">
        <f t="shared" si="46"/>
        <v/>
      </c>
      <c r="Z115" s="57" t="str">
        <f t="shared" si="47"/>
        <v/>
      </c>
    </row>
    <row r="116" spans="1:26" x14ac:dyDescent="0.3">
      <c r="A116" s="8"/>
      <c r="B116" s="70" t="str">
        <f>IFERROR(VLOOKUP('1-2-2 关键绩效'!$A116,'1-1 基本信息'!$A:$K,7,0),"")</f>
        <v/>
      </c>
      <c r="C116" s="8" t="str">
        <f>IFERROR(VLOOKUP($A116,'1-1 基本信息'!$A:$J,10,0),"")</f>
        <v/>
      </c>
      <c r="D116" s="8" t="str">
        <f>IFERROR(VLOOKUP(A116,'1-1 基本信息'!$A:$I,8,0),"")</f>
        <v/>
      </c>
      <c r="E116" s="57" t="str">
        <f>IFERROR(VLOOKUP($A116,'1-2-1 绩效数据'!$A:$C,3,0),"")</f>
        <v/>
      </c>
      <c r="F116" s="8" t="str">
        <f t="shared" si="38"/>
        <v>2</v>
      </c>
      <c r="G116" s="8" t="str">
        <f t="shared" si="19"/>
        <v/>
      </c>
      <c r="H116" s="8" t="str">
        <f t="shared" si="20"/>
        <v/>
      </c>
      <c r="I116" s="58" t="str">
        <f t="shared" si="39"/>
        <v/>
      </c>
      <c r="J116" s="8" t="str">
        <f t="shared" si="27"/>
        <v/>
      </c>
      <c r="K116" s="8" t="str">
        <f t="shared" si="40"/>
        <v/>
      </c>
      <c r="L116" s="57" t="str">
        <f>IFERROR(VLOOKUP($A116,'1-2-1 绩效数据'!$D:$F,3,0),"")</f>
        <v/>
      </c>
      <c r="M116" s="8" t="str">
        <f t="shared" si="41"/>
        <v>2</v>
      </c>
      <c r="N116" s="8" t="str">
        <f t="shared" si="21"/>
        <v/>
      </c>
      <c r="O116" s="8" t="str">
        <f t="shared" si="22"/>
        <v/>
      </c>
      <c r="P116" s="58" t="str">
        <f t="shared" si="42"/>
        <v/>
      </c>
      <c r="Q116" s="8" t="str">
        <f t="shared" si="30"/>
        <v/>
      </c>
      <c r="R116" s="8" t="str">
        <f t="shared" si="43"/>
        <v/>
      </c>
      <c r="S116" s="57" t="str">
        <f>IFERROR(VLOOKUP(A116,'1-2-1 绩效数据'!$G:$I,3,0),"")</f>
        <v/>
      </c>
      <c r="T116" s="8" t="str">
        <f t="shared" si="44"/>
        <v>2</v>
      </c>
      <c r="U116" s="8" t="str">
        <f t="shared" si="23"/>
        <v/>
      </c>
      <c r="V116" s="8" t="str">
        <f t="shared" si="24"/>
        <v/>
      </c>
      <c r="W116" s="58" t="str">
        <f t="shared" si="45"/>
        <v/>
      </c>
      <c r="X116" s="8" t="str">
        <f t="shared" si="34"/>
        <v/>
      </c>
      <c r="Y116" s="8" t="str">
        <f t="shared" si="46"/>
        <v/>
      </c>
      <c r="Z116" s="57" t="str">
        <f t="shared" si="47"/>
        <v/>
      </c>
    </row>
    <row r="117" spans="1:26" x14ac:dyDescent="0.3">
      <c r="A117" s="8"/>
      <c r="B117" s="70" t="str">
        <f>IFERROR(VLOOKUP('1-2-2 关键绩效'!$A117,'1-1 基本信息'!$A:$K,7,0),"")</f>
        <v/>
      </c>
      <c r="C117" s="8" t="str">
        <f>IFERROR(VLOOKUP($A117,'1-1 基本信息'!$A:$J,10,0),"")</f>
        <v/>
      </c>
      <c r="D117" s="8" t="str">
        <f>IFERROR(VLOOKUP(A117,'1-1 基本信息'!$A:$I,8,0),"")</f>
        <v/>
      </c>
      <c r="E117" s="57" t="str">
        <f>IFERROR(VLOOKUP($A117,'1-2-1 绩效数据'!$A:$C,3,0),"")</f>
        <v/>
      </c>
      <c r="F117" s="8" t="str">
        <f t="shared" si="38"/>
        <v>2</v>
      </c>
      <c r="G117" s="8" t="str">
        <f t="shared" si="19"/>
        <v/>
      </c>
      <c r="H117" s="8" t="str">
        <f t="shared" si="20"/>
        <v/>
      </c>
      <c r="I117" s="58" t="str">
        <f t="shared" si="39"/>
        <v/>
      </c>
      <c r="J117" s="8" t="str">
        <f t="shared" si="27"/>
        <v/>
      </c>
      <c r="K117" s="8" t="str">
        <f t="shared" si="40"/>
        <v/>
      </c>
      <c r="L117" s="57" t="str">
        <f>IFERROR(VLOOKUP($A117,'1-2-1 绩效数据'!$D:$F,3,0),"")</f>
        <v/>
      </c>
      <c r="M117" s="8" t="str">
        <f t="shared" si="41"/>
        <v>2</v>
      </c>
      <c r="N117" s="8" t="str">
        <f t="shared" si="21"/>
        <v/>
      </c>
      <c r="O117" s="8" t="str">
        <f t="shared" si="22"/>
        <v/>
      </c>
      <c r="P117" s="58" t="str">
        <f t="shared" si="42"/>
        <v/>
      </c>
      <c r="Q117" s="8" t="str">
        <f t="shared" si="30"/>
        <v/>
      </c>
      <c r="R117" s="8" t="str">
        <f t="shared" si="43"/>
        <v/>
      </c>
      <c r="S117" s="57" t="str">
        <f>IFERROR(VLOOKUP(A117,'1-2-1 绩效数据'!$G:$I,3,0),"")</f>
        <v/>
      </c>
      <c r="T117" s="8" t="str">
        <f t="shared" si="44"/>
        <v>2</v>
      </c>
      <c r="U117" s="8" t="str">
        <f t="shared" si="23"/>
        <v/>
      </c>
      <c r="V117" s="8" t="str">
        <f t="shared" si="24"/>
        <v/>
      </c>
      <c r="W117" s="58" t="str">
        <f t="shared" si="45"/>
        <v/>
      </c>
      <c r="X117" s="8" t="str">
        <f t="shared" si="34"/>
        <v/>
      </c>
      <c r="Y117" s="8" t="str">
        <f t="shared" si="46"/>
        <v/>
      </c>
      <c r="Z117" s="57" t="str">
        <f t="shared" si="47"/>
        <v/>
      </c>
    </row>
    <row r="118" spans="1:26" x14ac:dyDescent="0.3">
      <c r="A118" s="8"/>
      <c r="B118" s="70" t="str">
        <f>IFERROR(VLOOKUP('1-2-2 关键绩效'!$A118,'1-1 基本信息'!$A:$K,7,0),"")</f>
        <v/>
      </c>
      <c r="C118" s="8" t="str">
        <f>IFERROR(VLOOKUP($A118,'1-1 基本信息'!$A:$J,10,0),"")</f>
        <v/>
      </c>
      <c r="D118" s="8" t="str">
        <f>IFERROR(VLOOKUP(A118,'1-1 基本信息'!$A:$I,8,0),"")</f>
        <v/>
      </c>
      <c r="E118" s="57" t="str">
        <f>IFERROR(VLOOKUP($A118,'1-2-1 绩效数据'!$A:$C,3,0),"")</f>
        <v/>
      </c>
      <c r="F118" s="8" t="str">
        <f t="shared" si="38"/>
        <v>2</v>
      </c>
      <c r="G118" s="8" t="str">
        <f t="shared" si="19"/>
        <v/>
      </c>
      <c r="H118" s="8" t="str">
        <f t="shared" si="20"/>
        <v/>
      </c>
      <c r="I118" s="58" t="str">
        <f t="shared" si="39"/>
        <v/>
      </c>
      <c r="J118" s="8" t="str">
        <f t="shared" si="27"/>
        <v/>
      </c>
      <c r="K118" s="8" t="str">
        <f t="shared" si="40"/>
        <v/>
      </c>
      <c r="L118" s="57" t="str">
        <f>IFERROR(VLOOKUP($A118,'1-2-1 绩效数据'!$D:$F,3,0),"")</f>
        <v/>
      </c>
      <c r="M118" s="8" t="str">
        <f t="shared" si="41"/>
        <v>2</v>
      </c>
      <c r="N118" s="8" t="str">
        <f t="shared" si="21"/>
        <v/>
      </c>
      <c r="O118" s="8" t="str">
        <f t="shared" si="22"/>
        <v/>
      </c>
      <c r="P118" s="58" t="str">
        <f t="shared" si="42"/>
        <v/>
      </c>
      <c r="Q118" s="8" t="str">
        <f t="shared" si="30"/>
        <v/>
      </c>
      <c r="R118" s="8" t="str">
        <f t="shared" si="43"/>
        <v/>
      </c>
      <c r="S118" s="57" t="str">
        <f>IFERROR(VLOOKUP(A118,'1-2-1 绩效数据'!$G:$I,3,0),"")</f>
        <v/>
      </c>
      <c r="T118" s="8" t="str">
        <f t="shared" si="44"/>
        <v>2</v>
      </c>
      <c r="U118" s="8" t="str">
        <f t="shared" si="23"/>
        <v/>
      </c>
      <c r="V118" s="8" t="str">
        <f t="shared" si="24"/>
        <v/>
      </c>
      <c r="W118" s="58" t="str">
        <f t="shared" si="45"/>
        <v/>
      </c>
      <c r="X118" s="8" t="str">
        <f t="shared" si="34"/>
        <v/>
      </c>
      <c r="Y118" s="8" t="str">
        <f t="shared" si="46"/>
        <v/>
      </c>
      <c r="Z118" s="57" t="str">
        <f t="shared" si="47"/>
        <v/>
      </c>
    </row>
    <row r="119" spans="1:26" x14ac:dyDescent="0.3">
      <c r="A119" s="8"/>
      <c r="B119" s="70" t="str">
        <f>IFERROR(VLOOKUP('1-2-2 关键绩效'!$A119,'1-1 基本信息'!$A:$K,7,0),"")</f>
        <v/>
      </c>
      <c r="C119" s="8" t="str">
        <f>IFERROR(VLOOKUP($A119,'1-1 基本信息'!$A:$J,10,0),"")</f>
        <v/>
      </c>
      <c r="D119" s="8" t="str">
        <f>IFERROR(VLOOKUP(A119,'1-1 基本信息'!$A:$I,8,0),"")</f>
        <v/>
      </c>
      <c r="E119" s="57" t="str">
        <f>IFERROR(VLOOKUP($A119,'1-2-1 绩效数据'!$A:$C,3,0),"")</f>
        <v/>
      </c>
      <c r="F119" s="8" t="str">
        <f t="shared" si="38"/>
        <v>2</v>
      </c>
      <c r="G119" s="8" t="str">
        <f t="shared" si="19"/>
        <v/>
      </c>
      <c r="H119" s="8" t="str">
        <f t="shared" si="20"/>
        <v/>
      </c>
      <c r="I119" s="58" t="str">
        <f t="shared" si="39"/>
        <v/>
      </c>
      <c r="J119" s="8" t="str">
        <f t="shared" si="27"/>
        <v/>
      </c>
      <c r="K119" s="8" t="str">
        <f t="shared" si="40"/>
        <v/>
      </c>
      <c r="L119" s="57" t="str">
        <f>IFERROR(VLOOKUP($A119,'1-2-1 绩效数据'!$D:$F,3,0),"")</f>
        <v/>
      </c>
      <c r="M119" s="8" t="str">
        <f t="shared" si="41"/>
        <v>2</v>
      </c>
      <c r="N119" s="8" t="str">
        <f t="shared" si="21"/>
        <v/>
      </c>
      <c r="O119" s="8" t="str">
        <f t="shared" si="22"/>
        <v/>
      </c>
      <c r="P119" s="58" t="str">
        <f t="shared" si="42"/>
        <v/>
      </c>
      <c r="Q119" s="8" t="str">
        <f t="shared" si="30"/>
        <v/>
      </c>
      <c r="R119" s="8" t="str">
        <f t="shared" si="43"/>
        <v/>
      </c>
      <c r="S119" s="57" t="str">
        <f>IFERROR(VLOOKUP(A119,'1-2-1 绩效数据'!$G:$I,3,0),"")</f>
        <v/>
      </c>
      <c r="T119" s="8" t="str">
        <f t="shared" si="44"/>
        <v>2</v>
      </c>
      <c r="U119" s="8" t="str">
        <f t="shared" si="23"/>
        <v/>
      </c>
      <c r="V119" s="8" t="str">
        <f t="shared" si="24"/>
        <v/>
      </c>
      <c r="W119" s="58" t="str">
        <f t="shared" si="45"/>
        <v/>
      </c>
      <c r="X119" s="8" t="str">
        <f t="shared" si="34"/>
        <v/>
      </c>
      <c r="Y119" s="8" t="str">
        <f t="shared" si="46"/>
        <v/>
      </c>
      <c r="Z119" s="57" t="str">
        <f t="shared" si="47"/>
        <v/>
      </c>
    </row>
    <row r="120" spans="1:26" x14ac:dyDescent="0.3">
      <c r="A120" s="8"/>
      <c r="B120" s="70" t="str">
        <f>IFERROR(VLOOKUP('1-2-2 关键绩效'!$A120,'1-1 基本信息'!$A:$K,7,0),"")</f>
        <v/>
      </c>
      <c r="C120" s="8" t="str">
        <f>IFERROR(VLOOKUP($A120,'1-1 基本信息'!$A:$J,10,0),"")</f>
        <v/>
      </c>
      <c r="D120" s="8" t="str">
        <f>IFERROR(VLOOKUP(A120,'1-1 基本信息'!$A:$I,8,0),"")</f>
        <v/>
      </c>
      <c r="E120" s="57" t="str">
        <f>IFERROR(VLOOKUP($A120,'1-2-1 绩效数据'!$A:$C,3,0),"")</f>
        <v/>
      </c>
      <c r="F120" s="8" t="str">
        <f t="shared" si="38"/>
        <v>2</v>
      </c>
      <c r="G120" s="8" t="str">
        <f t="shared" si="19"/>
        <v/>
      </c>
      <c r="H120" s="8" t="str">
        <f t="shared" si="20"/>
        <v/>
      </c>
      <c r="I120" s="58" t="str">
        <f t="shared" si="39"/>
        <v/>
      </c>
      <c r="J120" s="8" t="str">
        <f t="shared" si="27"/>
        <v/>
      </c>
      <c r="K120" s="8" t="str">
        <f t="shared" si="40"/>
        <v/>
      </c>
      <c r="L120" s="57" t="str">
        <f>IFERROR(VLOOKUP($A120,'1-2-1 绩效数据'!$D:$F,3,0),"")</f>
        <v/>
      </c>
      <c r="M120" s="8" t="str">
        <f t="shared" si="41"/>
        <v>2</v>
      </c>
      <c r="N120" s="8" t="str">
        <f t="shared" si="21"/>
        <v/>
      </c>
      <c r="O120" s="8" t="str">
        <f t="shared" si="22"/>
        <v/>
      </c>
      <c r="P120" s="58" t="str">
        <f t="shared" si="42"/>
        <v/>
      </c>
      <c r="Q120" s="8" t="str">
        <f t="shared" si="30"/>
        <v/>
      </c>
      <c r="R120" s="8" t="str">
        <f t="shared" si="43"/>
        <v/>
      </c>
      <c r="S120" s="57" t="str">
        <f>IFERROR(VLOOKUP(A120,'1-2-1 绩效数据'!$G:$I,3,0),"")</f>
        <v/>
      </c>
      <c r="T120" s="8" t="str">
        <f t="shared" si="44"/>
        <v>2</v>
      </c>
      <c r="U120" s="8" t="str">
        <f t="shared" si="23"/>
        <v/>
      </c>
      <c r="V120" s="8" t="str">
        <f t="shared" si="24"/>
        <v/>
      </c>
      <c r="W120" s="58" t="str">
        <f t="shared" si="45"/>
        <v/>
      </c>
      <c r="X120" s="8" t="str">
        <f t="shared" si="34"/>
        <v/>
      </c>
      <c r="Y120" s="8" t="str">
        <f t="shared" si="46"/>
        <v/>
      </c>
      <c r="Z120" s="57" t="str">
        <f t="shared" si="47"/>
        <v/>
      </c>
    </row>
    <row r="121" spans="1:26" x14ac:dyDescent="0.3">
      <c r="A121" s="8"/>
      <c r="B121" s="70" t="str">
        <f>IFERROR(VLOOKUP('1-2-2 关键绩效'!$A121,'1-1 基本信息'!$A:$K,7,0),"")</f>
        <v/>
      </c>
      <c r="C121" s="8" t="str">
        <f>IFERROR(VLOOKUP($A121,'1-1 基本信息'!$A:$J,10,0),"")</f>
        <v/>
      </c>
      <c r="D121" s="8" t="str">
        <f>IFERROR(VLOOKUP(A121,'1-1 基本信息'!$A:$I,8,0),"")</f>
        <v/>
      </c>
      <c r="E121" s="57" t="str">
        <f>IFERROR(VLOOKUP($A121,'1-2-1 绩效数据'!$A:$C,3,0),"")</f>
        <v/>
      </c>
      <c r="F121" s="8" t="str">
        <f t="shared" si="38"/>
        <v>2</v>
      </c>
      <c r="G121" s="8" t="str">
        <f t="shared" si="19"/>
        <v/>
      </c>
      <c r="H121" s="8" t="str">
        <f t="shared" si="20"/>
        <v/>
      </c>
      <c r="I121" s="58" t="str">
        <f t="shared" si="39"/>
        <v/>
      </c>
      <c r="J121" s="8" t="str">
        <f t="shared" si="27"/>
        <v/>
      </c>
      <c r="K121" s="8" t="str">
        <f t="shared" si="40"/>
        <v/>
      </c>
      <c r="L121" s="57" t="str">
        <f>IFERROR(VLOOKUP($A121,'1-2-1 绩效数据'!$D:$F,3,0),"")</f>
        <v/>
      </c>
      <c r="M121" s="8" t="str">
        <f t="shared" si="41"/>
        <v>2</v>
      </c>
      <c r="N121" s="8" t="str">
        <f t="shared" si="21"/>
        <v/>
      </c>
      <c r="O121" s="8" t="str">
        <f t="shared" si="22"/>
        <v/>
      </c>
      <c r="P121" s="58" t="str">
        <f t="shared" si="42"/>
        <v/>
      </c>
      <c r="Q121" s="8" t="str">
        <f t="shared" si="30"/>
        <v/>
      </c>
      <c r="R121" s="8" t="str">
        <f t="shared" si="43"/>
        <v/>
      </c>
      <c r="S121" s="57" t="str">
        <f>IFERROR(VLOOKUP(A121,'1-2-1 绩效数据'!$G:$I,3,0),"")</f>
        <v/>
      </c>
      <c r="T121" s="8" t="str">
        <f t="shared" si="44"/>
        <v>2</v>
      </c>
      <c r="U121" s="8" t="str">
        <f t="shared" si="23"/>
        <v/>
      </c>
      <c r="V121" s="8" t="str">
        <f t="shared" si="24"/>
        <v/>
      </c>
      <c r="W121" s="58" t="str">
        <f t="shared" si="45"/>
        <v/>
      </c>
      <c r="X121" s="8" t="str">
        <f t="shared" si="34"/>
        <v/>
      </c>
      <c r="Y121" s="8" t="str">
        <f t="shared" si="46"/>
        <v/>
      </c>
      <c r="Z121" s="57" t="str">
        <f t="shared" si="47"/>
        <v/>
      </c>
    </row>
    <row r="122" spans="1:26" x14ac:dyDescent="0.3">
      <c r="A122" s="8"/>
      <c r="B122" s="70" t="str">
        <f>IFERROR(VLOOKUP('1-2-2 关键绩效'!$A122,'1-1 基本信息'!$A:$K,7,0),"")</f>
        <v/>
      </c>
      <c r="C122" s="8" t="str">
        <f>IFERROR(VLOOKUP($A122,'1-1 基本信息'!$A:$J,10,0),"")</f>
        <v/>
      </c>
      <c r="D122" s="8" t="str">
        <f>IFERROR(VLOOKUP(A122,'1-1 基本信息'!$A:$I,8,0),"")</f>
        <v/>
      </c>
      <c r="E122" s="57" t="str">
        <f>IFERROR(VLOOKUP($A122,'1-2-1 绩效数据'!$A:$C,3,0),"")</f>
        <v/>
      </c>
      <c r="F122" s="8" t="str">
        <f t="shared" si="38"/>
        <v>2</v>
      </c>
      <c r="G122" s="8" t="str">
        <f t="shared" si="19"/>
        <v/>
      </c>
      <c r="H122" s="8" t="str">
        <f t="shared" si="20"/>
        <v/>
      </c>
      <c r="I122" s="58" t="str">
        <f t="shared" si="39"/>
        <v/>
      </c>
      <c r="J122" s="8" t="str">
        <f t="shared" si="27"/>
        <v/>
      </c>
      <c r="K122" s="8" t="str">
        <f t="shared" si="40"/>
        <v/>
      </c>
      <c r="L122" s="57" t="str">
        <f>IFERROR(VLOOKUP($A122,'1-2-1 绩效数据'!$D:$F,3,0),"")</f>
        <v/>
      </c>
      <c r="M122" s="8" t="str">
        <f t="shared" si="41"/>
        <v>2</v>
      </c>
      <c r="N122" s="8" t="str">
        <f t="shared" si="21"/>
        <v/>
      </c>
      <c r="O122" s="8" t="str">
        <f t="shared" si="22"/>
        <v/>
      </c>
      <c r="P122" s="58" t="str">
        <f t="shared" si="42"/>
        <v/>
      </c>
      <c r="Q122" s="8" t="str">
        <f t="shared" si="30"/>
        <v/>
      </c>
      <c r="R122" s="8" t="str">
        <f t="shared" si="43"/>
        <v/>
      </c>
      <c r="S122" s="57" t="str">
        <f>IFERROR(VLOOKUP(A122,'1-2-1 绩效数据'!$G:$I,3,0),"")</f>
        <v/>
      </c>
      <c r="T122" s="8" t="str">
        <f t="shared" si="44"/>
        <v>2</v>
      </c>
      <c r="U122" s="8" t="str">
        <f t="shared" si="23"/>
        <v/>
      </c>
      <c r="V122" s="8" t="str">
        <f t="shared" si="24"/>
        <v/>
      </c>
      <c r="W122" s="58" t="str">
        <f t="shared" si="45"/>
        <v/>
      </c>
      <c r="X122" s="8" t="str">
        <f t="shared" si="34"/>
        <v/>
      </c>
      <c r="Y122" s="8" t="str">
        <f t="shared" si="46"/>
        <v/>
      </c>
      <c r="Z122" s="57" t="str">
        <f t="shared" si="47"/>
        <v/>
      </c>
    </row>
    <row r="123" spans="1:26" x14ac:dyDescent="0.3">
      <c r="A123" s="8"/>
      <c r="B123" s="70" t="str">
        <f>IFERROR(VLOOKUP('1-2-2 关键绩效'!$A123,'1-1 基本信息'!$A:$K,7,0),"")</f>
        <v/>
      </c>
      <c r="C123" s="8" t="str">
        <f>IFERROR(VLOOKUP($A123,'1-1 基本信息'!$A:$J,10,0),"")</f>
        <v/>
      </c>
      <c r="D123" s="8" t="str">
        <f>IFERROR(VLOOKUP(A123,'1-1 基本信息'!$A:$I,8,0),"")</f>
        <v/>
      </c>
      <c r="E123" s="57" t="str">
        <f>IFERROR(VLOOKUP($A123,'1-2-1 绩效数据'!$A:$C,3,0),"")</f>
        <v/>
      </c>
      <c r="F123" s="8" t="str">
        <f t="shared" si="38"/>
        <v>2</v>
      </c>
      <c r="G123" s="8" t="str">
        <f t="shared" si="19"/>
        <v/>
      </c>
      <c r="H123" s="8" t="str">
        <f t="shared" si="20"/>
        <v/>
      </c>
      <c r="I123" s="58" t="str">
        <f t="shared" si="39"/>
        <v/>
      </c>
      <c r="J123" s="8" t="str">
        <f t="shared" si="27"/>
        <v/>
      </c>
      <c r="K123" s="8" t="str">
        <f t="shared" si="40"/>
        <v/>
      </c>
      <c r="L123" s="57" t="str">
        <f>IFERROR(VLOOKUP($A123,'1-2-1 绩效数据'!$D:$F,3,0),"")</f>
        <v/>
      </c>
      <c r="M123" s="8" t="str">
        <f t="shared" si="41"/>
        <v>2</v>
      </c>
      <c r="N123" s="8" t="str">
        <f t="shared" si="21"/>
        <v/>
      </c>
      <c r="O123" s="8" t="str">
        <f t="shared" si="22"/>
        <v/>
      </c>
      <c r="P123" s="58" t="str">
        <f t="shared" si="42"/>
        <v/>
      </c>
      <c r="Q123" s="8" t="str">
        <f t="shared" si="30"/>
        <v/>
      </c>
      <c r="R123" s="8" t="str">
        <f t="shared" si="43"/>
        <v/>
      </c>
      <c r="S123" s="57" t="str">
        <f>IFERROR(VLOOKUP(A123,'1-2-1 绩效数据'!$G:$I,3,0),"")</f>
        <v/>
      </c>
      <c r="T123" s="8" t="str">
        <f t="shared" si="44"/>
        <v>2</v>
      </c>
      <c r="U123" s="8" t="str">
        <f t="shared" si="23"/>
        <v/>
      </c>
      <c r="V123" s="8" t="str">
        <f t="shared" si="24"/>
        <v/>
      </c>
      <c r="W123" s="58" t="str">
        <f t="shared" si="45"/>
        <v/>
      </c>
      <c r="X123" s="8" t="str">
        <f t="shared" si="34"/>
        <v/>
      </c>
      <c r="Y123" s="8" t="str">
        <f t="shared" si="46"/>
        <v/>
      </c>
      <c r="Z123" s="57" t="str">
        <f t="shared" si="47"/>
        <v/>
      </c>
    </row>
    <row r="124" spans="1:26" x14ac:dyDescent="0.3">
      <c r="A124" s="8"/>
      <c r="B124" s="70" t="str">
        <f>IFERROR(VLOOKUP('1-2-2 关键绩效'!$A124,'1-1 基本信息'!$A:$K,7,0),"")</f>
        <v/>
      </c>
      <c r="C124" s="8" t="str">
        <f>IFERROR(VLOOKUP($A124,'1-1 基本信息'!$A:$J,10,0),"")</f>
        <v/>
      </c>
      <c r="D124" s="8" t="str">
        <f>IFERROR(VLOOKUP(A124,'1-1 基本信息'!$A:$I,8,0),"")</f>
        <v/>
      </c>
      <c r="E124" s="57" t="str">
        <f>IFERROR(VLOOKUP($A124,'1-2-1 绩效数据'!$A:$C,3,0),"")</f>
        <v/>
      </c>
      <c r="F124" s="8" t="str">
        <f t="shared" si="38"/>
        <v>2</v>
      </c>
      <c r="G124" s="8" t="str">
        <f t="shared" si="19"/>
        <v/>
      </c>
      <c r="H124" s="8" t="str">
        <f t="shared" si="20"/>
        <v/>
      </c>
      <c r="I124" s="58" t="str">
        <f t="shared" si="39"/>
        <v/>
      </c>
      <c r="J124" s="8" t="str">
        <f t="shared" si="27"/>
        <v/>
      </c>
      <c r="K124" s="8" t="str">
        <f t="shared" si="40"/>
        <v/>
      </c>
      <c r="L124" s="57" t="str">
        <f>IFERROR(VLOOKUP($A124,'1-2-1 绩效数据'!$D:$F,3,0),"")</f>
        <v/>
      </c>
      <c r="M124" s="8" t="str">
        <f t="shared" si="41"/>
        <v>2</v>
      </c>
      <c r="N124" s="8" t="str">
        <f t="shared" si="21"/>
        <v/>
      </c>
      <c r="O124" s="8" t="str">
        <f t="shared" si="22"/>
        <v/>
      </c>
      <c r="P124" s="58" t="str">
        <f t="shared" si="42"/>
        <v/>
      </c>
      <c r="Q124" s="8" t="str">
        <f t="shared" si="30"/>
        <v/>
      </c>
      <c r="R124" s="8" t="str">
        <f t="shared" si="43"/>
        <v/>
      </c>
      <c r="S124" s="57" t="str">
        <f>IFERROR(VLOOKUP(A124,'1-2-1 绩效数据'!$G:$I,3,0),"")</f>
        <v/>
      </c>
      <c r="T124" s="8" t="str">
        <f t="shared" si="44"/>
        <v>2</v>
      </c>
      <c r="U124" s="8" t="str">
        <f t="shared" si="23"/>
        <v/>
      </c>
      <c r="V124" s="8" t="str">
        <f t="shared" si="24"/>
        <v/>
      </c>
      <c r="W124" s="58" t="str">
        <f t="shared" si="45"/>
        <v/>
      </c>
      <c r="X124" s="8" t="str">
        <f t="shared" si="34"/>
        <v/>
      </c>
      <c r="Y124" s="8" t="str">
        <f t="shared" si="46"/>
        <v/>
      </c>
      <c r="Z124" s="57" t="str">
        <f t="shared" si="47"/>
        <v/>
      </c>
    </row>
    <row r="125" spans="1:26" x14ac:dyDescent="0.3">
      <c r="A125" s="8"/>
      <c r="B125" s="70" t="str">
        <f>IFERROR(VLOOKUP('1-2-2 关键绩效'!$A125,'1-1 基本信息'!$A:$K,7,0),"")</f>
        <v/>
      </c>
      <c r="C125" s="8" t="str">
        <f>IFERROR(VLOOKUP($A125,'1-1 基本信息'!$A:$J,10,0),"")</f>
        <v/>
      </c>
      <c r="D125" s="8" t="str">
        <f>IFERROR(VLOOKUP(A125,'1-1 基本信息'!$A:$I,8,0),"")</f>
        <v/>
      </c>
      <c r="E125" s="57" t="str">
        <f>IFERROR(VLOOKUP($A125,'1-2-1 绩效数据'!$A:$C,3,0),"")</f>
        <v/>
      </c>
      <c r="F125" s="8" t="str">
        <f t="shared" si="38"/>
        <v>2</v>
      </c>
      <c r="G125" s="8" t="str">
        <f t="shared" si="19"/>
        <v/>
      </c>
      <c r="H125" s="8" t="str">
        <f t="shared" si="20"/>
        <v/>
      </c>
      <c r="I125" s="58" t="str">
        <f t="shared" si="39"/>
        <v/>
      </c>
      <c r="J125" s="8" t="str">
        <f t="shared" si="27"/>
        <v/>
      </c>
      <c r="K125" s="8" t="str">
        <f t="shared" si="40"/>
        <v/>
      </c>
      <c r="L125" s="57" t="str">
        <f>IFERROR(VLOOKUP($A125,'1-2-1 绩效数据'!$D:$F,3,0),"")</f>
        <v/>
      </c>
      <c r="M125" s="8" t="str">
        <f t="shared" si="41"/>
        <v>2</v>
      </c>
      <c r="N125" s="8" t="str">
        <f t="shared" si="21"/>
        <v/>
      </c>
      <c r="O125" s="8" t="str">
        <f t="shared" si="22"/>
        <v/>
      </c>
      <c r="P125" s="58" t="str">
        <f t="shared" si="42"/>
        <v/>
      </c>
      <c r="Q125" s="8" t="str">
        <f t="shared" si="30"/>
        <v/>
      </c>
      <c r="R125" s="8" t="str">
        <f t="shared" si="43"/>
        <v/>
      </c>
      <c r="S125" s="57" t="str">
        <f>IFERROR(VLOOKUP(A125,'1-2-1 绩效数据'!$G:$I,3,0),"")</f>
        <v/>
      </c>
      <c r="T125" s="8" t="str">
        <f t="shared" si="44"/>
        <v>2</v>
      </c>
      <c r="U125" s="8" t="str">
        <f t="shared" si="23"/>
        <v/>
      </c>
      <c r="V125" s="8" t="str">
        <f t="shared" si="24"/>
        <v/>
      </c>
      <c r="W125" s="58" t="str">
        <f t="shared" si="45"/>
        <v/>
      </c>
      <c r="X125" s="8" t="str">
        <f t="shared" si="34"/>
        <v/>
      </c>
      <c r="Y125" s="8" t="str">
        <f t="shared" si="46"/>
        <v/>
      </c>
      <c r="Z125" s="57" t="str">
        <f t="shared" si="47"/>
        <v/>
      </c>
    </row>
    <row r="126" spans="1:26" x14ac:dyDescent="0.3">
      <c r="A126" s="8"/>
      <c r="B126" s="70" t="str">
        <f>IFERROR(VLOOKUP('1-2-2 关键绩效'!$A126,'1-1 基本信息'!$A:$K,7,0),"")</f>
        <v/>
      </c>
      <c r="C126" s="8" t="str">
        <f>IFERROR(VLOOKUP($A126,'1-1 基本信息'!$A:$J,10,0),"")</f>
        <v/>
      </c>
      <c r="D126" s="8" t="str">
        <f>IFERROR(VLOOKUP(A126,'1-1 基本信息'!$A:$I,8,0),"")</f>
        <v/>
      </c>
      <c r="E126" s="57" t="str">
        <f>IFERROR(VLOOKUP($A126,'1-2-1 绩效数据'!$A:$C,3,0),"")</f>
        <v/>
      </c>
      <c r="F126" s="8" t="str">
        <f t="shared" si="38"/>
        <v>2</v>
      </c>
      <c r="G126" s="8" t="str">
        <f t="shared" si="19"/>
        <v/>
      </c>
      <c r="H126" s="8" t="str">
        <f t="shared" si="20"/>
        <v/>
      </c>
      <c r="I126" s="58" t="str">
        <f t="shared" si="39"/>
        <v/>
      </c>
      <c r="J126" s="8" t="str">
        <f t="shared" si="27"/>
        <v/>
      </c>
      <c r="K126" s="8" t="str">
        <f t="shared" si="40"/>
        <v/>
      </c>
      <c r="L126" s="57" t="str">
        <f>IFERROR(VLOOKUP($A126,'1-2-1 绩效数据'!$D:$F,3,0),"")</f>
        <v/>
      </c>
      <c r="M126" s="8" t="str">
        <f t="shared" si="41"/>
        <v>2</v>
      </c>
      <c r="N126" s="8" t="str">
        <f t="shared" si="21"/>
        <v/>
      </c>
      <c r="O126" s="8" t="str">
        <f t="shared" si="22"/>
        <v/>
      </c>
      <c r="P126" s="58" t="str">
        <f t="shared" si="42"/>
        <v/>
      </c>
      <c r="Q126" s="8" t="str">
        <f t="shared" si="30"/>
        <v/>
      </c>
      <c r="R126" s="8" t="str">
        <f t="shared" si="43"/>
        <v/>
      </c>
      <c r="S126" s="57" t="str">
        <f>IFERROR(VLOOKUP(A126,'1-2-1 绩效数据'!$G:$I,3,0),"")</f>
        <v/>
      </c>
      <c r="T126" s="8" t="str">
        <f t="shared" si="44"/>
        <v>2</v>
      </c>
      <c r="U126" s="8" t="str">
        <f t="shared" si="23"/>
        <v/>
      </c>
      <c r="V126" s="8" t="str">
        <f t="shared" si="24"/>
        <v/>
      </c>
      <c r="W126" s="58" t="str">
        <f t="shared" si="45"/>
        <v/>
      </c>
      <c r="X126" s="8" t="str">
        <f t="shared" si="34"/>
        <v/>
      </c>
      <c r="Y126" s="8" t="str">
        <f t="shared" si="46"/>
        <v/>
      </c>
      <c r="Z126" s="57" t="str">
        <f t="shared" si="47"/>
        <v/>
      </c>
    </row>
    <row r="127" spans="1:26" x14ac:dyDescent="0.3">
      <c r="A127" s="8"/>
      <c r="B127" s="70" t="str">
        <f>IFERROR(VLOOKUP('1-2-2 关键绩效'!$A127,'1-1 基本信息'!$A:$K,7,0),"")</f>
        <v/>
      </c>
      <c r="C127" s="8" t="str">
        <f>IFERROR(VLOOKUP($A127,'1-1 基本信息'!$A:$J,10,0),"")</f>
        <v/>
      </c>
      <c r="D127" s="8" t="str">
        <f>IFERROR(VLOOKUP(A127,'1-1 基本信息'!$A:$I,8,0),"")</f>
        <v/>
      </c>
      <c r="E127" s="57" t="str">
        <f>IFERROR(VLOOKUP($A127,'1-2-1 绩效数据'!$A:$C,3,0),"")</f>
        <v/>
      </c>
      <c r="F127" s="8" t="str">
        <f t="shared" si="38"/>
        <v>2</v>
      </c>
      <c r="G127" s="8" t="str">
        <f t="shared" si="19"/>
        <v/>
      </c>
      <c r="H127" s="8" t="str">
        <f t="shared" si="20"/>
        <v/>
      </c>
      <c r="I127" s="58" t="str">
        <f t="shared" si="39"/>
        <v/>
      </c>
      <c r="J127" s="8" t="str">
        <f t="shared" si="27"/>
        <v/>
      </c>
      <c r="K127" s="8" t="str">
        <f t="shared" si="40"/>
        <v/>
      </c>
      <c r="L127" s="57" t="str">
        <f>IFERROR(VLOOKUP($A127,'1-2-1 绩效数据'!$D:$F,3,0),"")</f>
        <v/>
      </c>
      <c r="M127" s="8" t="str">
        <f t="shared" si="41"/>
        <v>2</v>
      </c>
      <c r="N127" s="8" t="str">
        <f t="shared" si="21"/>
        <v/>
      </c>
      <c r="O127" s="8" t="str">
        <f t="shared" si="22"/>
        <v/>
      </c>
      <c r="P127" s="58" t="str">
        <f t="shared" si="42"/>
        <v/>
      </c>
      <c r="Q127" s="8" t="str">
        <f t="shared" si="30"/>
        <v/>
      </c>
      <c r="R127" s="8" t="str">
        <f t="shared" si="43"/>
        <v/>
      </c>
      <c r="S127" s="57" t="str">
        <f>IFERROR(VLOOKUP(A127,'1-2-1 绩效数据'!$G:$I,3,0),"")</f>
        <v/>
      </c>
      <c r="T127" s="8" t="str">
        <f t="shared" si="44"/>
        <v>2</v>
      </c>
      <c r="U127" s="8" t="str">
        <f t="shared" si="23"/>
        <v/>
      </c>
      <c r="V127" s="8" t="str">
        <f t="shared" si="24"/>
        <v/>
      </c>
      <c r="W127" s="58" t="str">
        <f t="shared" si="45"/>
        <v/>
      </c>
      <c r="X127" s="8" t="str">
        <f t="shared" si="34"/>
        <v/>
      </c>
      <c r="Y127" s="8" t="str">
        <f t="shared" si="46"/>
        <v/>
      </c>
      <c r="Z127" s="57" t="str">
        <f t="shared" si="47"/>
        <v/>
      </c>
    </row>
    <row r="128" spans="1:26" x14ac:dyDescent="0.3">
      <c r="A128" s="8"/>
      <c r="B128" s="70" t="str">
        <f>IFERROR(VLOOKUP('1-2-2 关键绩效'!$A128,'1-1 基本信息'!$A:$K,7,0),"")</f>
        <v/>
      </c>
      <c r="C128" s="8" t="str">
        <f>IFERROR(VLOOKUP($A128,'1-1 基本信息'!$A:$J,10,0),"")</f>
        <v/>
      </c>
      <c r="D128" s="8" t="str">
        <f>IFERROR(VLOOKUP(A128,'1-1 基本信息'!$A:$I,8,0),"")</f>
        <v/>
      </c>
      <c r="E128" s="57" t="str">
        <f>IFERROR(VLOOKUP($A128,'1-2-1 绩效数据'!$A:$C,3,0),"")</f>
        <v/>
      </c>
      <c r="F128" s="8" t="str">
        <f t="shared" si="38"/>
        <v>2</v>
      </c>
      <c r="G128" s="8" t="str">
        <f t="shared" si="19"/>
        <v/>
      </c>
      <c r="H128" s="8" t="str">
        <f t="shared" si="20"/>
        <v/>
      </c>
      <c r="I128" s="58" t="str">
        <f t="shared" si="39"/>
        <v/>
      </c>
      <c r="J128" s="8" t="str">
        <f t="shared" si="27"/>
        <v/>
      </c>
      <c r="K128" s="8" t="str">
        <f t="shared" si="40"/>
        <v/>
      </c>
      <c r="L128" s="57" t="str">
        <f>IFERROR(VLOOKUP($A128,'1-2-1 绩效数据'!$D:$F,3,0),"")</f>
        <v/>
      </c>
      <c r="M128" s="8" t="str">
        <f t="shared" si="41"/>
        <v>2</v>
      </c>
      <c r="N128" s="8" t="str">
        <f t="shared" si="21"/>
        <v/>
      </c>
      <c r="O128" s="8" t="str">
        <f t="shared" si="22"/>
        <v/>
      </c>
      <c r="P128" s="58" t="str">
        <f t="shared" si="42"/>
        <v/>
      </c>
      <c r="Q128" s="8" t="str">
        <f t="shared" si="30"/>
        <v/>
      </c>
      <c r="R128" s="8" t="str">
        <f t="shared" si="43"/>
        <v/>
      </c>
      <c r="S128" s="57" t="str">
        <f>IFERROR(VLOOKUP(A128,'1-2-1 绩效数据'!$G:$I,3,0),"")</f>
        <v/>
      </c>
      <c r="T128" s="8" t="str">
        <f t="shared" si="44"/>
        <v>2</v>
      </c>
      <c r="U128" s="8" t="str">
        <f t="shared" si="23"/>
        <v/>
      </c>
      <c r="V128" s="8" t="str">
        <f t="shared" si="24"/>
        <v/>
      </c>
      <c r="W128" s="58" t="str">
        <f t="shared" si="45"/>
        <v/>
      </c>
      <c r="X128" s="8" t="str">
        <f t="shared" si="34"/>
        <v/>
      </c>
      <c r="Y128" s="8" t="str">
        <f t="shared" si="46"/>
        <v/>
      </c>
      <c r="Z128" s="57" t="str">
        <f t="shared" si="47"/>
        <v/>
      </c>
    </row>
    <row r="129" spans="1:26" x14ac:dyDescent="0.3">
      <c r="A129" s="8"/>
      <c r="B129" s="70" t="str">
        <f>IFERROR(VLOOKUP('1-2-2 关键绩效'!$A129,'1-1 基本信息'!$A:$K,7,0),"")</f>
        <v/>
      </c>
      <c r="C129" s="8" t="str">
        <f>IFERROR(VLOOKUP($A129,'1-1 基本信息'!$A:$J,10,0),"")</f>
        <v/>
      </c>
      <c r="D129" s="8" t="str">
        <f>IFERROR(VLOOKUP(A129,'1-1 基本信息'!$A:$I,8,0),"")</f>
        <v/>
      </c>
      <c r="E129" s="57" t="str">
        <f>IFERROR(VLOOKUP($A129,'1-2-1 绩效数据'!$A:$C,3,0),"")</f>
        <v/>
      </c>
      <c r="F129" s="8" t="str">
        <f t="shared" si="38"/>
        <v>2</v>
      </c>
      <c r="G129" s="8" t="str">
        <f t="shared" si="19"/>
        <v/>
      </c>
      <c r="H129" s="8" t="str">
        <f t="shared" si="20"/>
        <v/>
      </c>
      <c r="I129" s="58" t="str">
        <f t="shared" si="39"/>
        <v/>
      </c>
      <c r="J129" s="8" t="str">
        <f t="shared" si="27"/>
        <v/>
      </c>
      <c r="K129" s="8" t="str">
        <f t="shared" si="40"/>
        <v/>
      </c>
      <c r="L129" s="57" t="str">
        <f>IFERROR(VLOOKUP($A129,'1-2-1 绩效数据'!$D:$F,3,0),"")</f>
        <v/>
      </c>
      <c r="M129" s="8" t="str">
        <f t="shared" si="41"/>
        <v>2</v>
      </c>
      <c r="N129" s="8" t="str">
        <f t="shared" si="21"/>
        <v/>
      </c>
      <c r="O129" s="8" t="str">
        <f t="shared" si="22"/>
        <v/>
      </c>
      <c r="P129" s="58" t="str">
        <f t="shared" si="42"/>
        <v/>
      </c>
      <c r="Q129" s="8" t="str">
        <f t="shared" si="30"/>
        <v/>
      </c>
      <c r="R129" s="8" t="str">
        <f t="shared" si="43"/>
        <v/>
      </c>
      <c r="S129" s="57" t="str">
        <f>IFERROR(VLOOKUP(A129,'1-2-1 绩效数据'!$G:$I,3,0),"")</f>
        <v/>
      </c>
      <c r="T129" s="8" t="str">
        <f t="shared" si="44"/>
        <v>2</v>
      </c>
      <c r="U129" s="8" t="str">
        <f t="shared" si="23"/>
        <v/>
      </c>
      <c r="V129" s="8" t="str">
        <f t="shared" si="24"/>
        <v/>
      </c>
      <c r="W129" s="58" t="str">
        <f t="shared" si="45"/>
        <v/>
      </c>
      <c r="X129" s="8" t="str">
        <f t="shared" si="34"/>
        <v/>
      </c>
      <c r="Y129" s="8" t="str">
        <f t="shared" si="46"/>
        <v/>
      </c>
      <c r="Z129" s="57" t="str">
        <f t="shared" si="47"/>
        <v/>
      </c>
    </row>
    <row r="130" spans="1:26" x14ac:dyDescent="0.3">
      <c r="A130" s="8"/>
      <c r="B130" s="70" t="str">
        <f>IFERROR(VLOOKUP('1-2-2 关键绩效'!$A130,'1-1 基本信息'!$A:$K,7,0),"")</f>
        <v/>
      </c>
      <c r="C130" s="8" t="str">
        <f>IFERROR(VLOOKUP($A130,'1-1 基本信息'!$A:$J,10,0),"")</f>
        <v/>
      </c>
      <c r="D130" s="8" t="str">
        <f>IFERROR(VLOOKUP(A130,'1-1 基本信息'!$A:$I,8,0),"")</f>
        <v/>
      </c>
      <c r="E130" s="57" t="str">
        <f>IFERROR(VLOOKUP($A130,'1-2-1 绩效数据'!$A:$C,3,0),"")</f>
        <v/>
      </c>
      <c r="F130" s="8" t="str">
        <f t="shared" si="38"/>
        <v>2</v>
      </c>
      <c r="G130" s="8" t="str">
        <f t="shared" si="19"/>
        <v/>
      </c>
      <c r="H130" s="8" t="str">
        <f t="shared" si="20"/>
        <v/>
      </c>
      <c r="I130" s="58" t="str">
        <f t="shared" si="39"/>
        <v/>
      </c>
      <c r="J130" s="8" t="str">
        <f t="shared" si="27"/>
        <v/>
      </c>
      <c r="K130" s="8" t="str">
        <f t="shared" si="40"/>
        <v/>
      </c>
      <c r="L130" s="57" t="str">
        <f>IFERROR(VLOOKUP($A130,'1-2-1 绩效数据'!$D:$F,3,0),"")</f>
        <v/>
      </c>
      <c r="M130" s="8" t="str">
        <f t="shared" si="41"/>
        <v>2</v>
      </c>
      <c r="N130" s="8" t="str">
        <f t="shared" si="21"/>
        <v/>
      </c>
      <c r="O130" s="8" t="str">
        <f t="shared" si="22"/>
        <v/>
      </c>
      <c r="P130" s="58" t="str">
        <f t="shared" si="42"/>
        <v/>
      </c>
      <c r="Q130" s="8" t="str">
        <f t="shared" si="30"/>
        <v/>
      </c>
      <c r="R130" s="8" t="str">
        <f t="shared" si="43"/>
        <v/>
      </c>
      <c r="S130" s="57" t="str">
        <f>IFERROR(VLOOKUP(A130,'1-2-1 绩效数据'!$G:$I,3,0),"")</f>
        <v/>
      </c>
      <c r="T130" s="8" t="str">
        <f t="shared" si="44"/>
        <v>2</v>
      </c>
      <c r="U130" s="8" t="str">
        <f t="shared" si="23"/>
        <v/>
      </c>
      <c r="V130" s="8" t="str">
        <f t="shared" si="24"/>
        <v/>
      </c>
      <c r="W130" s="58" t="str">
        <f t="shared" si="45"/>
        <v/>
      </c>
      <c r="X130" s="8" t="str">
        <f t="shared" si="34"/>
        <v/>
      </c>
      <c r="Y130" s="8" t="str">
        <f t="shared" si="46"/>
        <v/>
      </c>
      <c r="Z130" s="57" t="str">
        <f t="shared" si="47"/>
        <v/>
      </c>
    </row>
    <row r="131" spans="1:26" x14ac:dyDescent="0.3">
      <c r="A131" s="8"/>
      <c r="B131" s="70" t="str">
        <f>IFERROR(VLOOKUP('1-2-2 关键绩效'!$A131,'1-1 基本信息'!$A:$K,7,0),"")</f>
        <v/>
      </c>
      <c r="C131" s="8" t="str">
        <f>IFERROR(VLOOKUP($A131,'1-1 基本信息'!$A:$J,10,0),"")</f>
        <v/>
      </c>
      <c r="D131" s="8" t="str">
        <f>IFERROR(VLOOKUP(A131,'1-1 基本信息'!$A:$I,8,0),"")</f>
        <v/>
      </c>
      <c r="E131" s="57" t="str">
        <f>IFERROR(VLOOKUP($A131,'1-2-1 绩效数据'!$A:$C,3,0),"")</f>
        <v/>
      </c>
      <c r="F131" s="8" t="str">
        <f t="shared" si="38"/>
        <v>2</v>
      </c>
      <c r="G131" s="8" t="str">
        <f t="shared" ref="G131:G194" si="48">IF(E131&lt;&gt;"",COUNTIFS($C:$C,$C131,F:F,"1"),"")</f>
        <v/>
      </c>
      <c r="H131" s="8" t="str">
        <f t="shared" ref="H131:H194" si="49">IF(E131&lt;&gt;"",COUNTIFS($C:$C,$C131,E:E,"&gt;"&amp;E131)+1,"")</f>
        <v/>
      </c>
      <c r="I131" s="58" t="str">
        <f t="shared" si="39"/>
        <v/>
      </c>
      <c r="J131" s="8" t="str">
        <f t="shared" si="27"/>
        <v/>
      </c>
      <c r="K131" s="8" t="str">
        <f t="shared" si="40"/>
        <v/>
      </c>
      <c r="L131" s="57" t="str">
        <f>IFERROR(VLOOKUP($A131,'1-2-1 绩效数据'!$D:$F,3,0),"")</f>
        <v/>
      </c>
      <c r="M131" s="8" t="str">
        <f t="shared" si="41"/>
        <v>2</v>
      </c>
      <c r="N131" s="8" t="str">
        <f t="shared" ref="N131:N194" si="50">IF(L131&lt;&gt;"",COUNTIFS($C:$C,$C131,M:M,"1"),"")</f>
        <v/>
      </c>
      <c r="O131" s="8" t="str">
        <f t="shared" ref="O131:O194" si="51">IF(L131&lt;&gt;"",COUNTIFS($C:$C,$C131,L:L,"&gt;"&amp;L131)+1,"")</f>
        <v/>
      </c>
      <c r="P131" s="58" t="str">
        <f t="shared" si="42"/>
        <v/>
      </c>
      <c r="Q131" s="8" t="str">
        <f t="shared" si="30"/>
        <v/>
      </c>
      <c r="R131" s="8" t="str">
        <f t="shared" si="43"/>
        <v/>
      </c>
      <c r="S131" s="57" t="str">
        <f>IFERROR(VLOOKUP(A131,'1-2-1 绩效数据'!$G:$I,3,0),"")</f>
        <v/>
      </c>
      <c r="T131" s="8" t="str">
        <f t="shared" si="44"/>
        <v>2</v>
      </c>
      <c r="U131" s="8" t="str">
        <f t="shared" ref="U131:U194" si="52">IF(S131&lt;&gt;"",COUNTIFS($C:$C,$C131,T:T,"1"),"")</f>
        <v/>
      </c>
      <c r="V131" s="8" t="str">
        <f t="shared" ref="V131:V194" si="53">IF(S131&lt;&gt;"",COUNTIFS($C:$C,$C131,S:S,"&gt;"&amp;S131)+1,"")</f>
        <v/>
      </c>
      <c r="W131" s="58" t="str">
        <f t="shared" si="45"/>
        <v/>
      </c>
      <c r="X131" s="8" t="str">
        <f t="shared" si="34"/>
        <v/>
      </c>
      <c r="Y131" s="8" t="str">
        <f t="shared" si="46"/>
        <v/>
      </c>
      <c r="Z131" s="57" t="str">
        <f t="shared" si="47"/>
        <v/>
      </c>
    </row>
    <row r="132" spans="1:26" x14ac:dyDescent="0.3">
      <c r="A132" s="8"/>
      <c r="B132" s="70" t="str">
        <f>IFERROR(VLOOKUP('1-2-2 关键绩效'!$A132,'1-1 基本信息'!$A:$K,7,0),"")</f>
        <v/>
      </c>
      <c r="C132" s="8" t="str">
        <f>IFERROR(VLOOKUP($A132,'1-1 基本信息'!$A:$J,10,0),"")</f>
        <v/>
      </c>
      <c r="D132" s="8" t="str">
        <f>IFERROR(VLOOKUP(A132,'1-1 基本信息'!$A:$I,8,0),"")</f>
        <v/>
      </c>
      <c r="E132" s="57" t="str">
        <f>IFERROR(VLOOKUP($A132,'1-2-1 绩效数据'!$A:$C,3,0),"")</f>
        <v/>
      </c>
      <c r="F132" s="8" t="str">
        <f t="shared" si="38"/>
        <v>2</v>
      </c>
      <c r="G132" s="8" t="str">
        <f t="shared" si="48"/>
        <v/>
      </c>
      <c r="H132" s="8" t="str">
        <f t="shared" si="49"/>
        <v/>
      </c>
      <c r="I132" s="58" t="str">
        <f t="shared" si="39"/>
        <v/>
      </c>
      <c r="J132" s="8" t="str">
        <f t="shared" ref="J132:J195" si="54">IF(I132&lt;&gt;"",IF(G132&gt;=10,IF(I132&lt;=10%,1,IF(I132&lt;=20%,2,IF(I132&lt;=80%,3,IF(I132&lt;=90%,4,5)))),IF(G132=8,IF(I132=1,1,IF(I132=2,2,IF(I132=3,3,IF(I132=4,3,IF(I132=5,4,IF(I132=6,4,IF(I132=7,5,5))))))),IF(G132=7,IF(I132=1,1,IF(I132=2,2,IF(I132=3,3,IF(I132=4,4,IF(I132=5,4,IF(I132=6,5,5)))))),IF(G132=6,IF(I132=1,1,IF(I132=2,2,IF(I132=3,3,IF(I132=4,4,IF(I132=5,5,5))))),IF(G132=5,IF(I132=1,1,IF(I132=2,2,IF(I132=3,3,IF(I132=4,4,5)))),IF(G132=4,IF(I132=1,1,IF(I132=2,2,IF(I132=3,3,4))),IF(G132=3,IF(I132=1,1,IF(I132=2,2,3)),IF(G132=2,IF(I132=1,1,2),IF(G132=1,IF(I132=1,1,"")))))))))),"")</f>
        <v/>
      </c>
      <c r="K132" s="8" t="str">
        <f t="shared" si="40"/>
        <v/>
      </c>
      <c r="L132" s="57" t="str">
        <f>IFERROR(VLOOKUP($A132,'1-2-1 绩效数据'!$D:$F,3,0),"")</f>
        <v/>
      </c>
      <c r="M132" s="8" t="str">
        <f t="shared" si="41"/>
        <v>2</v>
      </c>
      <c r="N132" s="8" t="str">
        <f t="shared" si="50"/>
        <v/>
      </c>
      <c r="O132" s="8" t="str">
        <f t="shared" si="51"/>
        <v/>
      </c>
      <c r="P132" s="58" t="str">
        <f t="shared" si="42"/>
        <v/>
      </c>
      <c r="Q132" s="8" t="str">
        <f t="shared" ref="Q132:Q195" si="55">IF(P132&lt;&gt;"",IF(N132&gt;=10,IF(P132&lt;=10%,1,IF(P132&lt;=20%,2,IF(P132&lt;=80%,3,IF(P132&lt;=90%,4,5)))),IF(N132=8,IF(P132=1,1,IF(P132=2,2,IF(P132=3,3,IF(P132=4,3,IF(P132=5,4,IF(P132=6,4,IF(P132=7,5,5))))))),IF(N132=7,IF(P132=1,1,IF(P132=2,2,IF(P132=3,3,IF(P132=4,4,IF(P132=5,4,IF(P132=6,5,5)))))),IF(N132=6,IF(P132=1,1,IF(P132=2,2,IF(P132=3,3,IF(P132=4,4,IF(P132=5,5,5))))),IF(N132=5,IF(P132=1,1,IF(P132=2,2,IF(P132=3,3,IF(P132=4,4,5)))),IF(N132=4,IF(P132=1,1,IF(P132=2,2,IF(P132=3,3,4))),IF(N132=3,IF(P132=1,1,IF(P132=2,2,3)),IF(N132=2,IF(P132=1,1,2),IF(N132=1,IF(P132=1,1,"")))))))))),"")</f>
        <v/>
      </c>
      <c r="R132" s="8" t="str">
        <f t="shared" si="43"/>
        <v/>
      </c>
      <c r="S132" s="57" t="str">
        <f>IFERROR(VLOOKUP(A132,'1-2-1 绩效数据'!$G:$I,3,0),"")</f>
        <v/>
      </c>
      <c r="T132" s="8" t="str">
        <f t="shared" si="44"/>
        <v>2</v>
      </c>
      <c r="U132" s="8" t="str">
        <f t="shared" si="52"/>
        <v/>
      </c>
      <c r="V132" s="8" t="str">
        <f t="shared" si="53"/>
        <v/>
      </c>
      <c r="W132" s="58" t="str">
        <f t="shared" si="45"/>
        <v/>
      </c>
      <c r="X132" s="8" t="str">
        <f t="shared" ref="X132:X195" si="56">IF(W132&lt;&gt;"",IF(U132&gt;=10,IF(W132&lt;=10%,1,IF(W132&lt;=20%,2,IF(W132&lt;=80%,3,IF(W132&lt;=90%,4,5)))),IF(U132=8,IF(W132=1,1,IF(W132=2,2,IF(W132=3,3,IF(W132=4,3,IF(W132=5,4,IF(W132=6,4,IF(W132=7,5,5))))))),IF(U132=7,IF(W132=1,1,IF(W132=2,2,IF(W132=3,3,IF(W132=4,4,IF(W132=5,4,IF(W132=6,5,5)))))),IF(U132=6,IF(W132=1,1,IF(W132=2,2,IF(W132=3,3,IF(W132=4,4,IF(W132=5,5,5))))),IF(U132=5,IF(W132=1,1,IF(W132=2,2,IF(W132=3,3,IF(W132=4,4,5)))),IF(U132=4,IF(W132=1,1,IF(W132=2,2,IF(W132=3,3,4))),IF(U132=3,IF(W132=1,1,IF(W132=2,2,3)),IF(U132=2,IF(W132=1,1,2),IF(U132=1,IF(W132=1,1,"")))))))))),"")</f>
        <v/>
      </c>
      <c r="Y132" s="8" t="str">
        <f t="shared" si="46"/>
        <v/>
      </c>
      <c r="Z132" s="57" t="str">
        <f t="shared" si="47"/>
        <v/>
      </c>
    </row>
    <row r="133" spans="1:26" x14ac:dyDescent="0.3">
      <c r="A133" s="8"/>
      <c r="B133" s="70" t="str">
        <f>IFERROR(VLOOKUP('1-2-2 关键绩效'!$A133,'1-1 基本信息'!$A:$K,7,0),"")</f>
        <v/>
      </c>
      <c r="C133" s="8" t="str">
        <f>IFERROR(VLOOKUP($A133,'1-1 基本信息'!$A:$J,10,0),"")</f>
        <v/>
      </c>
      <c r="D133" s="8" t="str">
        <f>IFERROR(VLOOKUP(A133,'1-1 基本信息'!$A:$I,8,0),"")</f>
        <v/>
      </c>
      <c r="E133" s="57" t="str">
        <f>IFERROR(VLOOKUP($A133,'1-2-1 绩效数据'!$A:$C,3,0),"")</f>
        <v/>
      </c>
      <c r="F133" s="8" t="str">
        <f t="shared" si="38"/>
        <v>2</v>
      </c>
      <c r="G133" s="8" t="str">
        <f t="shared" si="48"/>
        <v/>
      </c>
      <c r="H133" s="8" t="str">
        <f t="shared" si="49"/>
        <v/>
      </c>
      <c r="I133" s="58" t="str">
        <f t="shared" si="39"/>
        <v/>
      </c>
      <c r="J133" s="8" t="str">
        <f t="shared" si="54"/>
        <v/>
      </c>
      <c r="K133" s="8" t="str">
        <f t="shared" si="40"/>
        <v/>
      </c>
      <c r="L133" s="57" t="str">
        <f>IFERROR(VLOOKUP($A133,'1-2-1 绩效数据'!$D:$F,3,0),"")</f>
        <v/>
      </c>
      <c r="M133" s="8" t="str">
        <f t="shared" si="41"/>
        <v>2</v>
      </c>
      <c r="N133" s="8" t="str">
        <f t="shared" si="50"/>
        <v/>
      </c>
      <c r="O133" s="8" t="str">
        <f t="shared" si="51"/>
        <v/>
      </c>
      <c r="P133" s="58" t="str">
        <f t="shared" si="42"/>
        <v/>
      </c>
      <c r="Q133" s="8" t="str">
        <f t="shared" si="55"/>
        <v/>
      </c>
      <c r="R133" s="8" t="str">
        <f t="shared" si="43"/>
        <v/>
      </c>
      <c r="S133" s="57" t="str">
        <f>IFERROR(VLOOKUP(A133,'1-2-1 绩效数据'!$G:$I,3,0),"")</f>
        <v/>
      </c>
      <c r="T133" s="8" t="str">
        <f t="shared" si="44"/>
        <v>2</v>
      </c>
      <c r="U133" s="8" t="str">
        <f t="shared" si="52"/>
        <v/>
      </c>
      <c r="V133" s="8" t="str">
        <f t="shared" si="53"/>
        <v/>
      </c>
      <c r="W133" s="58" t="str">
        <f t="shared" si="45"/>
        <v/>
      </c>
      <c r="X133" s="8" t="str">
        <f t="shared" si="56"/>
        <v/>
      </c>
      <c r="Y133" s="8" t="str">
        <f t="shared" si="46"/>
        <v/>
      </c>
      <c r="Z133" s="57" t="str">
        <f t="shared" si="47"/>
        <v/>
      </c>
    </row>
    <row r="134" spans="1:26" x14ac:dyDescent="0.3">
      <c r="A134" s="8"/>
      <c r="B134" s="70" t="str">
        <f>IFERROR(VLOOKUP('1-2-2 关键绩效'!$A134,'1-1 基本信息'!$A:$K,7,0),"")</f>
        <v/>
      </c>
      <c r="C134" s="8" t="str">
        <f>IFERROR(VLOOKUP($A134,'1-1 基本信息'!$A:$J,10,0),"")</f>
        <v/>
      </c>
      <c r="D134" s="8" t="str">
        <f>IFERROR(VLOOKUP(A134,'1-1 基本信息'!$A:$I,8,0),"")</f>
        <v/>
      </c>
      <c r="E134" s="57" t="str">
        <f>IFERROR(VLOOKUP($A134,'1-2-1 绩效数据'!$A:$C,3,0),"")</f>
        <v/>
      </c>
      <c r="F134" s="8" t="str">
        <f t="shared" ref="F134:F197" si="57">IF(E134&lt;&gt;"","1","2")</f>
        <v>2</v>
      </c>
      <c r="G134" s="8" t="str">
        <f t="shared" si="48"/>
        <v/>
      </c>
      <c r="H134" s="8" t="str">
        <f t="shared" si="49"/>
        <v/>
      </c>
      <c r="I134" s="58" t="str">
        <f t="shared" ref="I134:I197" si="58">IFERROR(H134/G134,"")</f>
        <v/>
      </c>
      <c r="J134" s="8" t="str">
        <f t="shared" si="54"/>
        <v/>
      </c>
      <c r="K134" s="8" t="str">
        <f t="shared" ref="K134:K197" si="59">IF(J134&lt;&gt;"",IF(J134=1,100,IF(J134=2,90,IF(J134=3,80,IF(J134=4,70,IF(J134=5,60))))),"")</f>
        <v/>
      </c>
      <c r="L134" s="57" t="str">
        <f>IFERROR(VLOOKUP($A134,'1-2-1 绩效数据'!$D:$F,3,0),"")</f>
        <v/>
      </c>
      <c r="M134" s="8" t="str">
        <f t="shared" si="41"/>
        <v>2</v>
      </c>
      <c r="N134" s="8" t="str">
        <f t="shared" si="50"/>
        <v/>
      </c>
      <c r="O134" s="8" t="str">
        <f t="shared" si="51"/>
        <v/>
      </c>
      <c r="P134" s="58" t="str">
        <f t="shared" ref="P134:P197" si="60">IFERROR(O134/N134,"")</f>
        <v/>
      </c>
      <c r="Q134" s="8" t="str">
        <f t="shared" si="55"/>
        <v/>
      </c>
      <c r="R134" s="8" t="str">
        <f t="shared" ref="R134:R197" si="61">IF(Q134&lt;&gt;"",IF(Q134=1,100,IF(Q134=2,90,IF(Q134=3,80,IF(Q134=4,70,IF(Q134=5,60))))),"")</f>
        <v/>
      </c>
      <c r="S134" s="57" t="str">
        <f>IFERROR(VLOOKUP(A134,'1-2-1 绩效数据'!$G:$I,3,0),"")</f>
        <v/>
      </c>
      <c r="T134" s="8" t="str">
        <f t="shared" ref="T134:T197" si="62">IF(S134&lt;&gt;"","1","2")</f>
        <v>2</v>
      </c>
      <c r="U134" s="8" t="str">
        <f t="shared" si="52"/>
        <v/>
      </c>
      <c r="V134" s="8" t="str">
        <f t="shared" si="53"/>
        <v/>
      </c>
      <c r="W134" s="58" t="str">
        <f t="shared" ref="W134:W197" si="63">IFERROR(V134/U134,"")</f>
        <v/>
      </c>
      <c r="X134" s="8" t="str">
        <f t="shared" si="56"/>
        <v/>
      </c>
      <c r="Y134" s="8" t="str">
        <f t="shared" ref="Y134:Y197" si="64">IF(X134&lt;&gt;"",IF(X134=1,100,IF(X134=2,90,IF(X134=3,80,IF(X134=4,70,IF(X134=5,60))))),"")</f>
        <v/>
      </c>
      <c r="Z134" s="57" t="str">
        <f t="shared" ref="Z134:Z197" si="65">IFERROR(AVERAGE(K134,R134,Y134),"")</f>
        <v/>
      </c>
    </row>
    <row r="135" spans="1:26" x14ac:dyDescent="0.3">
      <c r="A135" s="8"/>
      <c r="B135" s="70" t="str">
        <f>IFERROR(VLOOKUP('1-2-2 关键绩效'!$A135,'1-1 基本信息'!$A:$K,7,0),"")</f>
        <v/>
      </c>
      <c r="C135" s="8" t="str">
        <f>IFERROR(VLOOKUP($A135,'1-1 基本信息'!$A:$J,10,0),"")</f>
        <v/>
      </c>
      <c r="D135" s="8" t="str">
        <f>IFERROR(VLOOKUP(A135,'1-1 基本信息'!$A:$I,8,0),"")</f>
        <v/>
      </c>
      <c r="E135" s="57" t="str">
        <f>IFERROR(VLOOKUP($A135,'1-2-1 绩效数据'!$A:$C,3,0),"")</f>
        <v/>
      </c>
      <c r="F135" s="8" t="str">
        <f t="shared" si="57"/>
        <v>2</v>
      </c>
      <c r="G135" s="8" t="str">
        <f t="shared" si="48"/>
        <v/>
      </c>
      <c r="H135" s="8" t="str">
        <f t="shared" si="49"/>
        <v/>
      </c>
      <c r="I135" s="58" t="str">
        <f t="shared" si="58"/>
        <v/>
      </c>
      <c r="J135" s="8" t="str">
        <f t="shared" si="54"/>
        <v/>
      </c>
      <c r="K135" s="8" t="str">
        <f t="shared" si="59"/>
        <v/>
      </c>
      <c r="L135" s="57" t="str">
        <f>IFERROR(VLOOKUP($A135,'1-2-1 绩效数据'!$D:$F,3,0),"")</f>
        <v/>
      </c>
      <c r="M135" s="8" t="str">
        <f t="shared" ref="M135:M198" si="66">IF($L135&lt;&gt;"","1","2")</f>
        <v>2</v>
      </c>
      <c r="N135" s="8" t="str">
        <f t="shared" si="50"/>
        <v/>
      </c>
      <c r="O135" s="8" t="str">
        <f t="shared" si="51"/>
        <v/>
      </c>
      <c r="P135" s="58" t="str">
        <f t="shared" si="60"/>
        <v/>
      </c>
      <c r="Q135" s="8" t="str">
        <f t="shared" si="55"/>
        <v/>
      </c>
      <c r="R135" s="8" t="str">
        <f t="shared" si="61"/>
        <v/>
      </c>
      <c r="S135" s="57" t="str">
        <f>IFERROR(VLOOKUP(A135,'1-2-1 绩效数据'!$G:$I,3,0),"")</f>
        <v/>
      </c>
      <c r="T135" s="8" t="str">
        <f t="shared" si="62"/>
        <v>2</v>
      </c>
      <c r="U135" s="8" t="str">
        <f t="shared" si="52"/>
        <v/>
      </c>
      <c r="V135" s="8" t="str">
        <f t="shared" si="53"/>
        <v/>
      </c>
      <c r="W135" s="58" t="str">
        <f t="shared" si="63"/>
        <v/>
      </c>
      <c r="X135" s="8" t="str">
        <f t="shared" si="56"/>
        <v/>
      </c>
      <c r="Y135" s="8" t="str">
        <f t="shared" si="64"/>
        <v/>
      </c>
      <c r="Z135" s="57" t="str">
        <f t="shared" si="65"/>
        <v/>
      </c>
    </row>
    <row r="136" spans="1:26" x14ac:dyDescent="0.3">
      <c r="A136" s="8"/>
      <c r="B136" s="70" t="str">
        <f>IFERROR(VLOOKUP('1-2-2 关键绩效'!$A136,'1-1 基本信息'!$A:$K,7,0),"")</f>
        <v/>
      </c>
      <c r="C136" s="8" t="str">
        <f>IFERROR(VLOOKUP($A136,'1-1 基本信息'!$A:$J,10,0),"")</f>
        <v/>
      </c>
      <c r="D136" s="8" t="str">
        <f>IFERROR(VLOOKUP(A136,'1-1 基本信息'!$A:$I,8,0),"")</f>
        <v/>
      </c>
      <c r="E136" s="57" t="str">
        <f>IFERROR(VLOOKUP($A136,'1-2-1 绩效数据'!$A:$C,3,0),"")</f>
        <v/>
      </c>
      <c r="F136" s="8" t="str">
        <f t="shared" si="57"/>
        <v>2</v>
      </c>
      <c r="G136" s="8" t="str">
        <f t="shared" si="48"/>
        <v/>
      </c>
      <c r="H136" s="8" t="str">
        <f t="shared" si="49"/>
        <v/>
      </c>
      <c r="I136" s="58" t="str">
        <f t="shared" si="58"/>
        <v/>
      </c>
      <c r="J136" s="8" t="str">
        <f t="shared" si="54"/>
        <v/>
      </c>
      <c r="K136" s="8" t="str">
        <f t="shared" si="59"/>
        <v/>
      </c>
      <c r="L136" s="57" t="str">
        <f>IFERROR(VLOOKUP($A136,'1-2-1 绩效数据'!$D:$F,3,0),"")</f>
        <v/>
      </c>
      <c r="M136" s="8" t="str">
        <f t="shared" si="66"/>
        <v>2</v>
      </c>
      <c r="N136" s="8" t="str">
        <f t="shared" si="50"/>
        <v/>
      </c>
      <c r="O136" s="8" t="str">
        <f t="shared" si="51"/>
        <v/>
      </c>
      <c r="P136" s="58" t="str">
        <f t="shared" si="60"/>
        <v/>
      </c>
      <c r="Q136" s="8" t="str">
        <f t="shared" si="55"/>
        <v/>
      </c>
      <c r="R136" s="8" t="str">
        <f t="shared" si="61"/>
        <v/>
      </c>
      <c r="S136" s="57" t="str">
        <f>IFERROR(VLOOKUP(A136,'1-2-1 绩效数据'!$G:$I,3,0),"")</f>
        <v/>
      </c>
      <c r="T136" s="8" t="str">
        <f t="shared" si="62"/>
        <v>2</v>
      </c>
      <c r="U136" s="8" t="str">
        <f t="shared" si="52"/>
        <v/>
      </c>
      <c r="V136" s="8" t="str">
        <f t="shared" si="53"/>
        <v/>
      </c>
      <c r="W136" s="58" t="str">
        <f t="shared" si="63"/>
        <v/>
      </c>
      <c r="X136" s="8" t="str">
        <f t="shared" si="56"/>
        <v/>
      </c>
      <c r="Y136" s="8" t="str">
        <f t="shared" si="64"/>
        <v/>
      </c>
      <c r="Z136" s="57" t="str">
        <f t="shared" si="65"/>
        <v/>
      </c>
    </row>
    <row r="137" spans="1:26" x14ac:dyDescent="0.3">
      <c r="A137" s="8"/>
      <c r="B137" s="70" t="str">
        <f>IFERROR(VLOOKUP('1-2-2 关键绩效'!$A137,'1-1 基本信息'!$A:$K,7,0),"")</f>
        <v/>
      </c>
      <c r="C137" s="8" t="str">
        <f>IFERROR(VLOOKUP($A137,'1-1 基本信息'!$A:$J,10,0),"")</f>
        <v/>
      </c>
      <c r="D137" s="8" t="str">
        <f>IFERROR(VLOOKUP(A137,'1-1 基本信息'!$A:$I,8,0),"")</f>
        <v/>
      </c>
      <c r="E137" s="57" t="str">
        <f>IFERROR(VLOOKUP($A137,'1-2-1 绩效数据'!$A:$C,3,0),"")</f>
        <v/>
      </c>
      <c r="F137" s="8" t="str">
        <f t="shared" si="57"/>
        <v>2</v>
      </c>
      <c r="G137" s="8" t="str">
        <f t="shared" si="48"/>
        <v/>
      </c>
      <c r="H137" s="8" t="str">
        <f t="shared" si="49"/>
        <v/>
      </c>
      <c r="I137" s="58" t="str">
        <f t="shared" si="58"/>
        <v/>
      </c>
      <c r="J137" s="8" t="str">
        <f t="shared" si="54"/>
        <v/>
      </c>
      <c r="K137" s="8" t="str">
        <f t="shared" si="59"/>
        <v/>
      </c>
      <c r="L137" s="57" t="str">
        <f>IFERROR(VLOOKUP($A137,'1-2-1 绩效数据'!$D:$F,3,0),"")</f>
        <v/>
      </c>
      <c r="M137" s="8" t="str">
        <f t="shared" si="66"/>
        <v>2</v>
      </c>
      <c r="N137" s="8" t="str">
        <f t="shared" si="50"/>
        <v/>
      </c>
      <c r="O137" s="8" t="str">
        <f t="shared" si="51"/>
        <v/>
      </c>
      <c r="P137" s="58" t="str">
        <f t="shared" si="60"/>
        <v/>
      </c>
      <c r="Q137" s="8" t="str">
        <f t="shared" si="55"/>
        <v/>
      </c>
      <c r="R137" s="8" t="str">
        <f t="shared" si="61"/>
        <v/>
      </c>
      <c r="S137" s="57" t="str">
        <f>IFERROR(VLOOKUP(A137,'1-2-1 绩效数据'!$G:$I,3,0),"")</f>
        <v/>
      </c>
      <c r="T137" s="8" t="str">
        <f t="shared" si="62"/>
        <v>2</v>
      </c>
      <c r="U137" s="8" t="str">
        <f t="shared" si="52"/>
        <v/>
      </c>
      <c r="V137" s="8" t="str">
        <f t="shared" si="53"/>
        <v/>
      </c>
      <c r="W137" s="58" t="str">
        <f t="shared" si="63"/>
        <v/>
      </c>
      <c r="X137" s="8" t="str">
        <f t="shared" si="56"/>
        <v/>
      </c>
      <c r="Y137" s="8" t="str">
        <f t="shared" si="64"/>
        <v/>
      </c>
      <c r="Z137" s="57" t="str">
        <f t="shared" si="65"/>
        <v/>
      </c>
    </row>
    <row r="138" spans="1:26" x14ac:dyDescent="0.3">
      <c r="A138" s="8"/>
      <c r="B138" s="70" t="str">
        <f>IFERROR(VLOOKUP('1-2-2 关键绩效'!$A138,'1-1 基本信息'!$A:$K,7,0),"")</f>
        <v/>
      </c>
      <c r="C138" s="8" t="str">
        <f>IFERROR(VLOOKUP($A138,'1-1 基本信息'!$A:$J,10,0),"")</f>
        <v/>
      </c>
      <c r="D138" s="8" t="str">
        <f>IFERROR(VLOOKUP(A138,'1-1 基本信息'!$A:$I,8,0),"")</f>
        <v/>
      </c>
      <c r="E138" s="57" t="str">
        <f>IFERROR(VLOOKUP($A138,'1-2-1 绩效数据'!$A:$C,3,0),"")</f>
        <v/>
      </c>
      <c r="F138" s="8" t="str">
        <f t="shared" si="57"/>
        <v>2</v>
      </c>
      <c r="G138" s="8" t="str">
        <f t="shared" si="48"/>
        <v/>
      </c>
      <c r="H138" s="8" t="str">
        <f t="shared" si="49"/>
        <v/>
      </c>
      <c r="I138" s="58" t="str">
        <f t="shared" si="58"/>
        <v/>
      </c>
      <c r="J138" s="8" t="str">
        <f t="shared" si="54"/>
        <v/>
      </c>
      <c r="K138" s="8" t="str">
        <f t="shared" si="59"/>
        <v/>
      </c>
      <c r="L138" s="57" t="str">
        <f>IFERROR(VLOOKUP($A138,'1-2-1 绩效数据'!$D:$F,3,0),"")</f>
        <v/>
      </c>
      <c r="M138" s="8" t="str">
        <f t="shared" si="66"/>
        <v>2</v>
      </c>
      <c r="N138" s="8" t="str">
        <f t="shared" si="50"/>
        <v/>
      </c>
      <c r="O138" s="8" t="str">
        <f t="shared" si="51"/>
        <v/>
      </c>
      <c r="P138" s="58" t="str">
        <f t="shared" si="60"/>
        <v/>
      </c>
      <c r="Q138" s="8" t="str">
        <f t="shared" si="55"/>
        <v/>
      </c>
      <c r="R138" s="8" t="str">
        <f t="shared" si="61"/>
        <v/>
      </c>
      <c r="S138" s="57" t="str">
        <f>IFERROR(VLOOKUP(A138,'1-2-1 绩效数据'!$G:$I,3,0),"")</f>
        <v/>
      </c>
      <c r="T138" s="8" t="str">
        <f t="shared" si="62"/>
        <v>2</v>
      </c>
      <c r="U138" s="8" t="str">
        <f t="shared" si="52"/>
        <v/>
      </c>
      <c r="V138" s="8" t="str">
        <f t="shared" si="53"/>
        <v/>
      </c>
      <c r="W138" s="58" t="str">
        <f t="shared" si="63"/>
        <v/>
      </c>
      <c r="X138" s="8" t="str">
        <f t="shared" si="56"/>
        <v/>
      </c>
      <c r="Y138" s="8" t="str">
        <f t="shared" si="64"/>
        <v/>
      </c>
      <c r="Z138" s="57" t="str">
        <f t="shared" si="65"/>
        <v/>
      </c>
    </row>
    <row r="139" spans="1:26" x14ac:dyDescent="0.3">
      <c r="A139" s="8"/>
      <c r="B139" s="70" t="str">
        <f>IFERROR(VLOOKUP('1-2-2 关键绩效'!$A139,'1-1 基本信息'!$A:$K,7,0),"")</f>
        <v/>
      </c>
      <c r="C139" s="8" t="str">
        <f>IFERROR(VLOOKUP($A139,'1-1 基本信息'!$A:$J,10,0),"")</f>
        <v/>
      </c>
      <c r="D139" s="8" t="str">
        <f>IFERROR(VLOOKUP(A139,'1-1 基本信息'!$A:$I,8,0),"")</f>
        <v/>
      </c>
      <c r="E139" s="57" t="str">
        <f>IFERROR(VLOOKUP($A139,'1-2-1 绩效数据'!$A:$C,3,0),"")</f>
        <v/>
      </c>
      <c r="F139" s="8" t="str">
        <f t="shared" si="57"/>
        <v>2</v>
      </c>
      <c r="G139" s="8" t="str">
        <f t="shared" si="48"/>
        <v/>
      </c>
      <c r="H139" s="8" t="str">
        <f t="shared" si="49"/>
        <v/>
      </c>
      <c r="I139" s="58" t="str">
        <f t="shared" si="58"/>
        <v/>
      </c>
      <c r="J139" s="8" t="str">
        <f t="shared" si="54"/>
        <v/>
      </c>
      <c r="K139" s="8" t="str">
        <f t="shared" si="59"/>
        <v/>
      </c>
      <c r="L139" s="57" t="str">
        <f>IFERROR(VLOOKUP($A139,'1-2-1 绩效数据'!$D:$F,3,0),"")</f>
        <v/>
      </c>
      <c r="M139" s="8" t="str">
        <f t="shared" si="66"/>
        <v>2</v>
      </c>
      <c r="N139" s="8" t="str">
        <f t="shared" si="50"/>
        <v/>
      </c>
      <c r="O139" s="8" t="str">
        <f t="shared" si="51"/>
        <v/>
      </c>
      <c r="P139" s="58" t="str">
        <f t="shared" si="60"/>
        <v/>
      </c>
      <c r="Q139" s="8" t="str">
        <f t="shared" si="55"/>
        <v/>
      </c>
      <c r="R139" s="8" t="str">
        <f t="shared" si="61"/>
        <v/>
      </c>
      <c r="S139" s="57" t="str">
        <f>IFERROR(VLOOKUP(A139,'1-2-1 绩效数据'!$G:$I,3,0),"")</f>
        <v/>
      </c>
      <c r="T139" s="8" t="str">
        <f t="shared" si="62"/>
        <v>2</v>
      </c>
      <c r="U139" s="8" t="str">
        <f t="shared" si="52"/>
        <v/>
      </c>
      <c r="V139" s="8" t="str">
        <f t="shared" si="53"/>
        <v/>
      </c>
      <c r="W139" s="58" t="str">
        <f t="shared" si="63"/>
        <v/>
      </c>
      <c r="X139" s="8" t="str">
        <f t="shared" si="56"/>
        <v/>
      </c>
      <c r="Y139" s="8" t="str">
        <f t="shared" si="64"/>
        <v/>
      </c>
      <c r="Z139" s="57" t="str">
        <f t="shared" si="65"/>
        <v/>
      </c>
    </row>
    <row r="140" spans="1:26" x14ac:dyDescent="0.3">
      <c r="A140" s="8"/>
      <c r="B140" s="70" t="str">
        <f>IFERROR(VLOOKUP('1-2-2 关键绩效'!$A140,'1-1 基本信息'!$A:$K,7,0),"")</f>
        <v/>
      </c>
      <c r="C140" s="8" t="str">
        <f>IFERROR(VLOOKUP($A140,'1-1 基本信息'!$A:$J,10,0),"")</f>
        <v/>
      </c>
      <c r="D140" s="8" t="str">
        <f>IFERROR(VLOOKUP(A140,'1-1 基本信息'!$A:$I,8,0),"")</f>
        <v/>
      </c>
      <c r="E140" s="57" t="str">
        <f>IFERROR(VLOOKUP($A140,'1-2-1 绩效数据'!$A:$C,3,0),"")</f>
        <v/>
      </c>
      <c r="F140" s="8" t="str">
        <f t="shared" si="57"/>
        <v>2</v>
      </c>
      <c r="G140" s="8" t="str">
        <f t="shared" si="48"/>
        <v/>
      </c>
      <c r="H140" s="8" t="str">
        <f t="shared" si="49"/>
        <v/>
      </c>
      <c r="I140" s="58" t="str">
        <f t="shared" si="58"/>
        <v/>
      </c>
      <c r="J140" s="8" t="str">
        <f t="shared" si="54"/>
        <v/>
      </c>
      <c r="K140" s="8" t="str">
        <f t="shared" si="59"/>
        <v/>
      </c>
      <c r="L140" s="57" t="str">
        <f>IFERROR(VLOOKUP($A140,'1-2-1 绩效数据'!$D:$F,3,0),"")</f>
        <v/>
      </c>
      <c r="M140" s="8" t="str">
        <f t="shared" si="66"/>
        <v>2</v>
      </c>
      <c r="N140" s="8" t="str">
        <f t="shared" si="50"/>
        <v/>
      </c>
      <c r="O140" s="8" t="str">
        <f t="shared" si="51"/>
        <v/>
      </c>
      <c r="P140" s="58" t="str">
        <f t="shared" si="60"/>
        <v/>
      </c>
      <c r="Q140" s="8" t="str">
        <f t="shared" si="55"/>
        <v/>
      </c>
      <c r="R140" s="8" t="str">
        <f t="shared" si="61"/>
        <v/>
      </c>
      <c r="S140" s="57" t="str">
        <f>IFERROR(VLOOKUP(A140,'1-2-1 绩效数据'!$G:$I,3,0),"")</f>
        <v/>
      </c>
      <c r="T140" s="8" t="str">
        <f t="shared" si="62"/>
        <v>2</v>
      </c>
      <c r="U140" s="8" t="str">
        <f t="shared" si="52"/>
        <v/>
      </c>
      <c r="V140" s="8" t="str">
        <f t="shared" si="53"/>
        <v/>
      </c>
      <c r="W140" s="58" t="str">
        <f t="shared" si="63"/>
        <v/>
      </c>
      <c r="X140" s="8" t="str">
        <f t="shared" si="56"/>
        <v/>
      </c>
      <c r="Y140" s="8" t="str">
        <f t="shared" si="64"/>
        <v/>
      </c>
      <c r="Z140" s="57" t="str">
        <f t="shared" si="65"/>
        <v/>
      </c>
    </row>
    <row r="141" spans="1:26" x14ac:dyDescent="0.3">
      <c r="A141" s="8"/>
      <c r="B141" s="70" t="str">
        <f>IFERROR(VLOOKUP('1-2-2 关键绩效'!$A141,'1-1 基本信息'!$A:$K,7,0),"")</f>
        <v/>
      </c>
      <c r="C141" s="8" t="str">
        <f>IFERROR(VLOOKUP($A141,'1-1 基本信息'!$A:$J,10,0),"")</f>
        <v/>
      </c>
      <c r="D141" s="8" t="str">
        <f>IFERROR(VLOOKUP(A141,'1-1 基本信息'!$A:$I,8,0),"")</f>
        <v/>
      </c>
      <c r="E141" s="57" t="str">
        <f>IFERROR(VLOOKUP($A141,'1-2-1 绩效数据'!$A:$C,3,0),"")</f>
        <v/>
      </c>
      <c r="F141" s="8" t="str">
        <f t="shared" si="57"/>
        <v>2</v>
      </c>
      <c r="G141" s="8" t="str">
        <f t="shared" si="48"/>
        <v/>
      </c>
      <c r="H141" s="8" t="str">
        <f t="shared" si="49"/>
        <v/>
      </c>
      <c r="I141" s="58" t="str">
        <f t="shared" si="58"/>
        <v/>
      </c>
      <c r="J141" s="8" t="str">
        <f t="shared" si="54"/>
        <v/>
      </c>
      <c r="K141" s="8" t="str">
        <f t="shared" si="59"/>
        <v/>
      </c>
      <c r="L141" s="57" t="str">
        <f>IFERROR(VLOOKUP($A141,'1-2-1 绩效数据'!$D:$F,3,0),"")</f>
        <v/>
      </c>
      <c r="M141" s="8" t="str">
        <f t="shared" si="66"/>
        <v>2</v>
      </c>
      <c r="N141" s="8" t="str">
        <f t="shared" si="50"/>
        <v/>
      </c>
      <c r="O141" s="8" t="str">
        <f t="shared" si="51"/>
        <v/>
      </c>
      <c r="P141" s="58" t="str">
        <f t="shared" si="60"/>
        <v/>
      </c>
      <c r="Q141" s="8" t="str">
        <f t="shared" si="55"/>
        <v/>
      </c>
      <c r="R141" s="8" t="str">
        <f t="shared" si="61"/>
        <v/>
      </c>
      <c r="S141" s="57" t="str">
        <f>IFERROR(VLOOKUP(A141,'1-2-1 绩效数据'!$G:$I,3,0),"")</f>
        <v/>
      </c>
      <c r="T141" s="8" t="str">
        <f t="shared" si="62"/>
        <v>2</v>
      </c>
      <c r="U141" s="8" t="str">
        <f t="shared" si="52"/>
        <v/>
      </c>
      <c r="V141" s="8" t="str">
        <f t="shared" si="53"/>
        <v/>
      </c>
      <c r="W141" s="58" t="str">
        <f t="shared" si="63"/>
        <v/>
      </c>
      <c r="X141" s="8" t="str">
        <f t="shared" si="56"/>
        <v/>
      </c>
      <c r="Y141" s="8" t="str">
        <f t="shared" si="64"/>
        <v/>
      </c>
      <c r="Z141" s="57" t="str">
        <f t="shared" si="65"/>
        <v/>
      </c>
    </row>
    <row r="142" spans="1:26" x14ac:dyDescent="0.3">
      <c r="A142" s="8"/>
      <c r="B142" s="70" t="str">
        <f>IFERROR(VLOOKUP('1-2-2 关键绩效'!$A142,'1-1 基本信息'!$A:$K,7,0),"")</f>
        <v/>
      </c>
      <c r="C142" s="8" t="str">
        <f>IFERROR(VLOOKUP($A142,'1-1 基本信息'!$A:$J,10,0),"")</f>
        <v/>
      </c>
      <c r="D142" s="8" t="str">
        <f>IFERROR(VLOOKUP(A142,'1-1 基本信息'!$A:$I,8,0),"")</f>
        <v/>
      </c>
      <c r="E142" s="57" t="str">
        <f>IFERROR(VLOOKUP($A142,'1-2-1 绩效数据'!$A:$C,3,0),"")</f>
        <v/>
      </c>
      <c r="F142" s="8" t="str">
        <f t="shared" si="57"/>
        <v>2</v>
      </c>
      <c r="G142" s="8" t="str">
        <f t="shared" si="48"/>
        <v/>
      </c>
      <c r="H142" s="8" t="str">
        <f t="shared" si="49"/>
        <v/>
      </c>
      <c r="I142" s="58" t="str">
        <f t="shared" si="58"/>
        <v/>
      </c>
      <c r="J142" s="8" t="str">
        <f t="shared" si="54"/>
        <v/>
      </c>
      <c r="K142" s="8" t="str">
        <f t="shared" si="59"/>
        <v/>
      </c>
      <c r="L142" s="57" t="str">
        <f>IFERROR(VLOOKUP($A142,'1-2-1 绩效数据'!$D:$F,3,0),"")</f>
        <v/>
      </c>
      <c r="M142" s="8" t="str">
        <f t="shared" si="66"/>
        <v>2</v>
      </c>
      <c r="N142" s="8" t="str">
        <f t="shared" si="50"/>
        <v/>
      </c>
      <c r="O142" s="8" t="str">
        <f t="shared" si="51"/>
        <v/>
      </c>
      <c r="P142" s="58" t="str">
        <f t="shared" si="60"/>
        <v/>
      </c>
      <c r="Q142" s="8" t="str">
        <f t="shared" si="55"/>
        <v/>
      </c>
      <c r="R142" s="8" t="str">
        <f t="shared" si="61"/>
        <v/>
      </c>
      <c r="S142" s="57" t="str">
        <f>IFERROR(VLOOKUP(A142,'1-2-1 绩效数据'!$G:$I,3,0),"")</f>
        <v/>
      </c>
      <c r="T142" s="8" t="str">
        <f t="shared" si="62"/>
        <v>2</v>
      </c>
      <c r="U142" s="8" t="str">
        <f t="shared" si="52"/>
        <v/>
      </c>
      <c r="V142" s="8" t="str">
        <f t="shared" si="53"/>
        <v/>
      </c>
      <c r="W142" s="58" t="str">
        <f t="shared" si="63"/>
        <v/>
      </c>
      <c r="X142" s="8" t="str">
        <f t="shared" si="56"/>
        <v/>
      </c>
      <c r="Y142" s="8" t="str">
        <f t="shared" si="64"/>
        <v/>
      </c>
      <c r="Z142" s="57" t="str">
        <f t="shared" si="65"/>
        <v/>
      </c>
    </row>
    <row r="143" spans="1:26" x14ac:dyDescent="0.3">
      <c r="A143" s="8"/>
      <c r="B143" s="70" t="str">
        <f>IFERROR(VLOOKUP('1-2-2 关键绩效'!$A143,'1-1 基本信息'!$A:$K,7,0),"")</f>
        <v/>
      </c>
      <c r="C143" s="8" t="str">
        <f>IFERROR(VLOOKUP($A143,'1-1 基本信息'!$A:$J,10,0),"")</f>
        <v/>
      </c>
      <c r="D143" s="8" t="str">
        <f>IFERROR(VLOOKUP(A143,'1-1 基本信息'!$A:$I,8,0),"")</f>
        <v/>
      </c>
      <c r="E143" s="57" t="str">
        <f>IFERROR(VLOOKUP($A143,'1-2-1 绩效数据'!$A:$C,3,0),"")</f>
        <v/>
      </c>
      <c r="F143" s="8" t="str">
        <f t="shared" si="57"/>
        <v>2</v>
      </c>
      <c r="G143" s="8" t="str">
        <f t="shared" si="48"/>
        <v/>
      </c>
      <c r="H143" s="8" t="str">
        <f t="shared" si="49"/>
        <v/>
      </c>
      <c r="I143" s="58" t="str">
        <f t="shared" si="58"/>
        <v/>
      </c>
      <c r="J143" s="8" t="str">
        <f t="shared" si="54"/>
        <v/>
      </c>
      <c r="K143" s="8" t="str">
        <f t="shared" si="59"/>
        <v/>
      </c>
      <c r="L143" s="57" t="str">
        <f>IFERROR(VLOOKUP($A143,'1-2-1 绩效数据'!$D:$F,3,0),"")</f>
        <v/>
      </c>
      <c r="M143" s="8" t="str">
        <f t="shared" si="66"/>
        <v>2</v>
      </c>
      <c r="N143" s="8" t="str">
        <f t="shared" si="50"/>
        <v/>
      </c>
      <c r="O143" s="8" t="str">
        <f t="shared" si="51"/>
        <v/>
      </c>
      <c r="P143" s="58" t="str">
        <f t="shared" si="60"/>
        <v/>
      </c>
      <c r="Q143" s="8" t="str">
        <f t="shared" si="55"/>
        <v/>
      </c>
      <c r="R143" s="8" t="str">
        <f t="shared" si="61"/>
        <v/>
      </c>
      <c r="S143" s="57" t="str">
        <f>IFERROR(VLOOKUP(A143,'1-2-1 绩效数据'!$G:$I,3,0),"")</f>
        <v/>
      </c>
      <c r="T143" s="8" t="str">
        <f t="shared" si="62"/>
        <v>2</v>
      </c>
      <c r="U143" s="8" t="str">
        <f t="shared" si="52"/>
        <v/>
      </c>
      <c r="V143" s="8" t="str">
        <f t="shared" si="53"/>
        <v/>
      </c>
      <c r="W143" s="58" t="str">
        <f t="shared" si="63"/>
        <v/>
      </c>
      <c r="X143" s="8" t="str">
        <f t="shared" si="56"/>
        <v/>
      </c>
      <c r="Y143" s="8" t="str">
        <f t="shared" si="64"/>
        <v/>
      </c>
      <c r="Z143" s="57" t="str">
        <f t="shared" si="65"/>
        <v/>
      </c>
    </row>
    <row r="144" spans="1:26" x14ac:dyDescent="0.3">
      <c r="A144" s="8"/>
      <c r="B144" s="70" t="str">
        <f>IFERROR(VLOOKUP('1-2-2 关键绩效'!$A144,'1-1 基本信息'!$A:$K,7,0),"")</f>
        <v/>
      </c>
      <c r="C144" s="8" t="str">
        <f>IFERROR(VLOOKUP($A144,'1-1 基本信息'!$A:$J,10,0),"")</f>
        <v/>
      </c>
      <c r="D144" s="8" t="str">
        <f>IFERROR(VLOOKUP(A144,'1-1 基本信息'!$A:$I,8,0),"")</f>
        <v/>
      </c>
      <c r="E144" s="57" t="str">
        <f>IFERROR(VLOOKUP($A144,'1-2-1 绩效数据'!$A:$C,3,0),"")</f>
        <v/>
      </c>
      <c r="F144" s="8" t="str">
        <f t="shared" si="57"/>
        <v>2</v>
      </c>
      <c r="G144" s="8" t="str">
        <f t="shared" si="48"/>
        <v/>
      </c>
      <c r="H144" s="8" t="str">
        <f t="shared" si="49"/>
        <v/>
      </c>
      <c r="I144" s="58" t="str">
        <f t="shared" si="58"/>
        <v/>
      </c>
      <c r="J144" s="8" t="str">
        <f t="shared" si="54"/>
        <v/>
      </c>
      <c r="K144" s="8" t="str">
        <f t="shared" si="59"/>
        <v/>
      </c>
      <c r="L144" s="57" t="str">
        <f>IFERROR(VLOOKUP($A144,'1-2-1 绩效数据'!$D:$F,3,0),"")</f>
        <v/>
      </c>
      <c r="M144" s="8" t="str">
        <f t="shared" si="66"/>
        <v>2</v>
      </c>
      <c r="N144" s="8" t="str">
        <f t="shared" si="50"/>
        <v/>
      </c>
      <c r="O144" s="8" t="str">
        <f t="shared" si="51"/>
        <v/>
      </c>
      <c r="P144" s="58" t="str">
        <f t="shared" si="60"/>
        <v/>
      </c>
      <c r="Q144" s="8" t="str">
        <f t="shared" si="55"/>
        <v/>
      </c>
      <c r="R144" s="8" t="str">
        <f t="shared" si="61"/>
        <v/>
      </c>
      <c r="S144" s="57" t="str">
        <f>IFERROR(VLOOKUP(A144,'1-2-1 绩效数据'!$G:$I,3,0),"")</f>
        <v/>
      </c>
      <c r="T144" s="8" t="str">
        <f t="shared" si="62"/>
        <v>2</v>
      </c>
      <c r="U144" s="8" t="str">
        <f t="shared" si="52"/>
        <v/>
      </c>
      <c r="V144" s="8" t="str">
        <f t="shared" si="53"/>
        <v/>
      </c>
      <c r="W144" s="58" t="str">
        <f t="shared" si="63"/>
        <v/>
      </c>
      <c r="X144" s="8" t="str">
        <f t="shared" si="56"/>
        <v/>
      </c>
      <c r="Y144" s="8" t="str">
        <f t="shared" si="64"/>
        <v/>
      </c>
      <c r="Z144" s="57" t="str">
        <f t="shared" si="65"/>
        <v/>
      </c>
    </row>
    <row r="145" spans="1:26" x14ac:dyDescent="0.3">
      <c r="A145" s="8"/>
      <c r="B145" s="70" t="str">
        <f>IFERROR(VLOOKUP('1-2-2 关键绩效'!$A145,'1-1 基本信息'!$A:$K,7,0),"")</f>
        <v/>
      </c>
      <c r="C145" s="8" t="str">
        <f>IFERROR(VLOOKUP($A145,'1-1 基本信息'!$A:$J,10,0),"")</f>
        <v/>
      </c>
      <c r="D145" s="8" t="str">
        <f>IFERROR(VLOOKUP(A145,'1-1 基本信息'!$A:$I,8,0),"")</f>
        <v/>
      </c>
      <c r="E145" s="57" t="str">
        <f>IFERROR(VLOOKUP($A145,'1-2-1 绩效数据'!$A:$C,3,0),"")</f>
        <v/>
      </c>
      <c r="F145" s="8" t="str">
        <f t="shared" si="57"/>
        <v>2</v>
      </c>
      <c r="G145" s="8" t="str">
        <f t="shared" si="48"/>
        <v/>
      </c>
      <c r="H145" s="8" t="str">
        <f t="shared" si="49"/>
        <v/>
      </c>
      <c r="I145" s="58" t="str">
        <f t="shared" si="58"/>
        <v/>
      </c>
      <c r="J145" s="8" t="str">
        <f t="shared" si="54"/>
        <v/>
      </c>
      <c r="K145" s="8" t="str">
        <f t="shared" si="59"/>
        <v/>
      </c>
      <c r="L145" s="57" t="str">
        <f>IFERROR(VLOOKUP($A145,'1-2-1 绩效数据'!$D:$F,3,0),"")</f>
        <v/>
      </c>
      <c r="M145" s="8" t="str">
        <f t="shared" si="66"/>
        <v>2</v>
      </c>
      <c r="N145" s="8" t="str">
        <f t="shared" si="50"/>
        <v/>
      </c>
      <c r="O145" s="8" t="str">
        <f t="shared" si="51"/>
        <v/>
      </c>
      <c r="P145" s="58" t="str">
        <f t="shared" si="60"/>
        <v/>
      </c>
      <c r="Q145" s="8" t="str">
        <f t="shared" si="55"/>
        <v/>
      </c>
      <c r="R145" s="8" t="str">
        <f t="shared" si="61"/>
        <v/>
      </c>
      <c r="S145" s="57" t="str">
        <f>IFERROR(VLOOKUP(A145,'1-2-1 绩效数据'!$G:$I,3,0),"")</f>
        <v/>
      </c>
      <c r="T145" s="8" t="str">
        <f t="shared" si="62"/>
        <v>2</v>
      </c>
      <c r="U145" s="8" t="str">
        <f t="shared" si="52"/>
        <v/>
      </c>
      <c r="V145" s="8" t="str">
        <f t="shared" si="53"/>
        <v/>
      </c>
      <c r="W145" s="58" t="str">
        <f t="shared" si="63"/>
        <v/>
      </c>
      <c r="X145" s="8" t="str">
        <f t="shared" si="56"/>
        <v/>
      </c>
      <c r="Y145" s="8" t="str">
        <f t="shared" si="64"/>
        <v/>
      </c>
      <c r="Z145" s="57" t="str">
        <f t="shared" si="65"/>
        <v/>
      </c>
    </row>
    <row r="146" spans="1:26" x14ac:dyDescent="0.3">
      <c r="A146" s="8"/>
      <c r="B146" s="70" t="str">
        <f>IFERROR(VLOOKUP('1-2-2 关键绩效'!$A146,'1-1 基本信息'!$A:$K,7,0),"")</f>
        <v/>
      </c>
      <c r="C146" s="8" t="str">
        <f>IFERROR(VLOOKUP($A146,'1-1 基本信息'!$A:$J,10,0),"")</f>
        <v/>
      </c>
      <c r="D146" s="8" t="str">
        <f>IFERROR(VLOOKUP(A146,'1-1 基本信息'!$A:$I,8,0),"")</f>
        <v/>
      </c>
      <c r="E146" s="57" t="str">
        <f>IFERROR(VLOOKUP($A146,'1-2-1 绩效数据'!$A:$C,3,0),"")</f>
        <v/>
      </c>
      <c r="F146" s="8" t="str">
        <f t="shared" si="57"/>
        <v>2</v>
      </c>
      <c r="G146" s="8" t="str">
        <f t="shared" si="48"/>
        <v/>
      </c>
      <c r="H146" s="8" t="str">
        <f t="shared" si="49"/>
        <v/>
      </c>
      <c r="I146" s="58" t="str">
        <f t="shared" si="58"/>
        <v/>
      </c>
      <c r="J146" s="8" t="str">
        <f t="shared" si="54"/>
        <v/>
      </c>
      <c r="K146" s="8" t="str">
        <f t="shared" si="59"/>
        <v/>
      </c>
      <c r="L146" s="57" t="str">
        <f>IFERROR(VLOOKUP($A146,'1-2-1 绩效数据'!$D:$F,3,0),"")</f>
        <v/>
      </c>
      <c r="M146" s="8" t="str">
        <f t="shared" si="66"/>
        <v>2</v>
      </c>
      <c r="N146" s="8" t="str">
        <f t="shared" si="50"/>
        <v/>
      </c>
      <c r="O146" s="8" t="str">
        <f t="shared" si="51"/>
        <v/>
      </c>
      <c r="P146" s="58" t="str">
        <f t="shared" si="60"/>
        <v/>
      </c>
      <c r="Q146" s="8" t="str">
        <f t="shared" si="55"/>
        <v/>
      </c>
      <c r="R146" s="8" t="str">
        <f t="shared" si="61"/>
        <v/>
      </c>
      <c r="S146" s="57" t="str">
        <f>IFERROR(VLOOKUP(A146,'1-2-1 绩效数据'!$G:$I,3,0),"")</f>
        <v/>
      </c>
      <c r="T146" s="8" t="str">
        <f t="shared" si="62"/>
        <v>2</v>
      </c>
      <c r="U146" s="8" t="str">
        <f t="shared" si="52"/>
        <v/>
      </c>
      <c r="V146" s="8" t="str">
        <f t="shared" si="53"/>
        <v/>
      </c>
      <c r="W146" s="58" t="str">
        <f t="shared" si="63"/>
        <v/>
      </c>
      <c r="X146" s="8" t="str">
        <f t="shared" si="56"/>
        <v/>
      </c>
      <c r="Y146" s="8" t="str">
        <f t="shared" si="64"/>
        <v/>
      </c>
      <c r="Z146" s="57" t="str">
        <f t="shared" si="65"/>
        <v/>
      </c>
    </row>
    <row r="147" spans="1:26" x14ac:dyDescent="0.3">
      <c r="A147" s="8"/>
      <c r="B147" s="70" t="str">
        <f>IFERROR(VLOOKUP('1-2-2 关键绩效'!$A147,'1-1 基本信息'!$A:$K,7,0),"")</f>
        <v/>
      </c>
      <c r="C147" s="8" t="str">
        <f>IFERROR(VLOOKUP($A147,'1-1 基本信息'!$A:$J,10,0),"")</f>
        <v/>
      </c>
      <c r="D147" s="8" t="str">
        <f>IFERROR(VLOOKUP(A147,'1-1 基本信息'!$A:$I,8,0),"")</f>
        <v/>
      </c>
      <c r="E147" s="57" t="str">
        <f>IFERROR(VLOOKUP($A147,'1-2-1 绩效数据'!$A:$C,3,0),"")</f>
        <v/>
      </c>
      <c r="F147" s="8" t="str">
        <f t="shared" si="57"/>
        <v>2</v>
      </c>
      <c r="G147" s="8" t="str">
        <f t="shared" si="48"/>
        <v/>
      </c>
      <c r="H147" s="8" t="str">
        <f t="shared" si="49"/>
        <v/>
      </c>
      <c r="I147" s="58" t="str">
        <f t="shared" si="58"/>
        <v/>
      </c>
      <c r="J147" s="8" t="str">
        <f t="shared" si="54"/>
        <v/>
      </c>
      <c r="K147" s="8" t="str">
        <f t="shared" si="59"/>
        <v/>
      </c>
      <c r="L147" s="57" t="str">
        <f>IFERROR(VLOOKUP($A147,'1-2-1 绩效数据'!$D:$F,3,0),"")</f>
        <v/>
      </c>
      <c r="M147" s="8" t="str">
        <f t="shared" si="66"/>
        <v>2</v>
      </c>
      <c r="N147" s="8" t="str">
        <f t="shared" si="50"/>
        <v/>
      </c>
      <c r="O147" s="8" t="str">
        <f t="shared" si="51"/>
        <v/>
      </c>
      <c r="P147" s="58" t="str">
        <f t="shared" si="60"/>
        <v/>
      </c>
      <c r="Q147" s="8" t="str">
        <f t="shared" si="55"/>
        <v/>
      </c>
      <c r="R147" s="8" t="str">
        <f t="shared" si="61"/>
        <v/>
      </c>
      <c r="S147" s="57" t="str">
        <f>IFERROR(VLOOKUP(A147,'1-2-1 绩效数据'!$G:$I,3,0),"")</f>
        <v/>
      </c>
      <c r="T147" s="8" t="str">
        <f t="shared" si="62"/>
        <v>2</v>
      </c>
      <c r="U147" s="8" t="str">
        <f t="shared" si="52"/>
        <v/>
      </c>
      <c r="V147" s="8" t="str">
        <f t="shared" si="53"/>
        <v/>
      </c>
      <c r="W147" s="58" t="str">
        <f t="shared" si="63"/>
        <v/>
      </c>
      <c r="X147" s="8" t="str">
        <f t="shared" si="56"/>
        <v/>
      </c>
      <c r="Y147" s="8" t="str">
        <f t="shared" si="64"/>
        <v/>
      </c>
      <c r="Z147" s="57" t="str">
        <f t="shared" si="65"/>
        <v/>
      </c>
    </row>
    <row r="148" spans="1:26" x14ac:dyDescent="0.3">
      <c r="A148" s="8"/>
      <c r="B148" s="70" t="str">
        <f>IFERROR(VLOOKUP('1-2-2 关键绩效'!$A148,'1-1 基本信息'!$A:$K,7,0),"")</f>
        <v/>
      </c>
      <c r="C148" s="8" t="str">
        <f>IFERROR(VLOOKUP($A148,'1-1 基本信息'!$A:$J,10,0),"")</f>
        <v/>
      </c>
      <c r="D148" s="8" t="str">
        <f>IFERROR(VLOOKUP(A148,'1-1 基本信息'!$A:$I,8,0),"")</f>
        <v/>
      </c>
      <c r="E148" s="57" t="str">
        <f>IFERROR(VLOOKUP($A148,'1-2-1 绩效数据'!$A:$C,3,0),"")</f>
        <v/>
      </c>
      <c r="F148" s="8" t="str">
        <f t="shared" si="57"/>
        <v>2</v>
      </c>
      <c r="G148" s="8" t="str">
        <f t="shared" si="48"/>
        <v/>
      </c>
      <c r="H148" s="8" t="str">
        <f t="shared" si="49"/>
        <v/>
      </c>
      <c r="I148" s="58" t="str">
        <f t="shared" si="58"/>
        <v/>
      </c>
      <c r="J148" s="8" t="str">
        <f t="shared" si="54"/>
        <v/>
      </c>
      <c r="K148" s="8" t="str">
        <f t="shared" si="59"/>
        <v/>
      </c>
      <c r="L148" s="57" t="str">
        <f>IFERROR(VLOOKUP($A148,'1-2-1 绩效数据'!$D:$F,3,0),"")</f>
        <v/>
      </c>
      <c r="M148" s="8" t="str">
        <f t="shared" si="66"/>
        <v>2</v>
      </c>
      <c r="N148" s="8" t="str">
        <f t="shared" si="50"/>
        <v/>
      </c>
      <c r="O148" s="8" t="str">
        <f t="shared" si="51"/>
        <v/>
      </c>
      <c r="P148" s="58" t="str">
        <f t="shared" si="60"/>
        <v/>
      </c>
      <c r="Q148" s="8" t="str">
        <f t="shared" si="55"/>
        <v/>
      </c>
      <c r="R148" s="8" t="str">
        <f t="shared" si="61"/>
        <v/>
      </c>
      <c r="S148" s="57" t="str">
        <f>IFERROR(VLOOKUP(A148,'1-2-1 绩效数据'!$G:$I,3,0),"")</f>
        <v/>
      </c>
      <c r="T148" s="8" t="str">
        <f t="shared" si="62"/>
        <v>2</v>
      </c>
      <c r="U148" s="8" t="str">
        <f t="shared" si="52"/>
        <v/>
      </c>
      <c r="V148" s="8" t="str">
        <f t="shared" si="53"/>
        <v/>
      </c>
      <c r="W148" s="58" t="str">
        <f t="shared" si="63"/>
        <v/>
      </c>
      <c r="X148" s="8" t="str">
        <f t="shared" si="56"/>
        <v/>
      </c>
      <c r="Y148" s="8" t="str">
        <f t="shared" si="64"/>
        <v/>
      </c>
      <c r="Z148" s="57" t="str">
        <f t="shared" si="65"/>
        <v/>
      </c>
    </row>
    <row r="149" spans="1:26" x14ac:dyDescent="0.3">
      <c r="A149" s="8"/>
      <c r="B149" s="70" t="str">
        <f>IFERROR(VLOOKUP('1-2-2 关键绩效'!$A149,'1-1 基本信息'!$A:$K,7,0),"")</f>
        <v/>
      </c>
      <c r="C149" s="8" t="str">
        <f>IFERROR(VLOOKUP($A149,'1-1 基本信息'!$A:$J,10,0),"")</f>
        <v/>
      </c>
      <c r="D149" s="8" t="str">
        <f>IFERROR(VLOOKUP(A149,'1-1 基本信息'!$A:$I,8,0),"")</f>
        <v/>
      </c>
      <c r="E149" s="57" t="str">
        <f>IFERROR(VLOOKUP($A149,'1-2-1 绩效数据'!$A:$C,3,0),"")</f>
        <v/>
      </c>
      <c r="F149" s="8" t="str">
        <f t="shared" si="57"/>
        <v>2</v>
      </c>
      <c r="G149" s="8" t="str">
        <f t="shared" si="48"/>
        <v/>
      </c>
      <c r="H149" s="8" t="str">
        <f t="shared" si="49"/>
        <v/>
      </c>
      <c r="I149" s="58" t="str">
        <f t="shared" si="58"/>
        <v/>
      </c>
      <c r="J149" s="8" t="str">
        <f t="shared" si="54"/>
        <v/>
      </c>
      <c r="K149" s="8" t="str">
        <f t="shared" si="59"/>
        <v/>
      </c>
      <c r="L149" s="57" t="str">
        <f>IFERROR(VLOOKUP($A149,'1-2-1 绩效数据'!$D:$F,3,0),"")</f>
        <v/>
      </c>
      <c r="M149" s="8" t="str">
        <f t="shared" si="66"/>
        <v>2</v>
      </c>
      <c r="N149" s="8" t="str">
        <f t="shared" si="50"/>
        <v/>
      </c>
      <c r="O149" s="8" t="str">
        <f t="shared" si="51"/>
        <v/>
      </c>
      <c r="P149" s="58" t="str">
        <f t="shared" si="60"/>
        <v/>
      </c>
      <c r="Q149" s="8" t="str">
        <f t="shared" si="55"/>
        <v/>
      </c>
      <c r="R149" s="8" t="str">
        <f t="shared" si="61"/>
        <v/>
      </c>
      <c r="S149" s="57" t="str">
        <f>IFERROR(VLOOKUP(A149,'1-2-1 绩效数据'!$G:$I,3,0),"")</f>
        <v/>
      </c>
      <c r="T149" s="8" t="str">
        <f t="shared" si="62"/>
        <v>2</v>
      </c>
      <c r="U149" s="8" t="str">
        <f t="shared" si="52"/>
        <v/>
      </c>
      <c r="V149" s="8" t="str">
        <f t="shared" si="53"/>
        <v/>
      </c>
      <c r="W149" s="58" t="str">
        <f t="shared" si="63"/>
        <v/>
      </c>
      <c r="X149" s="8" t="str">
        <f t="shared" si="56"/>
        <v/>
      </c>
      <c r="Y149" s="8" t="str">
        <f t="shared" si="64"/>
        <v/>
      </c>
      <c r="Z149" s="57" t="str">
        <f t="shared" si="65"/>
        <v/>
      </c>
    </row>
    <row r="150" spans="1:26" x14ac:dyDescent="0.3">
      <c r="A150" s="8"/>
      <c r="B150" s="70" t="str">
        <f>IFERROR(VLOOKUP('1-2-2 关键绩效'!$A150,'1-1 基本信息'!$A:$K,7,0),"")</f>
        <v/>
      </c>
      <c r="C150" s="8" t="str">
        <f>IFERROR(VLOOKUP($A150,'1-1 基本信息'!$A:$J,10,0),"")</f>
        <v/>
      </c>
      <c r="D150" s="8" t="str">
        <f>IFERROR(VLOOKUP(A150,'1-1 基本信息'!$A:$I,8,0),"")</f>
        <v/>
      </c>
      <c r="E150" s="57" t="str">
        <f>IFERROR(VLOOKUP($A150,'1-2-1 绩效数据'!$A:$C,3,0),"")</f>
        <v/>
      </c>
      <c r="F150" s="8" t="str">
        <f t="shared" si="57"/>
        <v>2</v>
      </c>
      <c r="G150" s="8" t="str">
        <f t="shared" si="48"/>
        <v/>
      </c>
      <c r="H150" s="8" t="str">
        <f t="shared" si="49"/>
        <v/>
      </c>
      <c r="I150" s="58" t="str">
        <f t="shared" si="58"/>
        <v/>
      </c>
      <c r="J150" s="8" t="str">
        <f t="shared" si="54"/>
        <v/>
      </c>
      <c r="K150" s="8" t="str">
        <f t="shared" si="59"/>
        <v/>
      </c>
      <c r="L150" s="57" t="str">
        <f>IFERROR(VLOOKUP($A150,'1-2-1 绩效数据'!$D:$F,3,0),"")</f>
        <v/>
      </c>
      <c r="M150" s="8" t="str">
        <f t="shared" si="66"/>
        <v>2</v>
      </c>
      <c r="N150" s="8" t="str">
        <f t="shared" si="50"/>
        <v/>
      </c>
      <c r="O150" s="8" t="str">
        <f t="shared" si="51"/>
        <v/>
      </c>
      <c r="P150" s="58" t="str">
        <f t="shared" si="60"/>
        <v/>
      </c>
      <c r="Q150" s="8" t="str">
        <f t="shared" si="55"/>
        <v/>
      </c>
      <c r="R150" s="8" t="str">
        <f t="shared" si="61"/>
        <v/>
      </c>
      <c r="S150" s="57" t="str">
        <f>IFERROR(VLOOKUP(A150,'1-2-1 绩效数据'!$G:$I,3,0),"")</f>
        <v/>
      </c>
      <c r="T150" s="8" t="str">
        <f t="shared" si="62"/>
        <v>2</v>
      </c>
      <c r="U150" s="8" t="str">
        <f t="shared" si="52"/>
        <v/>
      </c>
      <c r="V150" s="8" t="str">
        <f t="shared" si="53"/>
        <v/>
      </c>
      <c r="W150" s="58" t="str">
        <f t="shared" si="63"/>
        <v/>
      </c>
      <c r="X150" s="8" t="str">
        <f t="shared" si="56"/>
        <v/>
      </c>
      <c r="Y150" s="8" t="str">
        <f t="shared" si="64"/>
        <v/>
      </c>
      <c r="Z150" s="57" t="str">
        <f t="shared" si="65"/>
        <v/>
      </c>
    </row>
    <row r="151" spans="1:26" x14ac:dyDescent="0.3">
      <c r="A151" s="8"/>
      <c r="B151" s="70" t="str">
        <f>IFERROR(VLOOKUP('1-2-2 关键绩效'!$A151,'1-1 基本信息'!$A:$K,7,0),"")</f>
        <v/>
      </c>
      <c r="C151" s="8" t="str">
        <f>IFERROR(VLOOKUP($A151,'1-1 基本信息'!$A:$J,10,0),"")</f>
        <v/>
      </c>
      <c r="D151" s="8" t="str">
        <f>IFERROR(VLOOKUP(A151,'1-1 基本信息'!$A:$I,8,0),"")</f>
        <v/>
      </c>
      <c r="E151" s="57" t="str">
        <f>IFERROR(VLOOKUP($A151,'1-2-1 绩效数据'!$A:$C,3,0),"")</f>
        <v/>
      </c>
      <c r="F151" s="8" t="str">
        <f t="shared" si="57"/>
        <v>2</v>
      </c>
      <c r="G151" s="8" t="str">
        <f t="shared" si="48"/>
        <v/>
      </c>
      <c r="H151" s="8" t="str">
        <f t="shared" si="49"/>
        <v/>
      </c>
      <c r="I151" s="58" t="str">
        <f t="shared" si="58"/>
        <v/>
      </c>
      <c r="J151" s="8" t="str">
        <f t="shared" si="54"/>
        <v/>
      </c>
      <c r="K151" s="8" t="str">
        <f t="shared" si="59"/>
        <v/>
      </c>
      <c r="L151" s="57" t="str">
        <f>IFERROR(VLOOKUP($A151,'1-2-1 绩效数据'!$D:$F,3,0),"")</f>
        <v/>
      </c>
      <c r="M151" s="8" t="str">
        <f t="shared" si="66"/>
        <v>2</v>
      </c>
      <c r="N151" s="8" t="str">
        <f t="shared" si="50"/>
        <v/>
      </c>
      <c r="O151" s="8" t="str">
        <f t="shared" si="51"/>
        <v/>
      </c>
      <c r="P151" s="58" t="str">
        <f t="shared" si="60"/>
        <v/>
      </c>
      <c r="Q151" s="8" t="str">
        <f t="shared" si="55"/>
        <v/>
      </c>
      <c r="R151" s="8" t="str">
        <f t="shared" si="61"/>
        <v/>
      </c>
      <c r="S151" s="57" t="str">
        <f>IFERROR(VLOOKUP(A151,'1-2-1 绩效数据'!$G:$I,3,0),"")</f>
        <v/>
      </c>
      <c r="T151" s="8" t="str">
        <f t="shared" si="62"/>
        <v>2</v>
      </c>
      <c r="U151" s="8" t="str">
        <f t="shared" si="52"/>
        <v/>
      </c>
      <c r="V151" s="8" t="str">
        <f t="shared" si="53"/>
        <v/>
      </c>
      <c r="W151" s="58" t="str">
        <f t="shared" si="63"/>
        <v/>
      </c>
      <c r="X151" s="8" t="str">
        <f t="shared" si="56"/>
        <v/>
      </c>
      <c r="Y151" s="8" t="str">
        <f t="shared" si="64"/>
        <v/>
      </c>
      <c r="Z151" s="57" t="str">
        <f t="shared" si="65"/>
        <v/>
      </c>
    </row>
    <row r="152" spans="1:26" x14ac:dyDescent="0.3">
      <c r="A152" s="8"/>
      <c r="B152" s="70" t="str">
        <f>IFERROR(VLOOKUP('1-2-2 关键绩效'!$A152,'1-1 基本信息'!$A:$K,7,0),"")</f>
        <v/>
      </c>
      <c r="C152" s="8" t="str">
        <f>IFERROR(VLOOKUP($A152,'1-1 基本信息'!$A:$J,10,0),"")</f>
        <v/>
      </c>
      <c r="D152" s="8" t="str">
        <f>IFERROR(VLOOKUP(A152,'1-1 基本信息'!$A:$I,8,0),"")</f>
        <v/>
      </c>
      <c r="E152" s="57" t="str">
        <f>IFERROR(VLOOKUP($A152,'1-2-1 绩效数据'!$A:$C,3,0),"")</f>
        <v/>
      </c>
      <c r="F152" s="8" t="str">
        <f t="shared" si="57"/>
        <v>2</v>
      </c>
      <c r="G152" s="8" t="str">
        <f t="shared" si="48"/>
        <v/>
      </c>
      <c r="H152" s="8" t="str">
        <f t="shared" si="49"/>
        <v/>
      </c>
      <c r="I152" s="58" t="str">
        <f t="shared" si="58"/>
        <v/>
      </c>
      <c r="J152" s="8" t="str">
        <f t="shared" si="54"/>
        <v/>
      </c>
      <c r="K152" s="8" t="str">
        <f t="shared" si="59"/>
        <v/>
      </c>
      <c r="L152" s="57" t="str">
        <f>IFERROR(VLOOKUP($A152,'1-2-1 绩效数据'!$D:$F,3,0),"")</f>
        <v/>
      </c>
      <c r="M152" s="8" t="str">
        <f t="shared" si="66"/>
        <v>2</v>
      </c>
      <c r="N152" s="8" t="str">
        <f t="shared" si="50"/>
        <v/>
      </c>
      <c r="O152" s="8" t="str">
        <f t="shared" si="51"/>
        <v/>
      </c>
      <c r="P152" s="58" t="str">
        <f t="shared" si="60"/>
        <v/>
      </c>
      <c r="Q152" s="8" t="str">
        <f t="shared" si="55"/>
        <v/>
      </c>
      <c r="R152" s="8" t="str">
        <f t="shared" si="61"/>
        <v/>
      </c>
      <c r="S152" s="57" t="str">
        <f>IFERROR(VLOOKUP(A152,'1-2-1 绩效数据'!$G:$I,3,0),"")</f>
        <v/>
      </c>
      <c r="T152" s="8" t="str">
        <f t="shared" si="62"/>
        <v>2</v>
      </c>
      <c r="U152" s="8" t="str">
        <f t="shared" si="52"/>
        <v/>
      </c>
      <c r="V152" s="8" t="str">
        <f t="shared" si="53"/>
        <v/>
      </c>
      <c r="W152" s="58" t="str">
        <f t="shared" si="63"/>
        <v/>
      </c>
      <c r="X152" s="8" t="str">
        <f t="shared" si="56"/>
        <v/>
      </c>
      <c r="Y152" s="8" t="str">
        <f t="shared" si="64"/>
        <v/>
      </c>
      <c r="Z152" s="57" t="str">
        <f t="shared" si="65"/>
        <v/>
      </c>
    </row>
    <row r="153" spans="1:26" x14ac:dyDescent="0.3">
      <c r="A153" s="8"/>
      <c r="B153" s="70" t="str">
        <f>IFERROR(VLOOKUP('1-2-2 关键绩效'!$A153,'1-1 基本信息'!$A:$K,7,0),"")</f>
        <v/>
      </c>
      <c r="C153" s="8" t="str">
        <f>IFERROR(VLOOKUP($A153,'1-1 基本信息'!$A:$J,10,0),"")</f>
        <v/>
      </c>
      <c r="D153" s="8" t="str">
        <f>IFERROR(VLOOKUP(A153,'1-1 基本信息'!$A:$I,8,0),"")</f>
        <v/>
      </c>
      <c r="E153" s="57" t="str">
        <f>IFERROR(VLOOKUP($A153,'1-2-1 绩效数据'!$A:$C,3,0),"")</f>
        <v/>
      </c>
      <c r="F153" s="8" t="str">
        <f t="shared" si="57"/>
        <v>2</v>
      </c>
      <c r="G153" s="8" t="str">
        <f t="shared" si="48"/>
        <v/>
      </c>
      <c r="H153" s="8" t="str">
        <f t="shared" si="49"/>
        <v/>
      </c>
      <c r="I153" s="58" t="str">
        <f t="shared" si="58"/>
        <v/>
      </c>
      <c r="J153" s="8" t="str">
        <f t="shared" si="54"/>
        <v/>
      </c>
      <c r="K153" s="8" t="str">
        <f t="shared" si="59"/>
        <v/>
      </c>
      <c r="L153" s="57" t="str">
        <f>IFERROR(VLOOKUP($A153,'1-2-1 绩效数据'!$D:$F,3,0),"")</f>
        <v/>
      </c>
      <c r="M153" s="8" t="str">
        <f t="shared" si="66"/>
        <v>2</v>
      </c>
      <c r="N153" s="8" t="str">
        <f t="shared" si="50"/>
        <v/>
      </c>
      <c r="O153" s="8" t="str">
        <f t="shared" si="51"/>
        <v/>
      </c>
      <c r="P153" s="58" t="str">
        <f t="shared" si="60"/>
        <v/>
      </c>
      <c r="Q153" s="8" t="str">
        <f t="shared" si="55"/>
        <v/>
      </c>
      <c r="R153" s="8" t="str">
        <f t="shared" si="61"/>
        <v/>
      </c>
      <c r="S153" s="57" t="str">
        <f>IFERROR(VLOOKUP(A153,'1-2-1 绩效数据'!$G:$I,3,0),"")</f>
        <v/>
      </c>
      <c r="T153" s="8" t="str">
        <f t="shared" si="62"/>
        <v>2</v>
      </c>
      <c r="U153" s="8" t="str">
        <f t="shared" si="52"/>
        <v/>
      </c>
      <c r="V153" s="8" t="str">
        <f t="shared" si="53"/>
        <v/>
      </c>
      <c r="W153" s="58" t="str">
        <f t="shared" si="63"/>
        <v/>
      </c>
      <c r="X153" s="8" t="str">
        <f t="shared" si="56"/>
        <v/>
      </c>
      <c r="Y153" s="8" t="str">
        <f t="shared" si="64"/>
        <v/>
      </c>
      <c r="Z153" s="57" t="str">
        <f t="shared" si="65"/>
        <v/>
      </c>
    </row>
    <row r="154" spans="1:26" x14ac:dyDescent="0.3">
      <c r="A154" s="8"/>
      <c r="B154" s="70" t="str">
        <f>IFERROR(VLOOKUP('1-2-2 关键绩效'!$A154,'1-1 基本信息'!$A:$K,7,0),"")</f>
        <v/>
      </c>
      <c r="C154" s="8" t="str">
        <f>IFERROR(VLOOKUP($A154,'1-1 基本信息'!$A:$J,10,0),"")</f>
        <v/>
      </c>
      <c r="D154" s="8" t="str">
        <f>IFERROR(VLOOKUP(A154,'1-1 基本信息'!$A:$I,8,0),"")</f>
        <v/>
      </c>
      <c r="E154" s="57" t="str">
        <f>IFERROR(VLOOKUP($A154,'1-2-1 绩效数据'!$A:$C,3,0),"")</f>
        <v/>
      </c>
      <c r="F154" s="8" t="str">
        <f t="shared" si="57"/>
        <v>2</v>
      </c>
      <c r="G154" s="8" t="str">
        <f t="shared" si="48"/>
        <v/>
      </c>
      <c r="H154" s="8" t="str">
        <f t="shared" si="49"/>
        <v/>
      </c>
      <c r="I154" s="58" t="str">
        <f t="shared" si="58"/>
        <v/>
      </c>
      <c r="J154" s="8" t="str">
        <f t="shared" si="54"/>
        <v/>
      </c>
      <c r="K154" s="8" t="str">
        <f t="shared" si="59"/>
        <v/>
      </c>
      <c r="L154" s="57" t="str">
        <f>IFERROR(VLOOKUP($A154,'1-2-1 绩效数据'!$D:$F,3,0),"")</f>
        <v/>
      </c>
      <c r="M154" s="8" t="str">
        <f t="shared" si="66"/>
        <v>2</v>
      </c>
      <c r="N154" s="8" t="str">
        <f t="shared" si="50"/>
        <v/>
      </c>
      <c r="O154" s="8" t="str">
        <f t="shared" si="51"/>
        <v/>
      </c>
      <c r="P154" s="58" t="str">
        <f t="shared" si="60"/>
        <v/>
      </c>
      <c r="Q154" s="8" t="str">
        <f t="shared" si="55"/>
        <v/>
      </c>
      <c r="R154" s="8" t="str">
        <f t="shared" si="61"/>
        <v/>
      </c>
      <c r="S154" s="57" t="str">
        <f>IFERROR(VLOOKUP(A154,'1-2-1 绩效数据'!$G:$I,3,0),"")</f>
        <v/>
      </c>
      <c r="T154" s="8" t="str">
        <f t="shared" si="62"/>
        <v>2</v>
      </c>
      <c r="U154" s="8" t="str">
        <f t="shared" si="52"/>
        <v/>
      </c>
      <c r="V154" s="8" t="str">
        <f t="shared" si="53"/>
        <v/>
      </c>
      <c r="W154" s="58" t="str">
        <f t="shared" si="63"/>
        <v/>
      </c>
      <c r="X154" s="8" t="str">
        <f t="shared" si="56"/>
        <v/>
      </c>
      <c r="Y154" s="8" t="str">
        <f t="shared" si="64"/>
        <v/>
      </c>
      <c r="Z154" s="57" t="str">
        <f t="shared" si="65"/>
        <v/>
      </c>
    </row>
    <row r="155" spans="1:26" x14ac:dyDescent="0.3">
      <c r="A155" s="8"/>
      <c r="B155" s="70" t="str">
        <f>IFERROR(VLOOKUP('1-2-2 关键绩效'!$A155,'1-1 基本信息'!$A:$K,7,0),"")</f>
        <v/>
      </c>
      <c r="C155" s="8" t="str">
        <f>IFERROR(VLOOKUP($A155,'1-1 基本信息'!$A:$J,10,0),"")</f>
        <v/>
      </c>
      <c r="D155" s="8" t="str">
        <f>IFERROR(VLOOKUP(A155,'1-1 基本信息'!$A:$I,8,0),"")</f>
        <v/>
      </c>
      <c r="E155" s="57" t="str">
        <f>IFERROR(VLOOKUP($A155,'1-2-1 绩效数据'!$A:$C,3,0),"")</f>
        <v/>
      </c>
      <c r="F155" s="8" t="str">
        <f t="shared" si="57"/>
        <v>2</v>
      </c>
      <c r="G155" s="8" t="str">
        <f t="shared" si="48"/>
        <v/>
      </c>
      <c r="H155" s="8" t="str">
        <f t="shared" si="49"/>
        <v/>
      </c>
      <c r="I155" s="58" t="str">
        <f t="shared" si="58"/>
        <v/>
      </c>
      <c r="J155" s="8" t="str">
        <f t="shared" si="54"/>
        <v/>
      </c>
      <c r="K155" s="8" t="str">
        <f t="shared" si="59"/>
        <v/>
      </c>
      <c r="L155" s="57" t="str">
        <f>IFERROR(VLOOKUP($A155,'1-2-1 绩效数据'!$D:$F,3,0),"")</f>
        <v/>
      </c>
      <c r="M155" s="8" t="str">
        <f t="shared" si="66"/>
        <v>2</v>
      </c>
      <c r="N155" s="8" t="str">
        <f t="shared" si="50"/>
        <v/>
      </c>
      <c r="O155" s="8" t="str">
        <f t="shared" si="51"/>
        <v/>
      </c>
      <c r="P155" s="58" t="str">
        <f t="shared" si="60"/>
        <v/>
      </c>
      <c r="Q155" s="8" t="str">
        <f t="shared" si="55"/>
        <v/>
      </c>
      <c r="R155" s="8" t="str">
        <f t="shared" si="61"/>
        <v/>
      </c>
      <c r="S155" s="57" t="str">
        <f>IFERROR(VLOOKUP(A155,'1-2-1 绩效数据'!$G:$I,3,0),"")</f>
        <v/>
      </c>
      <c r="T155" s="8" t="str">
        <f t="shared" si="62"/>
        <v>2</v>
      </c>
      <c r="U155" s="8" t="str">
        <f t="shared" si="52"/>
        <v/>
      </c>
      <c r="V155" s="8" t="str">
        <f t="shared" si="53"/>
        <v/>
      </c>
      <c r="W155" s="58" t="str">
        <f t="shared" si="63"/>
        <v/>
      </c>
      <c r="X155" s="8" t="str">
        <f t="shared" si="56"/>
        <v/>
      </c>
      <c r="Y155" s="8" t="str">
        <f t="shared" si="64"/>
        <v/>
      </c>
      <c r="Z155" s="57" t="str">
        <f t="shared" si="65"/>
        <v/>
      </c>
    </row>
    <row r="156" spans="1:26" x14ac:dyDescent="0.3">
      <c r="A156" s="8"/>
      <c r="B156" s="70" t="str">
        <f>IFERROR(VLOOKUP('1-2-2 关键绩效'!$A156,'1-1 基本信息'!$A:$K,7,0),"")</f>
        <v/>
      </c>
      <c r="C156" s="8" t="str">
        <f>IFERROR(VLOOKUP($A156,'1-1 基本信息'!$A:$J,10,0),"")</f>
        <v/>
      </c>
      <c r="D156" s="8" t="str">
        <f>IFERROR(VLOOKUP(A156,'1-1 基本信息'!$A:$I,8,0),"")</f>
        <v/>
      </c>
      <c r="E156" s="57" t="str">
        <f>IFERROR(VLOOKUP($A156,'1-2-1 绩效数据'!$A:$C,3,0),"")</f>
        <v/>
      </c>
      <c r="F156" s="8" t="str">
        <f t="shared" si="57"/>
        <v>2</v>
      </c>
      <c r="G156" s="8" t="str">
        <f t="shared" si="48"/>
        <v/>
      </c>
      <c r="H156" s="8" t="str">
        <f t="shared" si="49"/>
        <v/>
      </c>
      <c r="I156" s="58" t="str">
        <f t="shared" si="58"/>
        <v/>
      </c>
      <c r="J156" s="8" t="str">
        <f t="shared" si="54"/>
        <v/>
      </c>
      <c r="K156" s="8" t="str">
        <f t="shared" si="59"/>
        <v/>
      </c>
      <c r="L156" s="57" t="str">
        <f>IFERROR(VLOOKUP($A156,'1-2-1 绩效数据'!$D:$F,3,0),"")</f>
        <v/>
      </c>
      <c r="M156" s="8" t="str">
        <f t="shared" si="66"/>
        <v>2</v>
      </c>
      <c r="N156" s="8" t="str">
        <f t="shared" si="50"/>
        <v/>
      </c>
      <c r="O156" s="8" t="str">
        <f t="shared" si="51"/>
        <v/>
      </c>
      <c r="P156" s="58" t="str">
        <f t="shared" si="60"/>
        <v/>
      </c>
      <c r="Q156" s="8" t="str">
        <f t="shared" si="55"/>
        <v/>
      </c>
      <c r="R156" s="8" t="str">
        <f t="shared" si="61"/>
        <v/>
      </c>
      <c r="S156" s="57" t="str">
        <f>IFERROR(VLOOKUP(A156,'1-2-1 绩效数据'!$G:$I,3,0),"")</f>
        <v/>
      </c>
      <c r="T156" s="8" t="str">
        <f t="shared" si="62"/>
        <v>2</v>
      </c>
      <c r="U156" s="8" t="str">
        <f t="shared" si="52"/>
        <v/>
      </c>
      <c r="V156" s="8" t="str">
        <f t="shared" si="53"/>
        <v/>
      </c>
      <c r="W156" s="58" t="str">
        <f t="shared" si="63"/>
        <v/>
      </c>
      <c r="X156" s="8" t="str">
        <f t="shared" si="56"/>
        <v/>
      </c>
      <c r="Y156" s="8" t="str">
        <f t="shared" si="64"/>
        <v/>
      </c>
      <c r="Z156" s="57" t="str">
        <f t="shared" si="65"/>
        <v/>
      </c>
    </row>
    <row r="157" spans="1:26" x14ac:dyDescent="0.3">
      <c r="A157" s="8"/>
      <c r="B157" s="70" t="str">
        <f>IFERROR(VLOOKUP('1-2-2 关键绩效'!$A157,'1-1 基本信息'!$A:$K,7,0),"")</f>
        <v/>
      </c>
      <c r="C157" s="8" t="str">
        <f>IFERROR(VLOOKUP($A157,'1-1 基本信息'!$A:$J,10,0),"")</f>
        <v/>
      </c>
      <c r="D157" s="8" t="str">
        <f>IFERROR(VLOOKUP(A157,'1-1 基本信息'!$A:$I,8,0),"")</f>
        <v/>
      </c>
      <c r="E157" s="57" t="str">
        <f>IFERROR(VLOOKUP($A157,'1-2-1 绩效数据'!$A:$C,3,0),"")</f>
        <v/>
      </c>
      <c r="F157" s="8" t="str">
        <f t="shared" si="57"/>
        <v>2</v>
      </c>
      <c r="G157" s="8" t="str">
        <f t="shared" si="48"/>
        <v/>
      </c>
      <c r="H157" s="8" t="str">
        <f t="shared" si="49"/>
        <v/>
      </c>
      <c r="I157" s="58" t="str">
        <f t="shared" si="58"/>
        <v/>
      </c>
      <c r="J157" s="8" t="str">
        <f t="shared" si="54"/>
        <v/>
      </c>
      <c r="K157" s="8" t="str">
        <f t="shared" si="59"/>
        <v/>
      </c>
      <c r="L157" s="57" t="str">
        <f>IFERROR(VLOOKUP($A157,'1-2-1 绩效数据'!$D:$F,3,0),"")</f>
        <v/>
      </c>
      <c r="M157" s="8" t="str">
        <f t="shared" si="66"/>
        <v>2</v>
      </c>
      <c r="N157" s="8" t="str">
        <f t="shared" si="50"/>
        <v/>
      </c>
      <c r="O157" s="8" t="str">
        <f t="shared" si="51"/>
        <v/>
      </c>
      <c r="P157" s="58" t="str">
        <f t="shared" si="60"/>
        <v/>
      </c>
      <c r="Q157" s="8" t="str">
        <f t="shared" si="55"/>
        <v/>
      </c>
      <c r="R157" s="8" t="str">
        <f t="shared" si="61"/>
        <v/>
      </c>
      <c r="S157" s="57" t="str">
        <f>IFERROR(VLOOKUP(A157,'1-2-1 绩效数据'!$G:$I,3,0),"")</f>
        <v/>
      </c>
      <c r="T157" s="8" t="str">
        <f t="shared" si="62"/>
        <v>2</v>
      </c>
      <c r="U157" s="8" t="str">
        <f t="shared" si="52"/>
        <v/>
      </c>
      <c r="V157" s="8" t="str">
        <f t="shared" si="53"/>
        <v/>
      </c>
      <c r="W157" s="58" t="str">
        <f t="shared" si="63"/>
        <v/>
      </c>
      <c r="X157" s="8" t="str">
        <f t="shared" si="56"/>
        <v/>
      </c>
      <c r="Y157" s="8" t="str">
        <f t="shared" si="64"/>
        <v/>
      </c>
      <c r="Z157" s="57" t="str">
        <f t="shared" si="65"/>
        <v/>
      </c>
    </row>
    <row r="158" spans="1:26" x14ac:dyDescent="0.3">
      <c r="A158" s="8"/>
      <c r="B158" s="70" t="str">
        <f>IFERROR(VLOOKUP('1-2-2 关键绩效'!$A158,'1-1 基本信息'!$A:$K,7,0),"")</f>
        <v/>
      </c>
      <c r="C158" s="8" t="str">
        <f>IFERROR(VLOOKUP($A158,'1-1 基本信息'!$A:$J,10,0),"")</f>
        <v/>
      </c>
      <c r="D158" s="8" t="str">
        <f>IFERROR(VLOOKUP(A158,'1-1 基本信息'!$A:$I,8,0),"")</f>
        <v/>
      </c>
      <c r="E158" s="57" t="str">
        <f>IFERROR(VLOOKUP($A158,'1-2-1 绩效数据'!$A:$C,3,0),"")</f>
        <v/>
      </c>
      <c r="F158" s="8" t="str">
        <f t="shared" si="57"/>
        <v>2</v>
      </c>
      <c r="G158" s="8" t="str">
        <f t="shared" si="48"/>
        <v/>
      </c>
      <c r="H158" s="8" t="str">
        <f t="shared" si="49"/>
        <v/>
      </c>
      <c r="I158" s="58" t="str">
        <f t="shared" si="58"/>
        <v/>
      </c>
      <c r="J158" s="8" t="str">
        <f t="shared" si="54"/>
        <v/>
      </c>
      <c r="K158" s="8" t="str">
        <f t="shared" si="59"/>
        <v/>
      </c>
      <c r="L158" s="57" t="str">
        <f>IFERROR(VLOOKUP($A158,'1-2-1 绩效数据'!$D:$F,3,0),"")</f>
        <v/>
      </c>
      <c r="M158" s="8" t="str">
        <f t="shared" si="66"/>
        <v>2</v>
      </c>
      <c r="N158" s="8" t="str">
        <f t="shared" si="50"/>
        <v/>
      </c>
      <c r="O158" s="8" t="str">
        <f t="shared" si="51"/>
        <v/>
      </c>
      <c r="P158" s="58" t="str">
        <f t="shared" si="60"/>
        <v/>
      </c>
      <c r="Q158" s="8" t="str">
        <f t="shared" si="55"/>
        <v/>
      </c>
      <c r="R158" s="8" t="str">
        <f t="shared" si="61"/>
        <v/>
      </c>
      <c r="S158" s="57" t="str">
        <f>IFERROR(VLOOKUP(A158,'1-2-1 绩效数据'!$G:$I,3,0),"")</f>
        <v/>
      </c>
      <c r="T158" s="8" t="str">
        <f t="shared" si="62"/>
        <v>2</v>
      </c>
      <c r="U158" s="8" t="str">
        <f t="shared" si="52"/>
        <v/>
      </c>
      <c r="V158" s="8" t="str">
        <f t="shared" si="53"/>
        <v/>
      </c>
      <c r="W158" s="58" t="str">
        <f t="shared" si="63"/>
        <v/>
      </c>
      <c r="X158" s="8" t="str">
        <f t="shared" si="56"/>
        <v/>
      </c>
      <c r="Y158" s="8" t="str">
        <f t="shared" si="64"/>
        <v/>
      </c>
      <c r="Z158" s="57" t="str">
        <f t="shared" si="65"/>
        <v/>
      </c>
    </row>
    <row r="159" spans="1:26" x14ac:dyDescent="0.3">
      <c r="A159" s="8"/>
      <c r="B159" s="70" t="str">
        <f>IFERROR(VLOOKUP('1-2-2 关键绩效'!$A159,'1-1 基本信息'!$A:$K,7,0),"")</f>
        <v/>
      </c>
      <c r="C159" s="8" t="str">
        <f>IFERROR(VLOOKUP($A159,'1-1 基本信息'!$A:$J,10,0),"")</f>
        <v/>
      </c>
      <c r="D159" s="8" t="str">
        <f>IFERROR(VLOOKUP(A159,'1-1 基本信息'!$A:$I,8,0),"")</f>
        <v/>
      </c>
      <c r="E159" s="57" t="str">
        <f>IFERROR(VLOOKUP($A159,'1-2-1 绩效数据'!$A:$C,3,0),"")</f>
        <v/>
      </c>
      <c r="F159" s="8" t="str">
        <f t="shared" si="57"/>
        <v>2</v>
      </c>
      <c r="G159" s="8" t="str">
        <f t="shared" si="48"/>
        <v/>
      </c>
      <c r="H159" s="8" t="str">
        <f t="shared" si="49"/>
        <v/>
      </c>
      <c r="I159" s="58" t="str">
        <f t="shared" si="58"/>
        <v/>
      </c>
      <c r="J159" s="8" t="str">
        <f t="shared" si="54"/>
        <v/>
      </c>
      <c r="K159" s="8" t="str">
        <f t="shared" si="59"/>
        <v/>
      </c>
      <c r="L159" s="57" t="str">
        <f>IFERROR(VLOOKUP($A159,'1-2-1 绩效数据'!$D:$F,3,0),"")</f>
        <v/>
      </c>
      <c r="M159" s="8" t="str">
        <f t="shared" si="66"/>
        <v>2</v>
      </c>
      <c r="N159" s="8" t="str">
        <f t="shared" si="50"/>
        <v/>
      </c>
      <c r="O159" s="8" t="str">
        <f t="shared" si="51"/>
        <v/>
      </c>
      <c r="P159" s="58" t="str">
        <f t="shared" si="60"/>
        <v/>
      </c>
      <c r="Q159" s="8" t="str">
        <f t="shared" si="55"/>
        <v/>
      </c>
      <c r="R159" s="8" t="str">
        <f t="shared" si="61"/>
        <v/>
      </c>
      <c r="S159" s="57" t="str">
        <f>IFERROR(VLOOKUP(A159,'1-2-1 绩效数据'!$G:$I,3,0),"")</f>
        <v/>
      </c>
      <c r="T159" s="8" t="str">
        <f t="shared" si="62"/>
        <v>2</v>
      </c>
      <c r="U159" s="8" t="str">
        <f t="shared" si="52"/>
        <v/>
      </c>
      <c r="V159" s="8" t="str">
        <f t="shared" si="53"/>
        <v/>
      </c>
      <c r="W159" s="58" t="str">
        <f t="shared" si="63"/>
        <v/>
      </c>
      <c r="X159" s="8" t="str">
        <f t="shared" si="56"/>
        <v/>
      </c>
      <c r="Y159" s="8" t="str">
        <f t="shared" si="64"/>
        <v/>
      </c>
      <c r="Z159" s="57" t="str">
        <f t="shared" si="65"/>
        <v/>
      </c>
    </row>
    <row r="160" spans="1:26" x14ac:dyDescent="0.3">
      <c r="A160" s="8"/>
      <c r="B160" s="70" t="str">
        <f>IFERROR(VLOOKUP('1-2-2 关键绩效'!$A160,'1-1 基本信息'!$A:$K,7,0),"")</f>
        <v/>
      </c>
      <c r="C160" s="8" t="str">
        <f>IFERROR(VLOOKUP($A160,'1-1 基本信息'!$A:$J,10,0),"")</f>
        <v/>
      </c>
      <c r="D160" s="8" t="str">
        <f>IFERROR(VLOOKUP(A160,'1-1 基本信息'!$A:$I,8,0),"")</f>
        <v/>
      </c>
      <c r="E160" s="57" t="str">
        <f>IFERROR(VLOOKUP($A160,'1-2-1 绩效数据'!$A:$C,3,0),"")</f>
        <v/>
      </c>
      <c r="F160" s="8" t="str">
        <f t="shared" si="57"/>
        <v>2</v>
      </c>
      <c r="G160" s="8" t="str">
        <f t="shared" si="48"/>
        <v/>
      </c>
      <c r="H160" s="8" t="str">
        <f t="shared" si="49"/>
        <v/>
      </c>
      <c r="I160" s="58" t="str">
        <f t="shared" si="58"/>
        <v/>
      </c>
      <c r="J160" s="8" t="str">
        <f t="shared" si="54"/>
        <v/>
      </c>
      <c r="K160" s="8" t="str">
        <f t="shared" si="59"/>
        <v/>
      </c>
      <c r="L160" s="57" t="str">
        <f>IFERROR(VLOOKUP($A160,'1-2-1 绩效数据'!$D:$F,3,0),"")</f>
        <v/>
      </c>
      <c r="M160" s="8" t="str">
        <f t="shared" si="66"/>
        <v>2</v>
      </c>
      <c r="N160" s="8" t="str">
        <f t="shared" si="50"/>
        <v/>
      </c>
      <c r="O160" s="8" t="str">
        <f t="shared" si="51"/>
        <v/>
      </c>
      <c r="P160" s="58" t="str">
        <f t="shared" si="60"/>
        <v/>
      </c>
      <c r="Q160" s="8" t="str">
        <f t="shared" si="55"/>
        <v/>
      </c>
      <c r="R160" s="8" t="str">
        <f t="shared" si="61"/>
        <v/>
      </c>
      <c r="S160" s="57" t="str">
        <f>IFERROR(VLOOKUP(A160,'1-2-1 绩效数据'!$G:$I,3,0),"")</f>
        <v/>
      </c>
      <c r="T160" s="8" t="str">
        <f t="shared" si="62"/>
        <v>2</v>
      </c>
      <c r="U160" s="8" t="str">
        <f t="shared" si="52"/>
        <v/>
      </c>
      <c r="V160" s="8" t="str">
        <f t="shared" si="53"/>
        <v/>
      </c>
      <c r="W160" s="58" t="str">
        <f t="shared" si="63"/>
        <v/>
      </c>
      <c r="X160" s="8" t="str">
        <f t="shared" si="56"/>
        <v/>
      </c>
      <c r="Y160" s="8" t="str">
        <f t="shared" si="64"/>
        <v/>
      </c>
      <c r="Z160" s="57" t="str">
        <f t="shared" si="65"/>
        <v/>
      </c>
    </row>
    <row r="161" spans="1:26" x14ac:dyDescent="0.3">
      <c r="A161" s="8"/>
      <c r="B161" s="70" t="str">
        <f>IFERROR(VLOOKUP('1-2-2 关键绩效'!$A161,'1-1 基本信息'!$A:$K,7,0),"")</f>
        <v/>
      </c>
      <c r="C161" s="8" t="str">
        <f>IFERROR(VLOOKUP($A161,'1-1 基本信息'!$A:$J,10,0),"")</f>
        <v/>
      </c>
      <c r="D161" s="8" t="str">
        <f>IFERROR(VLOOKUP(A161,'1-1 基本信息'!$A:$I,8,0),"")</f>
        <v/>
      </c>
      <c r="E161" s="57" t="str">
        <f>IFERROR(VLOOKUP($A161,'1-2-1 绩效数据'!$A:$C,3,0),"")</f>
        <v/>
      </c>
      <c r="F161" s="8" t="str">
        <f t="shared" si="57"/>
        <v>2</v>
      </c>
      <c r="G161" s="8" t="str">
        <f t="shared" si="48"/>
        <v/>
      </c>
      <c r="H161" s="8" t="str">
        <f t="shared" si="49"/>
        <v/>
      </c>
      <c r="I161" s="58" t="str">
        <f t="shared" si="58"/>
        <v/>
      </c>
      <c r="J161" s="8" t="str">
        <f t="shared" si="54"/>
        <v/>
      </c>
      <c r="K161" s="8" t="str">
        <f t="shared" si="59"/>
        <v/>
      </c>
      <c r="L161" s="57" t="str">
        <f>IFERROR(VLOOKUP($A161,'1-2-1 绩效数据'!$D:$F,3,0),"")</f>
        <v/>
      </c>
      <c r="M161" s="8" t="str">
        <f t="shared" si="66"/>
        <v>2</v>
      </c>
      <c r="N161" s="8" t="str">
        <f t="shared" si="50"/>
        <v/>
      </c>
      <c r="O161" s="8" t="str">
        <f t="shared" si="51"/>
        <v/>
      </c>
      <c r="P161" s="58" t="str">
        <f t="shared" si="60"/>
        <v/>
      </c>
      <c r="Q161" s="8" t="str">
        <f t="shared" si="55"/>
        <v/>
      </c>
      <c r="R161" s="8" t="str">
        <f t="shared" si="61"/>
        <v/>
      </c>
      <c r="S161" s="57" t="str">
        <f>IFERROR(VLOOKUP(A161,'1-2-1 绩效数据'!$G:$I,3,0),"")</f>
        <v/>
      </c>
      <c r="T161" s="8" t="str">
        <f t="shared" si="62"/>
        <v>2</v>
      </c>
      <c r="U161" s="8" t="str">
        <f t="shared" si="52"/>
        <v/>
      </c>
      <c r="V161" s="8" t="str">
        <f t="shared" si="53"/>
        <v/>
      </c>
      <c r="W161" s="58" t="str">
        <f t="shared" si="63"/>
        <v/>
      </c>
      <c r="X161" s="8" t="str">
        <f t="shared" si="56"/>
        <v/>
      </c>
      <c r="Y161" s="8" t="str">
        <f t="shared" si="64"/>
        <v/>
      </c>
      <c r="Z161" s="57" t="str">
        <f t="shared" si="65"/>
        <v/>
      </c>
    </row>
    <row r="162" spans="1:26" x14ac:dyDescent="0.3">
      <c r="A162" s="8"/>
      <c r="B162" s="70" t="str">
        <f>IFERROR(VLOOKUP('1-2-2 关键绩效'!$A162,'1-1 基本信息'!$A:$K,7,0),"")</f>
        <v/>
      </c>
      <c r="C162" s="8" t="str">
        <f>IFERROR(VLOOKUP($A162,'1-1 基本信息'!$A:$J,10,0),"")</f>
        <v/>
      </c>
      <c r="D162" s="8" t="str">
        <f>IFERROR(VLOOKUP(A162,'1-1 基本信息'!$A:$I,8,0),"")</f>
        <v/>
      </c>
      <c r="E162" s="57" t="str">
        <f>IFERROR(VLOOKUP($A162,'1-2-1 绩效数据'!$A:$C,3,0),"")</f>
        <v/>
      </c>
      <c r="F162" s="8" t="str">
        <f t="shared" si="57"/>
        <v>2</v>
      </c>
      <c r="G162" s="8" t="str">
        <f t="shared" si="48"/>
        <v/>
      </c>
      <c r="H162" s="8" t="str">
        <f t="shared" si="49"/>
        <v/>
      </c>
      <c r="I162" s="58" t="str">
        <f t="shared" si="58"/>
        <v/>
      </c>
      <c r="J162" s="8" t="str">
        <f t="shared" si="54"/>
        <v/>
      </c>
      <c r="K162" s="8" t="str">
        <f t="shared" si="59"/>
        <v/>
      </c>
      <c r="L162" s="57" t="str">
        <f>IFERROR(VLOOKUP($A162,'1-2-1 绩效数据'!$D:$F,3,0),"")</f>
        <v/>
      </c>
      <c r="M162" s="8" t="str">
        <f t="shared" si="66"/>
        <v>2</v>
      </c>
      <c r="N162" s="8" t="str">
        <f t="shared" si="50"/>
        <v/>
      </c>
      <c r="O162" s="8" t="str">
        <f t="shared" si="51"/>
        <v/>
      </c>
      <c r="P162" s="58" t="str">
        <f t="shared" si="60"/>
        <v/>
      </c>
      <c r="Q162" s="8" t="str">
        <f t="shared" si="55"/>
        <v/>
      </c>
      <c r="R162" s="8" t="str">
        <f t="shared" si="61"/>
        <v/>
      </c>
      <c r="S162" s="57" t="str">
        <f>IFERROR(VLOOKUP(A162,'1-2-1 绩效数据'!$G:$I,3,0),"")</f>
        <v/>
      </c>
      <c r="T162" s="8" t="str">
        <f t="shared" si="62"/>
        <v>2</v>
      </c>
      <c r="U162" s="8" t="str">
        <f t="shared" si="52"/>
        <v/>
      </c>
      <c r="V162" s="8" t="str">
        <f t="shared" si="53"/>
        <v/>
      </c>
      <c r="W162" s="58" t="str">
        <f t="shared" si="63"/>
        <v/>
      </c>
      <c r="X162" s="8" t="str">
        <f t="shared" si="56"/>
        <v/>
      </c>
      <c r="Y162" s="8" t="str">
        <f t="shared" si="64"/>
        <v/>
      </c>
      <c r="Z162" s="57" t="str">
        <f t="shared" si="65"/>
        <v/>
      </c>
    </row>
    <row r="163" spans="1:26" x14ac:dyDescent="0.3">
      <c r="A163" s="8"/>
      <c r="B163" s="70" t="str">
        <f>IFERROR(VLOOKUP('1-2-2 关键绩效'!$A163,'1-1 基本信息'!$A:$K,7,0),"")</f>
        <v/>
      </c>
      <c r="C163" s="8" t="str">
        <f>IFERROR(VLOOKUP($A163,'1-1 基本信息'!$A:$J,10,0),"")</f>
        <v/>
      </c>
      <c r="D163" s="8" t="str">
        <f>IFERROR(VLOOKUP(A163,'1-1 基本信息'!$A:$I,8,0),"")</f>
        <v/>
      </c>
      <c r="E163" s="57" t="str">
        <f>IFERROR(VLOOKUP($A163,'1-2-1 绩效数据'!$A:$C,3,0),"")</f>
        <v/>
      </c>
      <c r="F163" s="8" t="str">
        <f t="shared" si="57"/>
        <v>2</v>
      </c>
      <c r="G163" s="8" t="str">
        <f t="shared" si="48"/>
        <v/>
      </c>
      <c r="H163" s="8" t="str">
        <f t="shared" si="49"/>
        <v/>
      </c>
      <c r="I163" s="58" t="str">
        <f t="shared" si="58"/>
        <v/>
      </c>
      <c r="J163" s="8" t="str">
        <f t="shared" si="54"/>
        <v/>
      </c>
      <c r="K163" s="8" t="str">
        <f t="shared" si="59"/>
        <v/>
      </c>
      <c r="L163" s="57" t="str">
        <f>IFERROR(VLOOKUP($A163,'1-2-1 绩效数据'!$D:$F,3,0),"")</f>
        <v/>
      </c>
      <c r="M163" s="8" t="str">
        <f t="shared" si="66"/>
        <v>2</v>
      </c>
      <c r="N163" s="8" t="str">
        <f t="shared" si="50"/>
        <v/>
      </c>
      <c r="O163" s="8" t="str">
        <f t="shared" si="51"/>
        <v/>
      </c>
      <c r="P163" s="58" t="str">
        <f t="shared" si="60"/>
        <v/>
      </c>
      <c r="Q163" s="8" t="str">
        <f t="shared" si="55"/>
        <v/>
      </c>
      <c r="R163" s="8" t="str">
        <f t="shared" si="61"/>
        <v/>
      </c>
      <c r="S163" s="57" t="str">
        <f>IFERROR(VLOOKUP(A163,'1-2-1 绩效数据'!$G:$I,3,0),"")</f>
        <v/>
      </c>
      <c r="T163" s="8" t="str">
        <f t="shared" si="62"/>
        <v>2</v>
      </c>
      <c r="U163" s="8" t="str">
        <f t="shared" si="52"/>
        <v/>
      </c>
      <c r="V163" s="8" t="str">
        <f t="shared" si="53"/>
        <v/>
      </c>
      <c r="W163" s="58" t="str">
        <f t="shared" si="63"/>
        <v/>
      </c>
      <c r="X163" s="8" t="str">
        <f t="shared" si="56"/>
        <v/>
      </c>
      <c r="Y163" s="8" t="str">
        <f t="shared" si="64"/>
        <v/>
      </c>
      <c r="Z163" s="57" t="str">
        <f t="shared" si="65"/>
        <v/>
      </c>
    </row>
    <row r="164" spans="1:26" x14ac:dyDescent="0.3">
      <c r="A164" s="8"/>
      <c r="B164" s="70" t="str">
        <f>IFERROR(VLOOKUP('1-2-2 关键绩效'!$A164,'1-1 基本信息'!$A:$K,7,0),"")</f>
        <v/>
      </c>
      <c r="C164" s="8" t="str">
        <f>IFERROR(VLOOKUP($A164,'1-1 基本信息'!$A:$J,10,0),"")</f>
        <v/>
      </c>
      <c r="D164" s="8" t="str">
        <f>IFERROR(VLOOKUP(A164,'1-1 基本信息'!$A:$I,8,0),"")</f>
        <v/>
      </c>
      <c r="E164" s="57" t="str">
        <f>IFERROR(VLOOKUP($A164,'1-2-1 绩效数据'!$A:$C,3,0),"")</f>
        <v/>
      </c>
      <c r="F164" s="8" t="str">
        <f t="shared" si="57"/>
        <v>2</v>
      </c>
      <c r="G164" s="8" t="str">
        <f t="shared" si="48"/>
        <v/>
      </c>
      <c r="H164" s="8" t="str">
        <f t="shared" si="49"/>
        <v/>
      </c>
      <c r="I164" s="58" t="str">
        <f t="shared" si="58"/>
        <v/>
      </c>
      <c r="J164" s="8" t="str">
        <f t="shared" si="54"/>
        <v/>
      </c>
      <c r="K164" s="8" t="str">
        <f t="shared" si="59"/>
        <v/>
      </c>
      <c r="L164" s="57" t="str">
        <f>IFERROR(VLOOKUP($A164,'1-2-1 绩效数据'!$D:$F,3,0),"")</f>
        <v/>
      </c>
      <c r="M164" s="8" t="str">
        <f t="shared" si="66"/>
        <v>2</v>
      </c>
      <c r="N164" s="8" t="str">
        <f t="shared" si="50"/>
        <v/>
      </c>
      <c r="O164" s="8" t="str">
        <f t="shared" si="51"/>
        <v/>
      </c>
      <c r="P164" s="58" t="str">
        <f t="shared" si="60"/>
        <v/>
      </c>
      <c r="Q164" s="8" t="str">
        <f t="shared" si="55"/>
        <v/>
      </c>
      <c r="R164" s="8" t="str">
        <f t="shared" si="61"/>
        <v/>
      </c>
      <c r="S164" s="57" t="str">
        <f>IFERROR(VLOOKUP(A164,'1-2-1 绩效数据'!$G:$I,3,0),"")</f>
        <v/>
      </c>
      <c r="T164" s="8" t="str">
        <f t="shared" si="62"/>
        <v>2</v>
      </c>
      <c r="U164" s="8" t="str">
        <f t="shared" si="52"/>
        <v/>
      </c>
      <c r="V164" s="8" t="str">
        <f t="shared" si="53"/>
        <v/>
      </c>
      <c r="W164" s="58" t="str">
        <f t="shared" si="63"/>
        <v/>
      </c>
      <c r="X164" s="8" t="str">
        <f t="shared" si="56"/>
        <v/>
      </c>
      <c r="Y164" s="8" t="str">
        <f t="shared" si="64"/>
        <v/>
      </c>
      <c r="Z164" s="57" t="str">
        <f t="shared" si="65"/>
        <v/>
      </c>
    </row>
    <row r="165" spans="1:26" x14ac:dyDescent="0.3">
      <c r="A165" s="8"/>
      <c r="B165" s="70" t="str">
        <f>IFERROR(VLOOKUP('1-2-2 关键绩效'!$A165,'1-1 基本信息'!$A:$K,7,0),"")</f>
        <v/>
      </c>
      <c r="C165" s="8" t="str">
        <f>IFERROR(VLOOKUP($A165,'1-1 基本信息'!$A:$J,10,0),"")</f>
        <v/>
      </c>
      <c r="D165" s="8" t="str">
        <f>IFERROR(VLOOKUP(A165,'1-1 基本信息'!$A:$I,8,0),"")</f>
        <v/>
      </c>
      <c r="E165" s="57" t="str">
        <f>IFERROR(VLOOKUP($A165,'1-2-1 绩效数据'!$A:$C,3,0),"")</f>
        <v/>
      </c>
      <c r="F165" s="8" t="str">
        <f t="shared" si="57"/>
        <v>2</v>
      </c>
      <c r="G165" s="8" t="str">
        <f t="shared" si="48"/>
        <v/>
      </c>
      <c r="H165" s="8" t="str">
        <f t="shared" si="49"/>
        <v/>
      </c>
      <c r="I165" s="58" t="str">
        <f t="shared" si="58"/>
        <v/>
      </c>
      <c r="J165" s="8" t="str">
        <f t="shared" si="54"/>
        <v/>
      </c>
      <c r="K165" s="8" t="str">
        <f t="shared" si="59"/>
        <v/>
      </c>
      <c r="L165" s="57" t="str">
        <f>IFERROR(VLOOKUP($A165,'1-2-1 绩效数据'!$D:$F,3,0),"")</f>
        <v/>
      </c>
      <c r="M165" s="8" t="str">
        <f t="shared" si="66"/>
        <v>2</v>
      </c>
      <c r="N165" s="8" t="str">
        <f t="shared" si="50"/>
        <v/>
      </c>
      <c r="O165" s="8" t="str">
        <f t="shared" si="51"/>
        <v/>
      </c>
      <c r="P165" s="58" t="str">
        <f t="shared" si="60"/>
        <v/>
      </c>
      <c r="Q165" s="8" t="str">
        <f t="shared" si="55"/>
        <v/>
      </c>
      <c r="R165" s="8" t="str">
        <f t="shared" si="61"/>
        <v/>
      </c>
      <c r="S165" s="57" t="str">
        <f>IFERROR(VLOOKUP(A165,'1-2-1 绩效数据'!$G:$I,3,0),"")</f>
        <v/>
      </c>
      <c r="T165" s="8" t="str">
        <f t="shared" si="62"/>
        <v>2</v>
      </c>
      <c r="U165" s="8" t="str">
        <f t="shared" si="52"/>
        <v/>
      </c>
      <c r="V165" s="8" t="str">
        <f t="shared" si="53"/>
        <v/>
      </c>
      <c r="W165" s="58" t="str">
        <f t="shared" si="63"/>
        <v/>
      </c>
      <c r="X165" s="8" t="str">
        <f t="shared" si="56"/>
        <v/>
      </c>
      <c r="Y165" s="8" t="str">
        <f t="shared" si="64"/>
        <v/>
      </c>
      <c r="Z165" s="57" t="str">
        <f t="shared" si="65"/>
        <v/>
      </c>
    </row>
    <row r="166" spans="1:26" x14ac:dyDescent="0.3">
      <c r="A166" s="8"/>
      <c r="B166" s="70" t="str">
        <f>IFERROR(VLOOKUP('1-2-2 关键绩效'!$A166,'1-1 基本信息'!$A:$K,7,0),"")</f>
        <v/>
      </c>
      <c r="C166" s="8" t="str">
        <f>IFERROR(VLOOKUP($A166,'1-1 基本信息'!$A:$J,10,0),"")</f>
        <v/>
      </c>
      <c r="D166" s="8" t="str">
        <f>IFERROR(VLOOKUP(A166,'1-1 基本信息'!$A:$I,8,0),"")</f>
        <v/>
      </c>
      <c r="E166" s="57" t="str">
        <f>IFERROR(VLOOKUP($A166,'1-2-1 绩效数据'!$A:$C,3,0),"")</f>
        <v/>
      </c>
      <c r="F166" s="8" t="str">
        <f t="shared" si="57"/>
        <v>2</v>
      </c>
      <c r="G166" s="8" t="str">
        <f t="shared" si="48"/>
        <v/>
      </c>
      <c r="H166" s="8" t="str">
        <f t="shared" si="49"/>
        <v/>
      </c>
      <c r="I166" s="58" t="str">
        <f t="shared" si="58"/>
        <v/>
      </c>
      <c r="J166" s="8" t="str">
        <f t="shared" si="54"/>
        <v/>
      </c>
      <c r="K166" s="8" t="str">
        <f t="shared" si="59"/>
        <v/>
      </c>
      <c r="L166" s="57" t="str">
        <f>IFERROR(VLOOKUP($A166,'1-2-1 绩效数据'!$D:$F,3,0),"")</f>
        <v/>
      </c>
      <c r="M166" s="8" t="str">
        <f t="shared" si="66"/>
        <v>2</v>
      </c>
      <c r="N166" s="8" t="str">
        <f t="shared" si="50"/>
        <v/>
      </c>
      <c r="O166" s="8" t="str">
        <f t="shared" si="51"/>
        <v/>
      </c>
      <c r="P166" s="58" t="str">
        <f t="shared" si="60"/>
        <v/>
      </c>
      <c r="Q166" s="8" t="str">
        <f t="shared" si="55"/>
        <v/>
      </c>
      <c r="R166" s="8" t="str">
        <f t="shared" si="61"/>
        <v/>
      </c>
      <c r="S166" s="57" t="str">
        <f>IFERROR(VLOOKUP(A166,'1-2-1 绩效数据'!$G:$I,3,0),"")</f>
        <v/>
      </c>
      <c r="T166" s="8" t="str">
        <f t="shared" si="62"/>
        <v>2</v>
      </c>
      <c r="U166" s="8" t="str">
        <f t="shared" si="52"/>
        <v/>
      </c>
      <c r="V166" s="8" t="str">
        <f t="shared" si="53"/>
        <v/>
      </c>
      <c r="W166" s="58" t="str">
        <f t="shared" si="63"/>
        <v/>
      </c>
      <c r="X166" s="8" t="str">
        <f t="shared" si="56"/>
        <v/>
      </c>
      <c r="Y166" s="8" t="str">
        <f t="shared" si="64"/>
        <v/>
      </c>
      <c r="Z166" s="57" t="str">
        <f t="shared" si="65"/>
        <v/>
      </c>
    </row>
    <row r="167" spans="1:26" x14ac:dyDescent="0.3">
      <c r="A167" s="8"/>
      <c r="B167" s="70" t="str">
        <f>IFERROR(VLOOKUP('1-2-2 关键绩效'!$A167,'1-1 基本信息'!$A:$K,7,0),"")</f>
        <v/>
      </c>
      <c r="C167" s="8" t="str">
        <f>IFERROR(VLOOKUP($A167,'1-1 基本信息'!$A:$J,10,0),"")</f>
        <v/>
      </c>
      <c r="D167" s="8" t="str">
        <f>IFERROR(VLOOKUP(A167,'1-1 基本信息'!$A:$I,8,0),"")</f>
        <v/>
      </c>
      <c r="E167" s="57" t="str">
        <f>IFERROR(VLOOKUP($A167,'1-2-1 绩效数据'!$A:$C,3,0),"")</f>
        <v/>
      </c>
      <c r="F167" s="8" t="str">
        <f t="shared" si="57"/>
        <v>2</v>
      </c>
      <c r="G167" s="8" t="str">
        <f t="shared" si="48"/>
        <v/>
      </c>
      <c r="H167" s="8" t="str">
        <f t="shared" si="49"/>
        <v/>
      </c>
      <c r="I167" s="58" t="str">
        <f t="shared" si="58"/>
        <v/>
      </c>
      <c r="J167" s="8" t="str">
        <f t="shared" si="54"/>
        <v/>
      </c>
      <c r="K167" s="8" t="str">
        <f t="shared" si="59"/>
        <v/>
      </c>
      <c r="L167" s="57" t="str">
        <f>IFERROR(VLOOKUP($A167,'1-2-1 绩效数据'!$D:$F,3,0),"")</f>
        <v/>
      </c>
      <c r="M167" s="8" t="str">
        <f t="shared" si="66"/>
        <v>2</v>
      </c>
      <c r="N167" s="8" t="str">
        <f t="shared" si="50"/>
        <v/>
      </c>
      <c r="O167" s="8" t="str">
        <f t="shared" si="51"/>
        <v/>
      </c>
      <c r="P167" s="58" t="str">
        <f t="shared" si="60"/>
        <v/>
      </c>
      <c r="Q167" s="8" t="str">
        <f t="shared" si="55"/>
        <v/>
      </c>
      <c r="R167" s="8" t="str">
        <f t="shared" si="61"/>
        <v/>
      </c>
      <c r="S167" s="57" t="str">
        <f>IFERROR(VLOOKUP(A167,'1-2-1 绩效数据'!$G:$I,3,0),"")</f>
        <v/>
      </c>
      <c r="T167" s="8" t="str">
        <f t="shared" si="62"/>
        <v>2</v>
      </c>
      <c r="U167" s="8" t="str">
        <f t="shared" si="52"/>
        <v/>
      </c>
      <c r="V167" s="8" t="str">
        <f t="shared" si="53"/>
        <v/>
      </c>
      <c r="W167" s="58" t="str">
        <f t="shared" si="63"/>
        <v/>
      </c>
      <c r="X167" s="8" t="str">
        <f t="shared" si="56"/>
        <v/>
      </c>
      <c r="Y167" s="8" t="str">
        <f t="shared" si="64"/>
        <v/>
      </c>
      <c r="Z167" s="57" t="str">
        <f t="shared" si="65"/>
        <v/>
      </c>
    </row>
    <row r="168" spans="1:26" x14ac:dyDescent="0.3">
      <c r="A168" s="8"/>
      <c r="B168" s="70" t="str">
        <f>IFERROR(VLOOKUP('1-2-2 关键绩效'!$A168,'1-1 基本信息'!$A:$K,7,0),"")</f>
        <v/>
      </c>
      <c r="C168" s="8" t="str">
        <f>IFERROR(VLOOKUP($A168,'1-1 基本信息'!$A:$J,10,0),"")</f>
        <v/>
      </c>
      <c r="D168" s="8" t="str">
        <f>IFERROR(VLOOKUP(A168,'1-1 基本信息'!$A:$I,8,0),"")</f>
        <v/>
      </c>
      <c r="E168" s="57" t="str">
        <f>IFERROR(VLOOKUP($A168,'1-2-1 绩效数据'!$A:$C,3,0),"")</f>
        <v/>
      </c>
      <c r="F168" s="8" t="str">
        <f t="shared" si="57"/>
        <v>2</v>
      </c>
      <c r="G168" s="8" t="str">
        <f t="shared" si="48"/>
        <v/>
      </c>
      <c r="H168" s="8" t="str">
        <f t="shared" si="49"/>
        <v/>
      </c>
      <c r="I168" s="58" t="str">
        <f t="shared" si="58"/>
        <v/>
      </c>
      <c r="J168" s="8" t="str">
        <f t="shared" si="54"/>
        <v/>
      </c>
      <c r="K168" s="8" t="str">
        <f t="shared" si="59"/>
        <v/>
      </c>
      <c r="L168" s="57" t="str">
        <f>IFERROR(VLOOKUP($A168,'1-2-1 绩效数据'!$D:$F,3,0),"")</f>
        <v/>
      </c>
      <c r="M168" s="8" t="str">
        <f t="shared" si="66"/>
        <v>2</v>
      </c>
      <c r="N168" s="8" t="str">
        <f t="shared" si="50"/>
        <v/>
      </c>
      <c r="O168" s="8" t="str">
        <f t="shared" si="51"/>
        <v/>
      </c>
      <c r="P168" s="58" t="str">
        <f t="shared" si="60"/>
        <v/>
      </c>
      <c r="Q168" s="8" t="str">
        <f t="shared" si="55"/>
        <v/>
      </c>
      <c r="R168" s="8" t="str">
        <f t="shared" si="61"/>
        <v/>
      </c>
      <c r="S168" s="57" t="str">
        <f>IFERROR(VLOOKUP(A168,'1-2-1 绩效数据'!$G:$I,3,0),"")</f>
        <v/>
      </c>
      <c r="T168" s="8" t="str">
        <f t="shared" si="62"/>
        <v>2</v>
      </c>
      <c r="U168" s="8" t="str">
        <f t="shared" si="52"/>
        <v/>
      </c>
      <c r="V168" s="8" t="str">
        <f t="shared" si="53"/>
        <v/>
      </c>
      <c r="W168" s="58" t="str">
        <f t="shared" si="63"/>
        <v/>
      </c>
      <c r="X168" s="8" t="str">
        <f t="shared" si="56"/>
        <v/>
      </c>
      <c r="Y168" s="8" t="str">
        <f t="shared" si="64"/>
        <v/>
      </c>
      <c r="Z168" s="57" t="str">
        <f t="shared" si="65"/>
        <v/>
      </c>
    </row>
    <row r="169" spans="1:26" x14ac:dyDescent="0.3">
      <c r="A169" s="8"/>
      <c r="B169" s="70" t="str">
        <f>IFERROR(VLOOKUP('1-2-2 关键绩效'!$A169,'1-1 基本信息'!$A:$K,7,0),"")</f>
        <v/>
      </c>
      <c r="C169" s="8" t="str">
        <f>IFERROR(VLOOKUP($A169,'1-1 基本信息'!$A:$J,10,0),"")</f>
        <v/>
      </c>
      <c r="D169" s="8" t="str">
        <f>IFERROR(VLOOKUP(A169,'1-1 基本信息'!$A:$I,8,0),"")</f>
        <v/>
      </c>
      <c r="E169" s="57" t="str">
        <f>IFERROR(VLOOKUP($A169,'1-2-1 绩效数据'!$A:$C,3,0),"")</f>
        <v/>
      </c>
      <c r="F169" s="8" t="str">
        <f t="shared" si="57"/>
        <v>2</v>
      </c>
      <c r="G169" s="8" t="str">
        <f t="shared" si="48"/>
        <v/>
      </c>
      <c r="H169" s="8" t="str">
        <f t="shared" si="49"/>
        <v/>
      </c>
      <c r="I169" s="58" t="str">
        <f t="shared" si="58"/>
        <v/>
      </c>
      <c r="J169" s="8" t="str">
        <f t="shared" si="54"/>
        <v/>
      </c>
      <c r="K169" s="8" t="str">
        <f t="shared" si="59"/>
        <v/>
      </c>
      <c r="L169" s="57" t="str">
        <f>IFERROR(VLOOKUP($A169,'1-2-1 绩效数据'!$D:$F,3,0),"")</f>
        <v/>
      </c>
      <c r="M169" s="8" t="str">
        <f t="shared" si="66"/>
        <v>2</v>
      </c>
      <c r="N169" s="8" t="str">
        <f t="shared" si="50"/>
        <v/>
      </c>
      <c r="O169" s="8" t="str">
        <f t="shared" si="51"/>
        <v/>
      </c>
      <c r="P169" s="58" t="str">
        <f t="shared" si="60"/>
        <v/>
      </c>
      <c r="Q169" s="8" t="str">
        <f t="shared" si="55"/>
        <v/>
      </c>
      <c r="R169" s="8" t="str">
        <f t="shared" si="61"/>
        <v/>
      </c>
      <c r="S169" s="57" t="str">
        <f>IFERROR(VLOOKUP(A169,'1-2-1 绩效数据'!$G:$I,3,0),"")</f>
        <v/>
      </c>
      <c r="T169" s="8" t="str">
        <f t="shared" si="62"/>
        <v>2</v>
      </c>
      <c r="U169" s="8" t="str">
        <f t="shared" si="52"/>
        <v/>
      </c>
      <c r="V169" s="8" t="str">
        <f t="shared" si="53"/>
        <v/>
      </c>
      <c r="W169" s="58" t="str">
        <f t="shared" si="63"/>
        <v/>
      </c>
      <c r="X169" s="8" t="str">
        <f t="shared" si="56"/>
        <v/>
      </c>
      <c r="Y169" s="8" t="str">
        <f t="shared" si="64"/>
        <v/>
      </c>
      <c r="Z169" s="57" t="str">
        <f t="shared" si="65"/>
        <v/>
      </c>
    </row>
    <row r="170" spans="1:26" x14ac:dyDescent="0.3">
      <c r="A170" s="8"/>
      <c r="B170" s="70" t="str">
        <f>IFERROR(VLOOKUP('1-2-2 关键绩效'!$A170,'1-1 基本信息'!$A:$K,7,0),"")</f>
        <v/>
      </c>
      <c r="C170" s="8" t="str">
        <f>IFERROR(VLOOKUP($A170,'1-1 基本信息'!$A:$J,10,0),"")</f>
        <v/>
      </c>
      <c r="D170" s="8" t="str">
        <f>IFERROR(VLOOKUP(A170,'1-1 基本信息'!$A:$I,8,0),"")</f>
        <v/>
      </c>
      <c r="E170" s="57" t="str">
        <f>IFERROR(VLOOKUP($A170,'1-2-1 绩效数据'!$A:$C,3,0),"")</f>
        <v/>
      </c>
      <c r="F170" s="8" t="str">
        <f t="shared" si="57"/>
        <v>2</v>
      </c>
      <c r="G170" s="8" t="str">
        <f t="shared" si="48"/>
        <v/>
      </c>
      <c r="H170" s="8" t="str">
        <f t="shared" si="49"/>
        <v/>
      </c>
      <c r="I170" s="58" t="str">
        <f t="shared" si="58"/>
        <v/>
      </c>
      <c r="J170" s="8" t="str">
        <f t="shared" si="54"/>
        <v/>
      </c>
      <c r="K170" s="8" t="str">
        <f t="shared" si="59"/>
        <v/>
      </c>
      <c r="L170" s="57" t="str">
        <f>IFERROR(VLOOKUP($A170,'1-2-1 绩效数据'!$D:$F,3,0),"")</f>
        <v/>
      </c>
      <c r="M170" s="8" t="str">
        <f t="shared" si="66"/>
        <v>2</v>
      </c>
      <c r="N170" s="8" t="str">
        <f t="shared" si="50"/>
        <v/>
      </c>
      <c r="O170" s="8" t="str">
        <f t="shared" si="51"/>
        <v/>
      </c>
      <c r="P170" s="58" t="str">
        <f t="shared" si="60"/>
        <v/>
      </c>
      <c r="Q170" s="8" t="str">
        <f t="shared" si="55"/>
        <v/>
      </c>
      <c r="R170" s="8" t="str">
        <f t="shared" si="61"/>
        <v/>
      </c>
      <c r="S170" s="57" t="str">
        <f>IFERROR(VLOOKUP(A170,'1-2-1 绩效数据'!$G:$I,3,0),"")</f>
        <v/>
      </c>
      <c r="T170" s="8" t="str">
        <f t="shared" si="62"/>
        <v>2</v>
      </c>
      <c r="U170" s="8" t="str">
        <f t="shared" si="52"/>
        <v/>
      </c>
      <c r="V170" s="8" t="str">
        <f t="shared" si="53"/>
        <v/>
      </c>
      <c r="W170" s="58" t="str">
        <f t="shared" si="63"/>
        <v/>
      </c>
      <c r="X170" s="8" t="str">
        <f t="shared" si="56"/>
        <v/>
      </c>
      <c r="Y170" s="8" t="str">
        <f t="shared" si="64"/>
        <v/>
      </c>
      <c r="Z170" s="57" t="str">
        <f t="shared" si="65"/>
        <v/>
      </c>
    </row>
    <row r="171" spans="1:26" x14ac:dyDescent="0.3">
      <c r="A171" s="8"/>
      <c r="B171" s="70" t="str">
        <f>IFERROR(VLOOKUP('1-2-2 关键绩效'!$A171,'1-1 基本信息'!$A:$K,7,0),"")</f>
        <v/>
      </c>
      <c r="C171" s="8" t="str">
        <f>IFERROR(VLOOKUP($A171,'1-1 基本信息'!$A:$J,10,0),"")</f>
        <v/>
      </c>
      <c r="D171" s="8" t="str">
        <f>IFERROR(VLOOKUP(A171,'1-1 基本信息'!$A:$I,8,0),"")</f>
        <v/>
      </c>
      <c r="E171" s="57" t="str">
        <f>IFERROR(VLOOKUP($A171,'1-2-1 绩效数据'!$A:$C,3,0),"")</f>
        <v/>
      </c>
      <c r="F171" s="8" t="str">
        <f t="shared" si="57"/>
        <v>2</v>
      </c>
      <c r="G171" s="8" t="str">
        <f t="shared" si="48"/>
        <v/>
      </c>
      <c r="H171" s="8" t="str">
        <f t="shared" si="49"/>
        <v/>
      </c>
      <c r="I171" s="58" t="str">
        <f t="shared" si="58"/>
        <v/>
      </c>
      <c r="J171" s="8" t="str">
        <f t="shared" si="54"/>
        <v/>
      </c>
      <c r="K171" s="8" t="str">
        <f t="shared" si="59"/>
        <v/>
      </c>
      <c r="L171" s="57" t="str">
        <f>IFERROR(VLOOKUP($A171,'1-2-1 绩效数据'!$D:$F,3,0),"")</f>
        <v/>
      </c>
      <c r="M171" s="8" t="str">
        <f t="shared" si="66"/>
        <v>2</v>
      </c>
      <c r="N171" s="8" t="str">
        <f t="shared" si="50"/>
        <v/>
      </c>
      <c r="O171" s="8" t="str">
        <f t="shared" si="51"/>
        <v/>
      </c>
      <c r="P171" s="58" t="str">
        <f t="shared" si="60"/>
        <v/>
      </c>
      <c r="Q171" s="8" t="str">
        <f t="shared" si="55"/>
        <v/>
      </c>
      <c r="R171" s="8" t="str">
        <f t="shared" si="61"/>
        <v/>
      </c>
      <c r="S171" s="57" t="str">
        <f>IFERROR(VLOOKUP(A171,'1-2-1 绩效数据'!$G:$I,3,0),"")</f>
        <v/>
      </c>
      <c r="T171" s="8" t="str">
        <f t="shared" si="62"/>
        <v>2</v>
      </c>
      <c r="U171" s="8" t="str">
        <f t="shared" si="52"/>
        <v/>
      </c>
      <c r="V171" s="8" t="str">
        <f t="shared" si="53"/>
        <v/>
      </c>
      <c r="W171" s="58" t="str">
        <f t="shared" si="63"/>
        <v/>
      </c>
      <c r="X171" s="8" t="str">
        <f t="shared" si="56"/>
        <v/>
      </c>
      <c r="Y171" s="8" t="str">
        <f t="shared" si="64"/>
        <v/>
      </c>
      <c r="Z171" s="57" t="str">
        <f t="shared" si="65"/>
        <v/>
      </c>
    </row>
    <row r="172" spans="1:26" x14ac:dyDescent="0.3">
      <c r="A172" s="8"/>
      <c r="B172" s="70" t="str">
        <f>IFERROR(VLOOKUP('1-2-2 关键绩效'!$A172,'1-1 基本信息'!$A:$K,7,0),"")</f>
        <v/>
      </c>
      <c r="C172" s="8" t="str">
        <f>IFERROR(VLOOKUP($A172,'1-1 基本信息'!$A:$J,10,0),"")</f>
        <v/>
      </c>
      <c r="D172" s="8" t="str">
        <f>IFERROR(VLOOKUP(A172,'1-1 基本信息'!$A:$I,8,0),"")</f>
        <v/>
      </c>
      <c r="E172" s="57" t="str">
        <f>IFERROR(VLOOKUP($A172,'1-2-1 绩效数据'!$A:$C,3,0),"")</f>
        <v/>
      </c>
      <c r="F172" s="8" t="str">
        <f t="shared" si="57"/>
        <v>2</v>
      </c>
      <c r="G172" s="8" t="str">
        <f t="shared" si="48"/>
        <v/>
      </c>
      <c r="H172" s="8" t="str">
        <f t="shared" si="49"/>
        <v/>
      </c>
      <c r="I172" s="58" t="str">
        <f t="shared" si="58"/>
        <v/>
      </c>
      <c r="J172" s="8" t="str">
        <f t="shared" si="54"/>
        <v/>
      </c>
      <c r="K172" s="8" t="str">
        <f t="shared" si="59"/>
        <v/>
      </c>
      <c r="L172" s="57" t="str">
        <f>IFERROR(VLOOKUP($A172,'1-2-1 绩效数据'!$D:$F,3,0),"")</f>
        <v/>
      </c>
      <c r="M172" s="8" t="str">
        <f t="shared" si="66"/>
        <v>2</v>
      </c>
      <c r="N172" s="8" t="str">
        <f t="shared" si="50"/>
        <v/>
      </c>
      <c r="O172" s="8" t="str">
        <f t="shared" si="51"/>
        <v/>
      </c>
      <c r="P172" s="58" t="str">
        <f t="shared" si="60"/>
        <v/>
      </c>
      <c r="Q172" s="8" t="str">
        <f t="shared" si="55"/>
        <v/>
      </c>
      <c r="R172" s="8" t="str">
        <f t="shared" si="61"/>
        <v/>
      </c>
      <c r="S172" s="57" t="str">
        <f>IFERROR(VLOOKUP(A172,'1-2-1 绩效数据'!$G:$I,3,0),"")</f>
        <v/>
      </c>
      <c r="T172" s="8" t="str">
        <f t="shared" si="62"/>
        <v>2</v>
      </c>
      <c r="U172" s="8" t="str">
        <f t="shared" si="52"/>
        <v/>
      </c>
      <c r="V172" s="8" t="str">
        <f t="shared" si="53"/>
        <v/>
      </c>
      <c r="W172" s="58" t="str">
        <f t="shared" si="63"/>
        <v/>
      </c>
      <c r="X172" s="8" t="str">
        <f t="shared" si="56"/>
        <v/>
      </c>
      <c r="Y172" s="8" t="str">
        <f t="shared" si="64"/>
        <v/>
      </c>
      <c r="Z172" s="57" t="str">
        <f t="shared" si="65"/>
        <v/>
      </c>
    </row>
    <row r="173" spans="1:26" x14ac:dyDescent="0.3">
      <c r="A173" s="8"/>
      <c r="B173" s="70" t="str">
        <f>IFERROR(VLOOKUP('1-2-2 关键绩效'!$A173,'1-1 基本信息'!$A:$K,7,0),"")</f>
        <v/>
      </c>
      <c r="C173" s="8" t="str">
        <f>IFERROR(VLOOKUP($A173,'1-1 基本信息'!$A:$J,10,0),"")</f>
        <v/>
      </c>
      <c r="D173" s="8" t="str">
        <f>IFERROR(VLOOKUP(A173,'1-1 基本信息'!$A:$I,8,0),"")</f>
        <v/>
      </c>
      <c r="E173" s="57" t="str">
        <f>IFERROR(VLOOKUP($A173,'1-2-1 绩效数据'!$A:$C,3,0),"")</f>
        <v/>
      </c>
      <c r="F173" s="8" t="str">
        <f t="shared" si="57"/>
        <v>2</v>
      </c>
      <c r="G173" s="8" t="str">
        <f t="shared" si="48"/>
        <v/>
      </c>
      <c r="H173" s="8" t="str">
        <f t="shared" si="49"/>
        <v/>
      </c>
      <c r="I173" s="58" t="str">
        <f t="shared" si="58"/>
        <v/>
      </c>
      <c r="J173" s="8" t="str">
        <f t="shared" si="54"/>
        <v/>
      </c>
      <c r="K173" s="8" t="str">
        <f t="shared" si="59"/>
        <v/>
      </c>
      <c r="L173" s="57" t="str">
        <f>IFERROR(VLOOKUP($A173,'1-2-1 绩效数据'!$D:$F,3,0),"")</f>
        <v/>
      </c>
      <c r="M173" s="8" t="str">
        <f t="shared" si="66"/>
        <v>2</v>
      </c>
      <c r="N173" s="8" t="str">
        <f t="shared" si="50"/>
        <v/>
      </c>
      <c r="O173" s="8" t="str">
        <f t="shared" si="51"/>
        <v/>
      </c>
      <c r="P173" s="58" t="str">
        <f t="shared" si="60"/>
        <v/>
      </c>
      <c r="Q173" s="8" t="str">
        <f t="shared" si="55"/>
        <v/>
      </c>
      <c r="R173" s="8" t="str">
        <f t="shared" si="61"/>
        <v/>
      </c>
      <c r="S173" s="57" t="str">
        <f>IFERROR(VLOOKUP(A173,'1-2-1 绩效数据'!$G:$I,3,0),"")</f>
        <v/>
      </c>
      <c r="T173" s="8" t="str">
        <f t="shared" si="62"/>
        <v>2</v>
      </c>
      <c r="U173" s="8" t="str">
        <f t="shared" si="52"/>
        <v/>
      </c>
      <c r="V173" s="8" t="str">
        <f t="shared" si="53"/>
        <v/>
      </c>
      <c r="W173" s="58" t="str">
        <f t="shared" si="63"/>
        <v/>
      </c>
      <c r="X173" s="8" t="str">
        <f t="shared" si="56"/>
        <v/>
      </c>
      <c r="Y173" s="8" t="str">
        <f t="shared" si="64"/>
        <v/>
      </c>
      <c r="Z173" s="57" t="str">
        <f t="shared" si="65"/>
        <v/>
      </c>
    </row>
    <row r="174" spans="1:26" x14ac:dyDescent="0.3">
      <c r="A174" s="8"/>
      <c r="B174" s="70" t="str">
        <f>IFERROR(VLOOKUP('1-2-2 关键绩效'!$A174,'1-1 基本信息'!$A:$K,7,0),"")</f>
        <v/>
      </c>
      <c r="C174" s="8" t="str">
        <f>IFERROR(VLOOKUP($A174,'1-1 基本信息'!$A:$J,10,0),"")</f>
        <v/>
      </c>
      <c r="D174" s="8" t="str">
        <f>IFERROR(VLOOKUP(A174,'1-1 基本信息'!$A:$I,8,0),"")</f>
        <v/>
      </c>
      <c r="E174" s="57" t="str">
        <f>IFERROR(VLOOKUP($A174,'1-2-1 绩效数据'!$A:$C,3,0),"")</f>
        <v/>
      </c>
      <c r="F174" s="8" t="str">
        <f t="shared" si="57"/>
        <v>2</v>
      </c>
      <c r="G174" s="8" t="str">
        <f t="shared" si="48"/>
        <v/>
      </c>
      <c r="H174" s="8" t="str">
        <f t="shared" si="49"/>
        <v/>
      </c>
      <c r="I174" s="58" t="str">
        <f t="shared" si="58"/>
        <v/>
      </c>
      <c r="J174" s="8" t="str">
        <f t="shared" si="54"/>
        <v/>
      </c>
      <c r="K174" s="8" t="str">
        <f t="shared" si="59"/>
        <v/>
      </c>
      <c r="L174" s="57" t="str">
        <f>IFERROR(VLOOKUP($A174,'1-2-1 绩效数据'!$D:$F,3,0),"")</f>
        <v/>
      </c>
      <c r="M174" s="8" t="str">
        <f t="shared" si="66"/>
        <v>2</v>
      </c>
      <c r="N174" s="8" t="str">
        <f t="shared" si="50"/>
        <v/>
      </c>
      <c r="O174" s="8" t="str">
        <f t="shared" si="51"/>
        <v/>
      </c>
      <c r="P174" s="58" t="str">
        <f t="shared" si="60"/>
        <v/>
      </c>
      <c r="Q174" s="8" t="str">
        <f t="shared" si="55"/>
        <v/>
      </c>
      <c r="R174" s="8" t="str">
        <f t="shared" si="61"/>
        <v/>
      </c>
      <c r="S174" s="57" t="str">
        <f>IFERROR(VLOOKUP(A174,'1-2-1 绩效数据'!$G:$I,3,0),"")</f>
        <v/>
      </c>
      <c r="T174" s="8" t="str">
        <f t="shared" si="62"/>
        <v>2</v>
      </c>
      <c r="U174" s="8" t="str">
        <f t="shared" si="52"/>
        <v/>
      </c>
      <c r="V174" s="8" t="str">
        <f t="shared" si="53"/>
        <v/>
      </c>
      <c r="W174" s="58" t="str">
        <f t="shared" si="63"/>
        <v/>
      </c>
      <c r="X174" s="8" t="str">
        <f t="shared" si="56"/>
        <v/>
      </c>
      <c r="Y174" s="8" t="str">
        <f t="shared" si="64"/>
        <v/>
      </c>
      <c r="Z174" s="57" t="str">
        <f t="shared" si="65"/>
        <v/>
      </c>
    </row>
    <row r="175" spans="1:26" x14ac:dyDescent="0.3">
      <c r="A175" s="8"/>
      <c r="B175" s="70" t="str">
        <f>IFERROR(VLOOKUP('1-2-2 关键绩效'!$A175,'1-1 基本信息'!$A:$K,7,0),"")</f>
        <v/>
      </c>
      <c r="C175" s="8" t="str">
        <f>IFERROR(VLOOKUP($A175,'1-1 基本信息'!$A:$J,10,0),"")</f>
        <v/>
      </c>
      <c r="D175" s="8" t="str">
        <f>IFERROR(VLOOKUP(A175,'1-1 基本信息'!$A:$I,8,0),"")</f>
        <v/>
      </c>
      <c r="E175" s="57" t="str">
        <f>IFERROR(VLOOKUP($A175,'1-2-1 绩效数据'!$A:$C,3,0),"")</f>
        <v/>
      </c>
      <c r="F175" s="8" t="str">
        <f t="shared" si="57"/>
        <v>2</v>
      </c>
      <c r="G175" s="8" t="str">
        <f t="shared" si="48"/>
        <v/>
      </c>
      <c r="H175" s="8" t="str">
        <f t="shared" si="49"/>
        <v/>
      </c>
      <c r="I175" s="58" t="str">
        <f t="shared" si="58"/>
        <v/>
      </c>
      <c r="J175" s="8" t="str">
        <f t="shared" si="54"/>
        <v/>
      </c>
      <c r="K175" s="8" t="str">
        <f t="shared" si="59"/>
        <v/>
      </c>
      <c r="L175" s="57" t="str">
        <f>IFERROR(VLOOKUP($A175,'1-2-1 绩效数据'!$D:$F,3,0),"")</f>
        <v/>
      </c>
      <c r="M175" s="8" t="str">
        <f t="shared" si="66"/>
        <v>2</v>
      </c>
      <c r="N175" s="8" t="str">
        <f t="shared" si="50"/>
        <v/>
      </c>
      <c r="O175" s="8" t="str">
        <f t="shared" si="51"/>
        <v/>
      </c>
      <c r="P175" s="58" t="str">
        <f t="shared" si="60"/>
        <v/>
      </c>
      <c r="Q175" s="8" t="str">
        <f t="shared" si="55"/>
        <v/>
      </c>
      <c r="R175" s="8" t="str">
        <f t="shared" si="61"/>
        <v/>
      </c>
      <c r="S175" s="57" t="str">
        <f>IFERROR(VLOOKUP(A175,'1-2-1 绩效数据'!$G:$I,3,0),"")</f>
        <v/>
      </c>
      <c r="T175" s="8" t="str">
        <f t="shared" si="62"/>
        <v>2</v>
      </c>
      <c r="U175" s="8" t="str">
        <f t="shared" si="52"/>
        <v/>
      </c>
      <c r="V175" s="8" t="str">
        <f t="shared" si="53"/>
        <v/>
      </c>
      <c r="W175" s="58" t="str">
        <f t="shared" si="63"/>
        <v/>
      </c>
      <c r="X175" s="8" t="str">
        <f t="shared" si="56"/>
        <v/>
      </c>
      <c r="Y175" s="8" t="str">
        <f t="shared" si="64"/>
        <v/>
      </c>
      <c r="Z175" s="57" t="str">
        <f t="shared" si="65"/>
        <v/>
      </c>
    </row>
    <row r="176" spans="1:26" x14ac:dyDescent="0.3">
      <c r="A176" s="8"/>
      <c r="B176" s="70" t="str">
        <f>IFERROR(VLOOKUP('1-2-2 关键绩效'!$A176,'1-1 基本信息'!$A:$K,7,0),"")</f>
        <v/>
      </c>
      <c r="C176" s="8" t="str">
        <f>IFERROR(VLOOKUP($A176,'1-1 基本信息'!$A:$J,10,0),"")</f>
        <v/>
      </c>
      <c r="D176" s="8" t="str">
        <f>IFERROR(VLOOKUP(A176,'1-1 基本信息'!$A:$I,8,0),"")</f>
        <v/>
      </c>
      <c r="E176" s="57" t="str">
        <f>IFERROR(VLOOKUP($A176,'1-2-1 绩效数据'!$A:$C,3,0),"")</f>
        <v/>
      </c>
      <c r="F176" s="8" t="str">
        <f t="shared" si="57"/>
        <v>2</v>
      </c>
      <c r="G176" s="8" t="str">
        <f t="shared" si="48"/>
        <v/>
      </c>
      <c r="H176" s="8" t="str">
        <f t="shared" si="49"/>
        <v/>
      </c>
      <c r="I176" s="58" t="str">
        <f t="shared" si="58"/>
        <v/>
      </c>
      <c r="J176" s="8" t="str">
        <f t="shared" si="54"/>
        <v/>
      </c>
      <c r="K176" s="8" t="str">
        <f t="shared" si="59"/>
        <v/>
      </c>
      <c r="L176" s="57" t="str">
        <f>IFERROR(VLOOKUP($A176,'1-2-1 绩效数据'!$D:$F,3,0),"")</f>
        <v/>
      </c>
      <c r="M176" s="8" t="str">
        <f t="shared" si="66"/>
        <v>2</v>
      </c>
      <c r="N176" s="8" t="str">
        <f t="shared" si="50"/>
        <v/>
      </c>
      <c r="O176" s="8" t="str">
        <f t="shared" si="51"/>
        <v/>
      </c>
      <c r="P176" s="58" t="str">
        <f t="shared" si="60"/>
        <v/>
      </c>
      <c r="Q176" s="8" t="str">
        <f t="shared" si="55"/>
        <v/>
      </c>
      <c r="R176" s="8" t="str">
        <f t="shared" si="61"/>
        <v/>
      </c>
      <c r="S176" s="57" t="str">
        <f>IFERROR(VLOOKUP(A176,'1-2-1 绩效数据'!$G:$I,3,0),"")</f>
        <v/>
      </c>
      <c r="T176" s="8" t="str">
        <f t="shared" si="62"/>
        <v>2</v>
      </c>
      <c r="U176" s="8" t="str">
        <f t="shared" si="52"/>
        <v/>
      </c>
      <c r="V176" s="8" t="str">
        <f t="shared" si="53"/>
        <v/>
      </c>
      <c r="W176" s="58" t="str">
        <f t="shared" si="63"/>
        <v/>
      </c>
      <c r="X176" s="8" t="str">
        <f t="shared" si="56"/>
        <v/>
      </c>
      <c r="Y176" s="8" t="str">
        <f t="shared" si="64"/>
        <v/>
      </c>
      <c r="Z176" s="57" t="str">
        <f t="shared" si="65"/>
        <v/>
      </c>
    </row>
    <row r="177" spans="1:26" x14ac:dyDescent="0.3">
      <c r="A177" s="8"/>
      <c r="B177" s="70" t="str">
        <f>IFERROR(VLOOKUP('1-2-2 关键绩效'!$A177,'1-1 基本信息'!$A:$K,7,0),"")</f>
        <v/>
      </c>
      <c r="C177" s="8" t="str">
        <f>IFERROR(VLOOKUP($A177,'1-1 基本信息'!$A:$J,10,0),"")</f>
        <v/>
      </c>
      <c r="D177" s="8" t="str">
        <f>IFERROR(VLOOKUP(A177,'1-1 基本信息'!$A:$I,8,0),"")</f>
        <v/>
      </c>
      <c r="E177" s="57" t="str">
        <f>IFERROR(VLOOKUP($A177,'1-2-1 绩效数据'!$A:$C,3,0),"")</f>
        <v/>
      </c>
      <c r="F177" s="8" t="str">
        <f t="shared" si="57"/>
        <v>2</v>
      </c>
      <c r="G177" s="8" t="str">
        <f t="shared" si="48"/>
        <v/>
      </c>
      <c r="H177" s="8" t="str">
        <f t="shared" si="49"/>
        <v/>
      </c>
      <c r="I177" s="58" t="str">
        <f t="shared" si="58"/>
        <v/>
      </c>
      <c r="J177" s="8" t="str">
        <f t="shared" si="54"/>
        <v/>
      </c>
      <c r="K177" s="8" t="str">
        <f t="shared" si="59"/>
        <v/>
      </c>
      <c r="L177" s="57" t="str">
        <f>IFERROR(VLOOKUP($A177,'1-2-1 绩效数据'!$D:$F,3,0),"")</f>
        <v/>
      </c>
      <c r="M177" s="8" t="str">
        <f t="shared" si="66"/>
        <v>2</v>
      </c>
      <c r="N177" s="8" t="str">
        <f t="shared" si="50"/>
        <v/>
      </c>
      <c r="O177" s="8" t="str">
        <f t="shared" si="51"/>
        <v/>
      </c>
      <c r="P177" s="58" t="str">
        <f t="shared" si="60"/>
        <v/>
      </c>
      <c r="Q177" s="8" t="str">
        <f t="shared" si="55"/>
        <v/>
      </c>
      <c r="R177" s="8" t="str">
        <f t="shared" si="61"/>
        <v/>
      </c>
      <c r="S177" s="57" t="str">
        <f>IFERROR(VLOOKUP(A177,'1-2-1 绩效数据'!$G:$I,3,0),"")</f>
        <v/>
      </c>
      <c r="T177" s="8" t="str">
        <f t="shared" si="62"/>
        <v>2</v>
      </c>
      <c r="U177" s="8" t="str">
        <f t="shared" si="52"/>
        <v/>
      </c>
      <c r="V177" s="8" t="str">
        <f t="shared" si="53"/>
        <v/>
      </c>
      <c r="W177" s="58" t="str">
        <f t="shared" si="63"/>
        <v/>
      </c>
      <c r="X177" s="8" t="str">
        <f t="shared" si="56"/>
        <v/>
      </c>
      <c r="Y177" s="8" t="str">
        <f t="shared" si="64"/>
        <v/>
      </c>
      <c r="Z177" s="57" t="str">
        <f t="shared" si="65"/>
        <v/>
      </c>
    </row>
    <row r="178" spans="1:26" x14ac:dyDescent="0.3">
      <c r="A178" s="8"/>
      <c r="B178" s="70" t="str">
        <f>IFERROR(VLOOKUP('1-2-2 关键绩效'!$A178,'1-1 基本信息'!$A:$K,7,0),"")</f>
        <v/>
      </c>
      <c r="C178" s="8" t="str">
        <f>IFERROR(VLOOKUP($A178,'1-1 基本信息'!$A:$J,10,0),"")</f>
        <v/>
      </c>
      <c r="D178" s="8" t="str">
        <f>IFERROR(VLOOKUP(A178,'1-1 基本信息'!$A:$I,8,0),"")</f>
        <v/>
      </c>
      <c r="E178" s="57" t="str">
        <f>IFERROR(VLOOKUP($A178,'1-2-1 绩效数据'!$A:$C,3,0),"")</f>
        <v/>
      </c>
      <c r="F178" s="8" t="str">
        <f t="shared" si="57"/>
        <v>2</v>
      </c>
      <c r="G178" s="8" t="str">
        <f t="shared" si="48"/>
        <v/>
      </c>
      <c r="H178" s="8" t="str">
        <f t="shared" si="49"/>
        <v/>
      </c>
      <c r="I178" s="58" t="str">
        <f t="shared" si="58"/>
        <v/>
      </c>
      <c r="J178" s="8" t="str">
        <f t="shared" si="54"/>
        <v/>
      </c>
      <c r="K178" s="8" t="str">
        <f t="shared" si="59"/>
        <v/>
      </c>
      <c r="L178" s="57" t="str">
        <f>IFERROR(VLOOKUP($A178,'1-2-1 绩效数据'!$D:$F,3,0),"")</f>
        <v/>
      </c>
      <c r="M178" s="8" t="str">
        <f t="shared" si="66"/>
        <v>2</v>
      </c>
      <c r="N178" s="8" t="str">
        <f t="shared" si="50"/>
        <v/>
      </c>
      <c r="O178" s="8" t="str">
        <f t="shared" si="51"/>
        <v/>
      </c>
      <c r="P178" s="58" t="str">
        <f t="shared" si="60"/>
        <v/>
      </c>
      <c r="Q178" s="8" t="str">
        <f t="shared" si="55"/>
        <v/>
      </c>
      <c r="R178" s="8" t="str">
        <f t="shared" si="61"/>
        <v/>
      </c>
      <c r="S178" s="57" t="str">
        <f>IFERROR(VLOOKUP(A178,'1-2-1 绩效数据'!$G:$I,3,0),"")</f>
        <v/>
      </c>
      <c r="T178" s="8" t="str">
        <f t="shared" si="62"/>
        <v>2</v>
      </c>
      <c r="U178" s="8" t="str">
        <f t="shared" si="52"/>
        <v/>
      </c>
      <c r="V178" s="8" t="str">
        <f t="shared" si="53"/>
        <v/>
      </c>
      <c r="W178" s="58" t="str">
        <f t="shared" si="63"/>
        <v/>
      </c>
      <c r="X178" s="8" t="str">
        <f t="shared" si="56"/>
        <v/>
      </c>
      <c r="Y178" s="8" t="str">
        <f t="shared" si="64"/>
        <v/>
      </c>
      <c r="Z178" s="57" t="str">
        <f t="shared" si="65"/>
        <v/>
      </c>
    </row>
    <row r="179" spans="1:26" x14ac:dyDescent="0.3">
      <c r="A179" s="8"/>
      <c r="B179" s="70" t="str">
        <f>IFERROR(VLOOKUP('1-2-2 关键绩效'!$A179,'1-1 基本信息'!$A:$K,7,0),"")</f>
        <v/>
      </c>
      <c r="C179" s="8" t="str">
        <f>IFERROR(VLOOKUP($A179,'1-1 基本信息'!$A:$J,10,0),"")</f>
        <v/>
      </c>
      <c r="D179" s="8" t="str">
        <f>IFERROR(VLOOKUP(A179,'1-1 基本信息'!$A:$I,8,0),"")</f>
        <v/>
      </c>
      <c r="E179" s="57" t="str">
        <f>IFERROR(VLOOKUP($A179,'1-2-1 绩效数据'!$A:$C,3,0),"")</f>
        <v/>
      </c>
      <c r="F179" s="8" t="str">
        <f t="shared" si="57"/>
        <v>2</v>
      </c>
      <c r="G179" s="8" t="str">
        <f t="shared" si="48"/>
        <v/>
      </c>
      <c r="H179" s="8" t="str">
        <f t="shared" si="49"/>
        <v/>
      </c>
      <c r="I179" s="58" t="str">
        <f t="shared" si="58"/>
        <v/>
      </c>
      <c r="J179" s="8" t="str">
        <f t="shared" si="54"/>
        <v/>
      </c>
      <c r="K179" s="8" t="str">
        <f t="shared" si="59"/>
        <v/>
      </c>
      <c r="L179" s="57" t="str">
        <f>IFERROR(VLOOKUP($A179,'1-2-1 绩效数据'!$D:$F,3,0),"")</f>
        <v/>
      </c>
      <c r="M179" s="8" t="str">
        <f t="shared" si="66"/>
        <v>2</v>
      </c>
      <c r="N179" s="8" t="str">
        <f t="shared" si="50"/>
        <v/>
      </c>
      <c r="O179" s="8" t="str">
        <f t="shared" si="51"/>
        <v/>
      </c>
      <c r="P179" s="58" t="str">
        <f t="shared" si="60"/>
        <v/>
      </c>
      <c r="Q179" s="8" t="str">
        <f t="shared" si="55"/>
        <v/>
      </c>
      <c r="R179" s="8" t="str">
        <f t="shared" si="61"/>
        <v/>
      </c>
      <c r="S179" s="57" t="str">
        <f>IFERROR(VLOOKUP(A179,'1-2-1 绩效数据'!$G:$I,3,0),"")</f>
        <v/>
      </c>
      <c r="T179" s="8" t="str">
        <f t="shared" si="62"/>
        <v>2</v>
      </c>
      <c r="U179" s="8" t="str">
        <f t="shared" si="52"/>
        <v/>
      </c>
      <c r="V179" s="8" t="str">
        <f t="shared" si="53"/>
        <v/>
      </c>
      <c r="W179" s="58" t="str">
        <f t="shared" si="63"/>
        <v/>
      </c>
      <c r="X179" s="8" t="str">
        <f t="shared" si="56"/>
        <v/>
      </c>
      <c r="Y179" s="8" t="str">
        <f t="shared" si="64"/>
        <v/>
      </c>
      <c r="Z179" s="57" t="str">
        <f t="shared" si="65"/>
        <v/>
      </c>
    </row>
    <row r="180" spans="1:26" x14ac:dyDescent="0.3">
      <c r="A180" s="8"/>
      <c r="B180" s="70" t="str">
        <f>IFERROR(VLOOKUP('1-2-2 关键绩效'!$A180,'1-1 基本信息'!$A:$K,7,0),"")</f>
        <v/>
      </c>
      <c r="C180" s="8" t="str">
        <f>IFERROR(VLOOKUP($A180,'1-1 基本信息'!$A:$J,10,0),"")</f>
        <v/>
      </c>
      <c r="D180" s="8" t="str">
        <f>IFERROR(VLOOKUP(A180,'1-1 基本信息'!$A:$I,8,0),"")</f>
        <v/>
      </c>
      <c r="E180" s="57" t="str">
        <f>IFERROR(VLOOKUP($A180,'1-2-1 绩效数据'!$A:$C,3,0),"")</f>
        <v/>
      </c>
      <c r="F180" s="8" t="str">
        <f t="shared" si="57"/>
        <v>2</v>
      </c>
      <c r="G180" s="8" t="str">
        <f t="shared" si="48"/>
        <v/>
      </c>
      <c r="H180" s="8" t="str">
        <f t="shared" si="49"/>
        <v/>
      </c>
      <c r="I180" s="58" t="str">
        <f t="shared" si="58"/>
        <v/>
      </c>
      <c r="J180" s="8" t="str">
        <f t="shared" si="54"/>
        <v/>
      </c>
      <c r="K180" s="8" t="str">
        <f t="shared" si="59"/>
        <v/>
      </c>
      <c r="L180" s="57" t="str">
        <f>IFERROR(VLOOKUP($A180,'1-2-1 绩效数据'!$D:$F,3,0),"")</f>
        <v/>
      </c>
      <c r="M180" s="8" t="str">
        <f t="shared" si="66"/>
        <v>2</v>
      </c>
      <c r="N180" s="8" t="str">
        <f t="shared" si="50"/>
        <v/>
      </c>
      <c r="O180" s="8" t="str">
        <f t="shared" si="51"/>
        <v/>
      </c>
      <c r="P180" s="58" t="str">
        <f t="shared" si="60"/>
        <v/>
      </c>
      <c r="Q180" s="8" t="str">
        <f t="shared" si="55"/>
        <v/>
      </c>
      <c r="R180" s="8" t="str">
        <f t="shared" si="61"/>
        <v/>
      </c>
      <c r="S180" s="57" t="str">
        <f>IFERROR(VLOOKUP(A180,'1-2-1 绩效数据'!$G:$I,3,0),"")</f>
        <v/>
      </c>
      <c r="T180" s="8" t="str">
        <f t="shared" si="62"/>
        <v>2</v>
      </c>
      <c r="U180" s="8" t="str">
        <f t="shared" si="52"/>
        <v/>
      </c>
      <c r="V180" s="8" t="str">
        <f t="shared" si="53"/>
        <v/>
      </c>
      <c r="W180" s="58" t="str">
        <f t="shared" si="63"/>
        <v/>
      </c>
      <c r="X180" s="8" t="str">
        <f t="shared" si="56"/>
        <v/>
      </c>
      <c r="Y180" s="8" t="str">
        <f t="shared" si="64"/>
        <v/>
      </c>
      <c r="Z180" s="57" t="str">
        <f t="shared" si="65"/>
        <v/>
      </c>
    </row>
    <row r="181" spans="1:26" x14ac:dyDescent="0.3">
      <c r="A181" s="8"/>
      <c r="B181" s="70" t="str">
        <f>IFERROR(VLOOKUP('1-2-2 关键绩效'!$A181,'1-1 基本信息'!$A:$K,7,0),"")</f>
        <v/>
      </c>
      <c r="C181" s="8" t="str">
        <f>IFERROR(VLOOKUP($A181,'1-1 基本信息'!$A:$J,10,0),"")</f>
        <v/>
      </c>
      <c r="D181" s="8" t="str">
        <f>IFERROR(VLOOKUP(A181,'1-1 基本信息'!$A:$I,8,0),"")</f>
        <v/>
      </c>
      <c r="E181" s="57" t="str">
        <f>IFERROR(VLOOKUP($A181,'1-2-1 绩效数据'!$A:$C,3,0),"")</f>
        <v/>
      </c>
      <c r="F181" s="8" t="str">
        <f t="shared" si="57"/>
        <v>2</v>
      </c>
      <c r="G181" s="8" t="str">
        <f t="shared" si="48"/>
        <v/>
      </c>
      <c r="H181" s="8" t="str">
        <f t="shared" si="49"/>
        <v/>
      </c>
      <c r="I181" s="58" t="str">
        <f t="shared" si="58"/>
        <v/>
      </c>
      <c r="J181" s="8" t="str">
        <f t="shared" si="54"/>
        <v/>
      </c>
      <c r="K181" s="8" t="str">
        <f t="shared" si="59"/>
        <v/>
      </c>
      <c r="L181" s="57" t="str">
        <f>IFERROR(VLOOKUP($A181,'1-2-1 绩效数据'!$D:$F,3,0),"")</f>
        <v/>
      </c>
      <c r="M181" s="8" t="str">
        <f t="shared" si="66"/>
        <v>2</v>
      </c>
      <c r="N181" s="8" t="str">
        <f t="shared" si="50"/>
        <v/>
      </c>
      <c r="O181" s="8" t="str">
        <f t="shared" si="51"/>
        <v/>
      </c>
      <c r="P181" s="58" t="str">
        <f t="shared" si="60"/>
        <v/>
      </c>
      <c r="Q181" s="8" t="str">
        <f t="shared" si="55"/>
        <v/>
      </c>
      <c r="R181" s="8" t="str">
        <f t="shared" si="61"/>
        <v/>
      </c>
      <c r="S181" s="57" t="str">
        <f>IFERROR(VLOOKUP(A181,'1-2-1 绩效数据'!$G:$I,3,0),"")</f>
        <v/>
      </c>
      <c r="T181" s="8" t="str">
        <f t="shared" si="62"/>
        <v>2</v>
      </c>
      <c r="U181" s="8" t="str">
        <f t="shared" si="52"/>
        <v/>
      </c>
      <c r="V181" s="8" t="str">
        <f t="shared" si="53"/>
        <v/>
      </c>
      <c r="W181" s="58" t="str">
        <f t="shared" si="63"/>
        <v/>
      </c>
      <c r="X181" s="8" t="str">
        <f t="shared" si="56"/>
        <v/>
      </c>
      <c r="Y181" s="8" t="str">
        <f t="shared" si="64"/>
        <v/>
      </c>
      <c r="Z181" s="57" t="str">
        <f t="shared" si="65"/>
        <v/>
      </c>
    </row>
    <row r="182" spans="1:26" x14ac:dyDescent="0.3">
      <c r="A182" s="8"/>
      <c r="B182" s="70" t="str">
        <f>IFERROR(VLOOKUP('1-2-2 关键绩效'!$A182,'1-1 基本信息'!$A:$K,7,0),"")</f>
        <v/>
      </c>
      <c r="C182" s="8" t="str">
        <f>IFERROR(VLOOKUP($A182,'1-1 基本信息'!$A:$J,10,0),"")</f>
        <v/>
      </c>
      <c r="D182" s="8" t="str">
        <f>IFERROR(VLOOKUP(A182,'1-1 基本信息'!$A:$I,8,0),"")</f>
        <v/>
      </c>
      <c r="E182" s="57" t="str">
        <f>IFERROR(VLOOKUP($A182,'1-2-1 绩效数据'!$A:$C,3,0),"")</f>
        <v/>
      </c>
      <c r="F182" s="8" t="str">
        <f t="shared" si="57"/>
        <v>2</v>
      </c>
      <c r="G182" s="8" t="str">
        <f t="shared" si="48"/>
        <v/>
      </c>
      <c r="H182" s="8" t="str">
        <f t="shared" si="49"/>
        <v/>
      </c>
      <c r="I182" s="58" t="str">
        <f t="shared" si="58"/>
        <v/>
      </c>
      <c r="J182" s="8" t="str">
        <f t="shared" si="54"/>
        <v/>
      </c>
      <c r="K182" s="8" t="str">
        <f t="shared" si="59"/>
        <v/>
      </c>
      <c r="L182" s="57" t="str">
        <f>IFERROR(VLOOKUP($A182,'1-2-1 绩效数据'!$D:$F,3,0),"")</f>
        <v/>
      </c>
      <c r="M182" s="8" t="str">
        <f t="shared" si="66"/>
        <v>2</v>
      </c>
      <c r="N182" s="8" t="str">
        <f t="shared" si="50"/>
        <v/>
      </c>
      <c r="O182" s="8" t="str">
        <f t="shared" si="51"/>
        <v/>
      </c>
      <c r="P182" s="58" t="str">
        <f t="shared" si="60"/>
        <v/>
      </c>
      <c r="Q182" s="8" t="str">
        <f t="shared" si="55"/>
        <v/>
      </c>
      <c r="R182" s="8" t="str">
        <f t="shared" si="61"/>
        <v/>
      </c>
      <c r="S182" s="57" t="str">
        <f>IFERROR(VLOOKUP(A182,'1-2-1 绩效数据'!$G:$I,3,0),"")</f>
        <v/>
      </c>
      <c r="T182" s="8" t="str">
        <f t="shared" si="62"/>
        <v>2</v>
      </c>
      <c r="U182" s="8" t="str">
        <f t="shared" si="52"/>
        <v/>
      </c>
      <c r="V182" s="8" t="str">
        <f t="shared" si="53"/>
        <v/>
      </c>
      <c r="W182" s="58" t="str">
        <f t="shared" si="63"/>
        <v/>
      </c>
      <c r="X182" s="8" t="str">
        <f t="shared" si="56"/>
        <v/>
      </c>
      <c r="Y182" s="8" t="str">
        <f t="shared" si="64"/>
        <v/>
      </c>
      <c r="Z182" s="57" t="str">
        <f t="shared" si="65"/>
        <v/>
      </c>
    </row>
    <row r="183" spans="1:26" x14ac:dyDescent="0.3">
      <c r="A183" s="8"/>
      <c r="B183" s="70" t="str">
        <f>IFERROR(VLOOKUP('1-2-2 关键绩效'!$A183,'1-1 基本信息'!$A:$K,7,0),"")</f>
        <v/>
      </c>
      <c r="C183" s="8" t="str">
        <f>IFERROR(VLOOKUP($A183,'1-1 基本信息'!$A:$J,10,0),"")</f>
        <v/>
      </c>
      <c r="D183" s="8" t="str">
        <f>IFERROR(VLOOKUP(A183,'1-1 基本信息'!$A:$I,8,0),"")</f>
        <v/>
      </c>
      <c r="E183" s="57" t="str">
        <f>IFERROR(VLOOKUP($A183,'1-2-1 绩效数据'!$A:$C,3,0),"")</f>
        <v/>
      </c>
      <c r="F183" s="8" t="str">
        <f t="shared" si="57"/>
        <v>2</v>
      </c>
      <c r="G183" s="8" t="str">
        <f t="shared" si="48"/>
        <v/>
      </c>
      <c r="H183" s="8" t="str">
        <f t="shared" si="49"/>
        <v/>
      </c>
      <c r="I183" s="58" t="str">
        <f t="shared" si="58"/>
        <v/>
      </c>
      <c r="J183" s="8" t="str">
        <f t="shared" si="54"/>
        <v/>
      </c>
      <c r="K183" s="8" t="str">
        <f t="shared" si="59"/>
        <v/>
      </c>
      <c r="L183" s="57" t="str">
        <f>IFERROR(VLOOKUP($A183,'1-2-1 绩效数据'!$D:$F,3,0),"")</f>
        <v/>
      </c>
      <c r="M183" s="8" t="str">
        <f t="shared" si="66"/>
        <v>2</v>
      </c>
      <c r="N183" s="8" t="str">
        <f t="shared" si="50"/>
        <v/>
      </c>
      <c r="O183" s="8" t="str">
        <f t="shared" si="51"/>
        <v/>
      </c>
      <c r="P183" s="58" t="str">
        <f t="shared" si="60"/>
        <v/>
      </c>
      <c r="Q183" s="8" t="str">
        <f t="shared" si="55"/>
        <v/>
      </c>
      <c r="R183" s="8" t="str">
        <f t="shared" si="61"/>
        <v/>
      </c>
      <c r="S183" s="57" t="str">
        <f>IFERROR(VLOOKUP(A183,'1-2-1 绩效数据'!$G:$I,3,0),"")</f>
        <v/>
      </c>
      <c r="T183" s="8" t="str">
        <f t="shared" si="62"/>
        <v>2</v>
      </c>
      <c r="U183" s="8" t="str">
        <f t="shared" si="52"/>
        <v/>
      </c>
      <c r="V183" s="8" t="str">
        <f t="shared" si="53"/>
        <v/>
      </c>
      <c r="W183" s="58" t="str">
        <f t="shared" si="63"/>
        <v/>
      </c>
      <c r="X183" s="8" t="str">
        <f t="shared" si="56"/>
        <v/>
      </c>
      <c r="Y183" s="8" t="str">
        <f t="shared" si="64"/>
        <v/>
      </c>
      <c r="Z183" s="57" t="str">
        <f t="shared" si="65"/>
        <v/>
      </c>
    </row>
    <row r="184" spans="1:26" x14ac:dyDescent="0.3">
      <c r="A184" s="8"/>
      <c r="B184" s="70" t="str">
        <f>IFERROR(VLOOKUP('1-2-2 关键绩效'!$A184,'1-1 基本信息'!$A:$K,7,0),"")</f>
        <v/>
      </c>
      <c r="C184" s="8" t="str">
        <f>IFERROR(VLOOKUP($A184,'1-1 基本信息'!$A:$J,10,0),"")</f>
        <v/>
      </c>
      <c r="D184" s="8" t="str">
        <f>IFERROR(VLOOKUP(A184,'1-1 基本信息'!$A:$I,8,0),"")</f>
        <v/>
      </c>
      <c r="E184" s="57" t="str">
        <f>IFERROR(VLOOKUP($A184,'1-2-1 绩效数据'!$A:$C,3,0),"")</f>
        <v/>
      </c>
      <c r="F184" s="8" t="str">
        <f t="shared" si="57"/>
        <v>2</v>
      </c>
      <c r="G184" s="8" t="str">
        <f t="shared" si="48"/>
        <v/>
      </c>
      <c r="H184" s="8" t="str">
        <f t="shared" si="49"/>
        <v/>
      </c>
      <c r="I184" s="58" t="str">
        <f t="shared" si="58"/>
        <v/>
      </c>
      <c r="J184" s="8" t="str">
        <f t="shared" si="54"/>
        <v/>
      </c>
      <c r="K184" s="8" t="str">
        <f t="shared" si="59"/>
        <v/>
      </c>
      <c r="L184" s="57" t="str">
        <f>IFERROR(VLOOKUP($A184,'1-2-1 绩效数据'!$D:$F,3,0),"")</f>
        <v/>
      </c>
      <c r="M184" s="8" t="str">
        <f t="shared" si="66"/>
        <v>2</v>
      </c>
      <c r="N184" s="8" t="str">
        <f t="shared" si="50"/>
        <v/>
      </c>
      <c r="O184" s="8" t="str">
        <f t="shared" si="51"/>
        <v/>
      </c>
      <c r="P184" s="58" t="str">
        <f t="shared" si="60"/>
        <v/>
      </c>
      <c r="Q184" s="8" t="str">
        <f t="shared" si="55"/>
        <v/>
      </c>
      <c r="R184" s="8" t="str">
        <f t="shared" si="61"/>
        <v/>
      </c>
      <c r="S184" s="57" t="str">
        <f>IFERROR(VLOOKUP(A184,'1-2-1 绩效数据'!$G:$I,3,0),"")</f>
        <v/>
      </c>
      <c r="T184" s="8" t="str">
        <f t="shared" si="62"/>
        <v>2</v>
      </c>
      <c r="U184" s="8" t="str">
        <f t="shared" si="52"/>
        <v/>
      </c>
      <c r="V184" s="8" t="str">
        <f t="shared" si="53"/>
        <v/>
      </c>
      <c r="W184" s="58" t="str">
        <f t="shared" si="63"/>
        <v/>
      </c>
      <c r="X184" s="8" t="str">
        <f t="shared" si="56"/>
        <v/>
      </c>
      <c r="Y184" s="8" t="str">
        <f t="shared" si="64"/>
        <v/>
      </c>
      <c r="Z184" s="57" t="str">
        <f t="shared" si="65"/>
        <v/>
      </c>
    </row>
    <row r="185" spans="1:26" x14ac:dyDescent="0.3">
      <c r="A185" s="8"/>
      <c r="B185" s="70" t="str">
        <f>IFERROR(VLOOKUP('1-2-2 关键绩效'!$A185,'1-1 基本信息'!$A:$K,7,0),"")</f>
        <v/>
      </c>
      <c r="C185" s="8" t="str">
        <f>IFERROR(VLOOKUP($A185,'1-1 基本信息'!$A:$J,10,0),"")</f>
        <v/>
      </c>
      <c r="D185" s="8" t="str">
        <f>IFERROR(VLOOKUP(A185,'1-1 基本信息'!$A:$I,8,0),"")</f>
        <v/>
      </c>
      <c r="E185" s="57" t="str">
        <f>IFERROR(VLOOKUP($A185,'1-2-1 绩效数据'!$A:$C,3,0),"")</f>
        <v/>
      </c>
      <c r="F185" s="8" t="str">
        <f t="shared" si="57"/>
        <v>2</v>
      </c>
      <c r="G185" s="8" t="str">
        <f t="shared" si="48"/>
        <v/>
      </c>
      <c r="H185" s="8" t="str">
        <f t="shared" si="49"/>
        <v/>
      </c>
      <c r="I185" s="58" t="str">
        <f t="shared" si="58"/>
        <v/>
      </c>
      <c r="J185" s="8" t="str">
        <f t="shared" si="54"/>
        <v/>
      </c>
      <c r="K185" s="8" t="str">
        <f t="shared" si="59"/>
        <v/>
      </c>
      <c r="L185" s="57" t="str">
        <f>IFERROR(VLOOKUP($A185,'1-2-1 绩效数据'!$D:$F,3,0),"")</f>
        <v/>
      </c>
      <c r="M185" s="8" t="str">
        <f t="shared" si="66"/>
        <v>2</v>
      </c>
      <c r="N185" s="8" t="str">
        <f t="shared" si="50"/>
        <v/>
      </c>
      <c r="O185" s="8" t="str">
        <f t="shared" si="51"/>
        <v/>
      </c>
      <c r="P185" s="58" t="str">
        <f t="shared" si="60"/>
        <v/>
      </c>
      <c r="Q185" s="8" t="str">
        <f t="shared" si="55"/>
        <v/>
      </c>
      <c r="R185" s="8" t="str">
        <f t="shared" si="61"/>
        <v/>
      </c>
      <c r="S185" s="57" t="str">
        <f>IFERROR(VLOOKUP(A185,'1-2-1 绩效数据'!$G:$I,3,0),"")</f>
        <v/>
      </c>
      <c r="T185" s="8" t="str">
        <f t="shared" si="62"/>
        <v>2</v>
      </c>
      <c r="U185" s="8" t="str">
        <f t="shared" si="52"/>
        <v/>
      </c>
      <c r="V185" s="8" t="str">
        <f t="shared" si="53"/>
        <v/>
      </c>
      <c r="W185" s="58" t="str">
        <f t="shared" si="63"/>
        <v/>
      </c>
      <c r="X185" s="8" t="str">
        <f t="shared" si="56"/>
        <v/>
      </c>
      <c r="Y185" s="8" t="str">
        <f t="shared" si="64"/>
        <v/>
      </c>
      <c r="Z185" s="57" t="str">
        <f t="shared" si="65"/>
        <v/>
      </c>
    </row>
    <row r="186" spans="1:26" x14ac:dyDescent="0.3">
      <c r="A186" s="8"/>
      <c r="B186" s="70" t="str">
        <f>IFERROR(VLOOKUP('1-2-2 关键绩效'!$A186,'1-1 基本信息'!$A:$K,7,0),"")</f>
        <v/>
      </c>
      <c r="C186" s="8" t="str">
        <f>IFERROR(VLOOKUP($A186,'1-1 基本信息'!$A:$J,10,0),"")</f>
        <v/>
      </c>
      <c r="D186" s="8" t="str">
        <f>IFERROR(VLOOKUP(A186,'1-1 基本信息'!$A:$I,8,0),"")</f>
        <v/>
      </c>
      <c r="E186" s="57" t="str">
        <f>IFERROR(VLOOKUP($A186,'1-2-1 绩效数据'!$A:$C,3,0),"")</f>
        <v/>
      </c>
      <c r="F186" s="8" t="str">
        <f t="shared" si="57"/>
        <v>2</v>
      </c>
      <c r="G186" s="8" t="str">
        <f t="shared" si="48"/>
        <v/>
      </c>
      <c r="H186" s="8" t="str">
        <f t="shared" si="49"/>
        <v/>
      </c>
      <c r="I186" s="58" t="str">
        <f t="shared" si="58"/>
        <v/>
      </c>
      <c r="J186" s="8" t="str">
        <f t="shared" si="54"/>
        <v/>
      </c>
      <c r="K186" s="8" t="str">
        <f t="shared" si="59"/>
        <v/>
      </c>
      <c r="L186" s="57" t="str">
        <f>IFERROR(VLOOKUP($A186,'1-2-1 绩效数据'!$D:$F,3,0),"")</f>
        <v/>
      </c>
      <c r="M186" s="8" t="str">
        <f t="shared" si="66"/>
        <v>2</v>
      </c>
      <c r="N186" s="8" t="str">
        <f t="shared" si="50"/>
        <v/>
      </c>
      <c r="O186" s="8" t="str">
        <f t="shared" si="51"/>
        <v/>
      </c>
      <c r="P186" s="58" t="str">
        <f t="shared" si="60"/>
        <v/>
      </c>
      <c r="Q186" s="8" t="str">
        <f t="shared" si="55"/>
        <v/>
      </c>
      <c r="R186" s="8" t="str">
        <f t="shared" si="61"/>
        <v/>
      </c>
      <c r="S186" s="57" t="str">
        <f>IFERROR(VLOOKUP(A186,'1-2-1 绩效数据'!$G:$I,3,0),"")</f>
        <v/>
      </c>
      <c r="T186" s="8" t="str">
        <f t="shared" si="62"/>
        <v>2</v>
      </c>
      <c r="U186" s="8" t="str">
        <f t="shared" si="52"/>
        <v/>
      </c>
      <c r="V186" s="8" t="str">
        <f t="shared" si="53"/>
        <v/>
      </c>
      <c r="W186" s="58" t="str">
        <f t="shared" si="63"/>
        <v/>
      </c>
      <c r="X186" s="8" t="str">
        <f t="shared" si="56"/>
        <v/>
      </c>
      <c r="Y186" s="8" t="str">
        <f t="shared" si="64"/>
        <v/>
      </c>
      <c r="Z186" s="57" t="str">
        <f t="shared" si="65"/>
        <v/>
      </c>
    </row>
    <row r="187" spans="1:26" x14ac:dyDescent="0.3">
      <c r="A187" s="8"/>
      <c r="B187" s="70" t="str">
        <f>IFERROR(VLOOKUP('1-2-2 关键绩效'!$A187,'1-1 基本信息'!$A:$K,7,0),"")</f>
        <v/>
      </c>
      <c r="C187" s="8" t="str">
        <f>IFERROR(VLOOKUP($A187,'1-1 基本信息'!$A:$J,10,0),"")</f>
        <v/>
      </c>
      <c r="D187" s="8" t="str">
        <f>IFERROR(VLOOKUP(A187,'1-1 基本信息'!$A:$I,8,0),"")</f>
        <v/>
      </c>
      <c r="E187" s="57" t="str">
        <f>IFERROR(VLOOKUP($A187,'1-2-1 绩效数据'!$A:$C,3,0),"")</f>
        <v/>
      </c>
      <c r="F187" s="8" t="str">
        <f t="shared" si="57"/>
        <v>2</v>
      </c>
      <c r="G187" s="8" t="str">
        <f t="shared" si="48"/>
        <v/>
      </c>
      <c r="H187" s="8" t="str">
        <f t="shared" si="49"/>
        <v/>
      </c>
      <c r="I187" s="58" t="str">
        <f t="shared" si="58"/>
        <v/>
      </c>
      <c r="J187" s="8" t="str">
        <f t="shared" si="54"/>
        <v/>
      </c>
      <c r="K187" s="8" t="str">
        <f t="shared" si="59"/>
        <v/>
      </c>
      <c r="L187" s="57" t="str">
        <f>IFERROR(VLOOKUP($A187,'1-2-1 绩效数据'!$D:$F,3,0),"")</f>
        <v/>
      </c>
      <c r="M187" s="8" t="str">
        <f t="shared" si="66"/>
        <v>2</v>
      </c>
      <c r="N187" s="8" t="str">
        <f t="shared" si="50"/>
        <v/>
      </c>
      <c r="O187" s="8" t="str">
        <f t="shared" si="51"/>
        <v/>
      </c>
      <c r="P187" s="58" t="str">
        <f t="shared" si="60"/>
        <v/>
      </c>
      <c r="Q187" s="8" t="str">
        <f t="shared" si="55"/>
        <v/>
      </c>
      <c r="R187" s="8" t="str">
        <f t="shared" si="61"/>
        <v/>
      </c>
      <c r="S187" s="57" t="str">
        <f>IFERROR(VLOOKUP(A187,'1-2-1 绩效数据'!$G:$I,3,0),"")</f>
        <v/>
      </c>
      <c r="T187" s="8" t="str">
        <f t="shared" si="62"/>
        <v>2</v>
      </c>
      <c r="U187" s="8" t="str">
        <f t="shared" si="52"/>
        <v/>
      </c>
      <c r="V187" s="8" t="str">
        <f t="shared" si="53"/>
        <v/>
      </c>
      <c r="W187" s="58" t="str">
        <f t="shared" si="63"/>
        <v/>
      </c>
      <c r="X187" s="8" t="str">
        <f t="shared" si="56"/>
        <v/>
      </c>
      <c r="Y187" s="8" t="str">
        <f t="shared" si="64"/>
        <v/>
      </c>
      <c r="Z187" s="57" t="str">
        <f t="shared" si="65"/>
        <v/>
      </c>
    </row>
    <row r="188" spans="1:26" x14ac:dyDescent="0.3">
      <c r="A188" s="8"/>
      <c r="B188" s="70" t="str">
        <f>IFERROR(VLOOKUP('1-2-2 关键绩效'!$A188,'1-1 基本信息'!$A:$K,7,0),"")</f>
        <v/>
      </c>
      <c r="C188" s="8" t="str">
        <f>IFERROR(VLOOKUP($A188,'1-1 基本信息'!$A:$J,10,0),"")</f>
        <v/>
      </c>
      <c r="D188" s="8" t="str">
        <f>IFERROR(VLOOKUP(A188,'1-1 基本信息'!$A:$I,8,0),"")</f>
        <v/>
      </c>
      <c r="E188" s="57" t="str">
        <f>IFERROR(VLOOKUP($A188,'1-2-1 绩效数据'!$A:$C,3,0),"")</f>
        <v/>
      </c>
      <c r="F188" s="8" t="str">
        <f t="shared" si="57"/>
        <v>2</v>
      </c>
      <c r="G188" s="8" t="str">
        <f t="shared" si="48"/>
        <v/>
      </c>
      <c r="H188" s="8" t="str">
        <f t="shared" si="49"/>
        <v/>
      </c>
      <c r="I188" s="58" t="str">
        <f t="shared" si="58"/>
        <v/>
      </c>
      <c r="J188" s="8" t="str">
        <f t="shared" si="54"/>
        <v/>
      </c>
      <c r="K188" s="8" t="str">
        <f t="shared" si="59"/>
        <v/>
      </c>
      <c r="L188" s="57" t="str">
        <f>IFERROR(VLOOKUP($A188,'1-2-1 绩效数据'!$D:$F,3,0),"")</f>
        <v/>
      </c>
      <c r="M188" s="8" t="str">
        <f t="shared" si="66"/>
        <v>2</v>
      </c>
      <c r="N188" s="8" t="str">
        <f t="shared" si="50"/>
        <v/>
      </c>
      <c r="O188" s="8" t="str">
        <f t="shared" si="51"/>
        <v/>
      </c>
      <c r="P188" s="58" t="str">
        <f t="shared" si="60"/>
        <v/>
      </c>
      <c r="Q188" s="8" t="str">
        <f t="shared" si="55"/>
        <v/>
      </c>
      <c r="R188" s="8" t="str">
        <f t="shared" si="61"/>
        <v/>
      </c>
      <c r="S188" s="57" t="str">
        <f>IFERROR(VLOOKUP(A188,'1-2-1 绩效数据'!$G:$I,3,0),"")</f>
        <v/>
      </c>
      <c r="T188" s="8" t="str">
        <f t="shared" si="62"/>
        <v>2</v>
      </c>
      <c r="U188" s="8" t="str">
        <f t="shared" si="52"/>
        <v/>
      </c>
      <c r="V188" s="8" t="str">
        <f t="shared" si="53"/>
        <v/>
      </c>
      <c r="W188" s="58" t="str">
        <f t="shared" si="63"/>
        <v/>
      </c>
      <c r="X188" s="8" t="str">
        <f t="shared" si="56"/>
        <v/>
      </c>
      <c r="Y188" s="8" t="str">
        <f t="shared" si="64"/>
        <v/>
      </c>
      <c r="Z188" s="57" t="str">
        <f t="shared" si="65"/>
        <v/>
      </c>
    </row>
    <row r="189" spans="1:26" x14ac:dyDescent="0.3">
      <c r="A189" s="8"/>
      <c r="B189" s="70" t="str">
        <f>IFERROR(VLOOKUP('1-2-2 关键绩效'!$A189,'1-1 基本信息'!$A:$K,7,0),"")</f>
        <v/>
      </c>
      <c r="C189" s="8" t="str">
        <f>IFERROR(VLOOKUP($A189,'1-1 基本信息'!$A:$J,10,0),"")</f>
        <v/>
      </c>
      <c r="D189" s="8" t="str">
        <f>IFERROR(VLOOKUP(A189,'1-1 基本信息'!$A:$I,8,0),"")</f>
        <v/>
      </c>
      <c r="E189" s="57" t="str">
        <f>IFERROR(VLOOKUP($A189,'1-2-1 绩效数据'!$A:$C,3,0),"")</f>
        <v/>
      </c>
      <c r="F189" s="8" t="str">
        <f t="shared" si="57"/>
        <v>2</v>
      </c>
      <c r="G189" s="8" t="str">
        <f t="shared" si="48"/>
        <v/>
      </c>
      <c r="H189" s="8" t="str">
        <f t="shared" si="49"/>
        <v/>
      </c>
      <c r="I189" s="58" t="str">
        <f t="shared" si="58"/>
        <v/>
      </c>
      <c r="J189" s="8" t="str">
        <f t="shared" si="54"/>
        <v/>
      </c>
      <c r="K189" s="8" t="str">
        <f t="shared" si="59"/>
        <v/>
      </c>
      <c r="L189" s="57" t="str">
        <f>IFERROR(VLOOKUP($A189,'1-2-1 绩效数据'!$D:$F,3,0),"")</f>
        <v/>
      </c>
      <c r="M189" s="8" t="str">
        <f t="shared" si="66"/>
        <v>2</v>
      </c>
      <c r="N189" s="8" t="str">
        <f t="shared" si="50"/>
        <v/>
      </c>
      <c r="O189" s="8" t="str">
        <f t="shared" si="51"/>
        <v/>
      </c>
      <c r="P189" s="58" t="str">
        <f t="shared" si="60"/>
        <v/>
      </c>
      <c r="Q189" s="8" t="str">
        <f t="shared" si="55"/>
        <v/>
      </c>
      <c r="R189" s="8" t="str">
        <f t="shared" si="61"/>
        <v/>
      </c>
      <c r="S189" s="57" t="str">
        <f>IFERROR(VLOOKUP(A189,'1-2-1 绩效数据'!$G:$I,3,0),"")</f>
        <v/>
      </c>
      <c r="T189" s="8" t="str">
        <f t="shared" si="62"/>
        <v>2</v>
      </c>
      <c r="U189" s="8" t="str">
        <f t="shared" si="52"/>
        <v/>
      </c>
      <c r="V189" s="8" t="str">
        <f t="shared" si="53"/>
        <v/>
      </c>
      <c r="W189" s="58" t="str">
        <f t="shared" si="63"/>
        <v/>
      </c>
      <c r="X189" s="8" t="str">
        <f t="shared" si="56"/>
        <v/>
      </c>
      <c r="Y189" s="8" t="str">
        <f t="shared" si="64"/>
        <v/>
      </c>
      <c r="Z189" s="57" t="str">
        <f t="shared" si="65"/>
        <v/>
      </c>
    </row>
    <row r="190" spans="1:26" x14ac:dyDescent="0.3">
      <c r="A190" s="8"/>
      <c r="B190" s="70" t="str">
        <f>IFERROR(VLOOKUP('1-2-2 关键绩效'!$A190,'1-1 基本信息'!$A:$K,7,0),"")</f>
        <v/>
      </c>
      <c r="C190" s="8" t="str">
        <f>IFERROR(VLOOKUP($A190,'1-1 基本信息'!$A:$J,10,0),"")</f>
        <v/>
      </c>
      <c r="D190" s="8" t="str">
        <f>IFERROR(VLOOKUP(A190,'1-1 基本信息'!$A:$I,8,0),"")</f>
        <v/>
      </c>
      <c r="E190" s="57" t="str">
        <f>IFERROR(VLOOKUP($A190,'1-2-1 绩效数据'!$A:$C,3,0),"")</f>
        <v/>
      </c>
      <c r="F190" s="8" t="str">
        <f t="shared" si="57"/>
        <v>2</v>
      </c>
      <c r="G190" s="8" t="str">
        <f t="shared" si="48"/>
        <v/>
      </c>
      <c r="H190" s="8" t="str">
        <f t="shared" si="49"/>
        <v/>
      </c>
      <c r="I190" s="58" t="str">
        <f t="shared" si="58"/>
        <v/>
      </c>
      <c r="J190" s="8" t="str">
        <f t="shared" si="54"/>
        <v/>
      </c>
      <c r="K190" s="8" t="str">
        <f t="shared" si="59"/>
        <v/>
      </c>
      <c r="L190" s="57" t="str">
        <f>IFERROR(VLOOKUP($A190,'1-2-1 绩效数据'!$D:$F,3,0),"")</f>
        <v/>
      </c>
      <c r="M190" s="8" t="str">
        <f t="shared" si="66"/>
        <v>2</v>
      </c>
      <c r="N190" s="8" t="str">
        <f t="shared" si="50"/>
        <v/>
      </c>
      <c r="O190" s="8" t="str">
        <f t="shared" si="51"/>
        <v/>
      </c>
      <c r="P190" s="58" t="str">
        <f t="shared" si="60"/>
        <v/>
      </c>
      <c r="Q190" s="8" t="str">
        <f t="shared" si="55"/>
        <v/>
      </c>
      <c r="R190" s="8" t="str">
        <f t="shared" si="61"/>
        <v/>
      </c>
      <c r="S190" s="57" t="str">
        <f>IFERROR(VLOOKUP(A190,'1-2-1 绩效数据'!$G:$I,3,0),"")</f>
        <v/>
      </c>
      <c r="T190" s="8" t="str">
        <f t="shared" si="62"/>
        <v>2</v>
      </c>
      <c r="U190" s="8" t="str">
        <f t="shared" si="52"/>
        <v/>
      </c>
      <c r="V190" s="8" t="str">
        <f t="shared" si="53"/>
        <v/>
      </c>
      <c r="W190" s="58" t="str">
        <f t="shared" si="63"/>
        <v/>
      </c>
      <c r="X190" s="8" t="str">
        <f t="shared" si="56"/>
        <v/>
      </c>
      <c r="Y190" s="8" t="str">
        <f t="shared" si="64"/>
        <v/>
      </c>
      <c r="Z190" s="57" t="str">
        <f t="shared" si="65"/>
        <v/>
      </c>
    </row>
    <row r="191" spans="1:26" x14ac:dyDescent="0.3">
      <c r="A191" s="8"/>
      <c r="B191" s="70" t="str">
        <f>IFERROR(VLOOKUP('1-2-2 关键绩效'!$A191,'1-1 基本信息'!$A:$K,7,0),"")</f>
        <v/>
      </c>
      <c r="C191" s="8" t="str">
        <f>IFERROR(VLOOKUP($A191,'1-1 基本信息'!$A:$J,10,0),"")</f>
        <v/>
      </c>
      <c r="D191" s="8" t="str">
        <f>IFERROR(VLOOKUP(A191,'1-1 基本信息'!$A:$I,8,0),"")</f>
        <v/>
      </c>
      <c r="E191" s="57" t="str">
        <f>IFERROR(VLOOKUP($A191,'1-2-1 绩效数据'!$A:$C,3,0),"")</f>
        <v/>
      </c>
      <c r="F191" s="8" t="str">
        <f t="shared" si="57"/>
        <v>2</v>
      </c>
      <c r="G191" s="8" t="str">
        <f t="shared" si="48"/>
        <v/>
      </c>
      <c r="H191" s="8" t="str">
        <f t="shared" si="49"/>
        <v/>
      </c>
      <c r="I191" s="58" t="str">
        <f t="shared" si="58"/>
        <v/>
      </c>
      <c r="J191" s="8" t="str">
        <f t="shared" si="54"/>
        <v/>
      </c>
      <c r="K191" s="8" t="str">
        <f t="shared" si="59"/>
        <v/>
      </c>
      <c r="L191" s="57" t="str">
        <f>IFERROR(VLOOKUP($A191,'1-2-1 绩效数据'!$D:$F,3,0),"")</f>
        <v/>
      </c>
      <c r="M191" s="8" t="str">
        <f t="shared" si="66"/>
        <v>2</v>
      </c>
      <c r="N191" s="8" t="str">
        <f t="shared" si="50"/>
        <v/>
      </c>
      <c r="O191" s="8" t="str">
        <f t="shared" si="51"/>
        <v/>
      </c>
      <c r="P191" s="58" t="str">
        <f t="shared" si="60"/>
        <v/>
      </c>
      <c r="Q191" s="8" t="str">
        <f t="shared" si="55"/>
        <v/>
      </c>
      <c r="R191" s="8" t="str">
        <f t="shared" si="61"/>
        <v/>
      </c>
      <c r="S191" s="57" t="str">
        <f>IFERROR(VLOOKUP(A191,'1-2-1 绩效数据'!$G:$I,3,0),"")</f>
        <v/>
      </c>
      <c r="T191" s="8" t="str">
        <f t="shared" si="62"/>
        <v>2</v>
      </c>
      <c r="U191" s="8" t="str">
        <f t="shared" si="52"/>
        <v/>
      </c>
      <c r="V191" s="8" t="str">
        <f t="shared" si="53"/>
        <v/>
      </c>
      <c r="W191" s="58" t="str">
        <f t="shared" si="63"/>
        <v/>
      </c>
      <c r="X191" s="8" t="str">
        <f t="shared" si="56"/>
        <v/>
      </c>
      <c r="Y191" s="8" t="str">
        <f t="shared" si="64"/>
        <v/>
      </c>
      <c r="Z191" s="57" t="str">
        <f t="shared" si="65"/>
        <v/>
      </c>
    </row>
    <row r="192" spans="1:26" x14ac:dyDescent="0.3">
      <c r="A192" s="8"/>
      <c r="B192" s="70" t="str">
        <f>IFERROR(VLOOKUP('1-2-2 关键绩效'!$A192,'1-1 基本信息'!$A:$K,7,0),"")</f>
        <v/>
      </c>
      <c r="C192" s="8" t="str">
        <f>IFERROR(VLOOKUP($A192,'1-1 基本信息'!$A:$J,10,0),"")</f>
        <v/>
      </c>
      <c r="D192" s="8" t="str">
        <f>IFERROR(VLOOKUP(A192,'1-1 基本信息'!$A:$I,8,0),"")</f>
        <v/>
      </c>
      <c r="E192" s="57" t="str">
        <f>IFERROR(VLOOKUP($A192,'1-2-1 绩效数据'!$A:$C,3,0),"")</f>
        <v/>
      </c>
      <c r="F192" s="8" t="str">
        <f t="shared" si="57"/>
        <v>2</v>
      </c>
      <c r="G192" s="8" t="str">
        <f t="shared" si="48"/>
        <v/>
      </c>
      <c r="H192" s="8" t="str">
        <f t="shared" si="49"/>
        <v/>
      </c>
      <c r="I192" s="58" t="str">
        <f t="shared" si="58"/>
        <v/>
      </c>
      <c r="J192" s="8" t="str">
        <f t="shared" si="54"/>
        <v/>
      </c>
      <c r="K192" s="8" t="str">
        <f t="shared" si="59"/>
        <v/>
      </c>
      <c r="L192" s="57" t="str">
        <f>IFERROR(VLOOKUP($A192,'1-2-1 绩效数据'!$D:$F,3,0),"")</f>
        <v/>
      </c>
      <c r="M192" s="8" t="str">
        <f t="shared" si="66"/>
        <v>2</v>
      </c>
      <c r="N192" s="8" t="str">
        <f t="shared" si="50"/>
        <v/>
      </c>
      <c r="O192" s="8" t="str">
        <f t="shared" si="51"/>
        <v/>
      </c>
      <c r="P192" s="58" t="str">
        <f t="shared" si="60"/>
        <v/>
      </c>
      <c r="Q192" s="8" t="str">
        <f t="shared" si="55"/>
        <v/>
      </c>
      <c r="R192" s="8" t="str">
        <f t="shared" si="61"/>
        <v/>
      </c>
      <c r="S192" s="57" t="str">
        <f>IFERROR(VLOOKUP(A192,'1-2-1 绩效数据'!$G:$I,3,0),"")</f>
        <v/>
      </c>
      <c r="T192" s="8" t="str">
        <f t="shared" si="62"/>
        <v>2</v>
      </c>
      <c r="U192" s="8" t="str">
        <f t="shared" si="52"/>
        <v/>
      </c>
      <c r="V192" s="8" t="str">
        <f t="shared" si="53"/>
        <v/>
      </c>
      <c r="W192" s="58" t="str">
        <f t="shared" si="63"/>
        <v/>
      </c>
      <c r="X192" s="8" t="str">
        <f t="shared" si="56"/>
        <v/>
      </c>
      <c r="Y192" s="8" t="str">
        <f t="shared" si="64"/>
        <v/>
      </c>
      <c r="Z192" s="57" t="str">
        <f t="shared" si="65"/>
        <v/>
      </c>
    </row>
    <row r="193" spans="1:26" x14ac:dyDescent="0.3">
      <c r="A193" s="8"/>
      <c r="B193" s="70" t="str">
        <f>IFERROR(VLOOKUP('1-2-2 关键绩效'!$A193,'1-1 基本信息'!$A:$K,7,0),"")</f>
        <v/>
      </c>
      <c r="C193" s="8" t="str">
        <f>IFERROR(VLOOKUP($A193,'1-1 基本信息'!$A:$J,10,0),"")</f>
        <v/>
      </c>
      <c r="D193" s="8" t="str">
        <f>IFERROR(VLOOKUP(A193,'1-1 基本信息'!$A:$I,8,0),"")</f>
        <v/>
      </c>
      <c r="E193" s="57" t="str">
        <f>IFERROR(VLOOKUP($A193,'1-2-1 绩效数据'!$A:$C,3,0),"")</f>
        <v/>
      </c>
      <c r="F193" s="8" t="str">
        <f t="shared" si="57"/>
        <v>2</v>
      </c>
      <c r="G193" s="8" t="str">
        <f t="shared" si="48"/>
        <v/>
      </c>
      <c r="H193" s="8" t="str">
        <f t="shared" si="49"/>
        <v/>
      </c>
      <c r="I193" s="58" t="str">
        <f t="shared" si="58"/>
        <v/>
      </c>
      <c r="J193" s="8" t="str">
        <f t="shared" si="54"/>
        <v/>
      </c>
      <c r="K193" s="8" t="str">
        <f t="shared" si="59"/>
        <v/>
      </c>
      <c r="L193" s="57" t="str">
        <f>IFERROR(VLOOKUP($A193,'1-2-1 绩效数据'!$D:$F,3,0),"")</f>
        <v/>
      </c>
      <c r="M193" s="8" t="str">
        <f t="shared" si="66"/>
        <v>2</v>
      </c>
      <c r="N193" s="8" t="str">
        <f t="shared" si="50"/>
        <v/>
      </c>
      <c r="O193" s="8" t="str">
        <f t="shared" si="51"/>
        <v/>
      </c>
      <c r="P193" s="58" t="str">
        <f t="shared" si="60"/>
        <v/>
      </c>
      <c r="Q193" s="8" t="str">
        <f t="shared" si="55"/>
        <v/>
      </c>
      <c r="R193" s="8" t="str">
        <f t="shared" si="61"/>
        <v/>
      </c>
      <c r="S193" s="57" t="str">
        <f>IFERROR(VLOOKUP(A193,'1-2-1 绩效数据'!$G:$I,3,0),"")</f>
        <v/>
      </c>
      <c r="T193" s="8" t="str">
        <f t="shared" si="62"/>
        <v>2</v>
      </c>
      <c r="U193" s="8" t="str">
        <f t="shared" si="52"/>
        <v/>
      </c>
      <c r="V193" s="8" t="str">
        <f t="shared" si="53"/>
        <v/>
      </c>
      <c r="W193" s="58" t="str">
        <f t="shared" si="63"/>
        <v/>
      </c>
      <c r="X193" s="8" t="str">
        <f t="shared" si="56"/>
        <v/>
      </c>
      <c r="Y193" s="8" t="str">
        <f t="shared" si="64"/>
        <v/>
      </c>
      <c r="Z193" s="57" t="str">
        <f t="shared" si="65"/>
        <v/>
      </c>
    </row>
    <row r="194" spans="1:26" x14ac:dyDescent="0.3">
      <c r="A194" s="8"/>
      <c r="B194" s="70" t="str">
        <f>IFERROR(VLOOKUP('1-2-2 关键绩效'!$A194,'1-1 基本信息'!$A:$K,7,0),"")</f>
        <v/>
      </c>
      <c r="C194" s="8" t="str">
        <f>IFERROR(VLOOKUP($A194,'1-1 基本信息'!$A:$J,10,0),"")</f>
        <v/>
      </c>
      <c r="D194" s="8" t="str">
        <f>IFERROR(VLOOKUP(A194,'1-1 基本信息'!$A:$I,8,0),"")</f>
        <v/>
      </c>
      <c r="E194" s="57" t="str">
        <f>IFERROR(VLOOKUP($A194,'1-2-1 绩效数据'!$A:$C,3,0),"")</f>
        <v/>
      </c>
      <c r="F194" s="8" t="str">
        <f t="shared" si="57"/>
        <v>2</v>
      </c>
      <c r="G194" s="8" t="str">
        <f t="shared" si="48"/>
        <v/>
      </c>
      <c r="H194" s="8" t="str">
        <f t="shared" si="49"/>
        <v/>
      </c>
      <c r="I194" s="58" t="str">
        <f t="shared" si="58"/>
        <v/>
      </c>
      <c r="J194" s="8" t="str">
        <f t="shared" si="54"/>
        <v/>
      </c>
      <c r="K194" s="8" t="str">
        <f t="shared" si="59"/>
        <v/>
      </c>
      <c r="L194" s="57" t="str">
        <f>IFERROR(VLOOKUP($A194,'1-2-1 绩效数据'!$D:$F,3,0),"")</f>
        <v/>
      </c>
      <c r="M194" s="8" t="str">
        <f t="shared" si="66"/>
        <v>2</v>
      </c>
      <c r="N194" s="8" t="str">
        <f t="shared" si="50"/>
        <v/>
      </c>
      <c r="O194" s="8" t="str">
        <f t="shared" si="51"/>
        <v/>
      </c>
      <c r="P194" s="58" t="str">
        <f t="shared" si="60"/>
        <v/>
      </c>
      <c r="Q194" s="8" t="str">
        <f t="shared" si="55"/>
        <v/>
      </c>
      <c r="R194" s="8" t="str">
        <f t="shared" si="61"/>
        <v/>
      </c>
      <c r="S194" s="57" t="str">
        <f>IFERROR(VLOOKUP(A194,'1-2-1 绩效数据'!$G:$I,3,0),"")</f>
        <v/>
      </c>
      <c r="T194" s="8" t="str">
        <f t="shared" si="62"/>
        <v>2</v>
      </c>
      <c r="U194" s="8" t="str">
        <f t="shared" si="52"/>
        <v/>
      </c>
      <c r="V194" s="8" t="str">
        <f t="shared" si="53"/>
        <v/>
      </c>
      <c r="W194" s="58" t="str">
        <f t="shared" si="63"/>
        <v/>
      </c>
      <c r="X194" s="8" t="str">
        <f t="shared" si="56"/>
        <v/>
      </c>
      <c r="Y194" s="8" t="str">
        <f t="shared" si="64"/>
        <v/>
      </c>
      <c r="Z194" s="57" t="str">
        <f t="shared" si="65"/>
        <v/>
      </c>
    </row>
    <row r="195" spans="1:26" x14ac:dyDescent="0.3">
      <c r="A195" s="8"/>
      <c r="B195" s="70" t="str">
        <f>IFERROR(VLOOKUP('1-2-2 关键绩效'!$A195,'1-1 基本信息'!$A:$K,7,0),"")</f>
        <v/>
      </c>
      <c r="C195" s="8" t="str">
        <f>IFERROR(VLOOKUP($A195,'1-1 基本信息'!$A:$J,10,0),"")</f>
        <v/>
      </c>
      <c r="D195" s="8" t="str">
        <f>IFERROR(VLOOKUP(A195,'1-1 基本信息'!$A:$I,8,0),"")</f>
        <v/>
      </c>
      <c r="E195" s="57" t="str">
        <f>IFERROR(VLOOKUP($A195,'1-2-1 绩效数据'!$A:$C,3,0),"")</f>
        <v/>
      </c>
      <c r="F195" s="8" t="str">
        <f t="shared" si="57"/>
        <v>2</v>
      </c>
      <c r="G195" s="8" t="str">
        <f t="shared" ref="G195:G258" si="67">IF(E195&lt;&gt;"",COUNTIFS($C:$C,$C195,F:F,"1"),"")</f>
        <v/>
      </c>
      <c r="H195" s="8" t="str">
        <f t="shared" ref="H195:H258" si="68">IF(E195&lt;&gt;"",COUNTIFS($C:$C,$C195,E:E,"&gt;"&amp;E195)+1,"")</f>
        <v/>
      </c>
      <c r="I195" s="58" t="str">
        <f t="shared" si="58"/>
        <v/>
      </c>
      <c r="J195" s="8" t="str">
        <f t="shared" si="54"/>
        <v/>
      </c>
      <c r="K195" s="8" t="str">
        <f t="shared" si="59"/>
        <v/>
      </c>
      <c r="L195" s="57" t="str">
        <f>IFERROR(VLOOKUP($A195,'1-2-1 绩效数据'!$D:$F,3,0),"")</f>
        <v/>
      </c>
      <c r="M195" s="8" t="str">
        <f t="shared" si="66"/>
        <v>2</v>
      </c>
      <c r="N195" s="8" t="str">
        <f t="shared" ref="N195:N258" si="69">IF(L195&lt;&gt;"",COUNTIFS($C:$C,$C195,M:M,"1"),"")</f>
        <v/>
      </c>
      <c r="O195" s="8" t="str">
        <f t="shared" ref="O195:O258" si="70">IF(L195&lt;&gt;"",COUNTIFS($C:$C,$C195,L:L,"&gt;"&amp;L195)+1,"")</f>
        <v/>
      </c>
      <c r="P195" s="58" t="str">
        <f t="shared" si="60"/>
        <v/>
      </c>
      <c r="Q195" s="8" t="str">
        <f t="shared" si="55"/>
        <v/>
      </c>
      <c r="R195" s="8" t="str">
        <f t="shared" si="61"/>
        <v/>
      </c>
      <c r="S195" s="57" t="str">
        <f>IFERROR(VLOOKUP(A195,'1-2-1 绩效数据'!$G:$I,3,0),"")</f>
        <v/>
      </c>
      <c r="T195" s="8" t="str">
        <f t="shared" si="62"/>
        <v>2</v>
      </c>
      <c r="U195" s="8" t="str">
        <f t="shared" ref="U195:U258" si="71">IF(S195&lt;&gt;"",COUNTIFS($C:$C,$C195,T:T,"1"),"")</f>
        <v/>
      </c>
      <c r="V195" s="8" t="str">
        <f t="shared" ref="V195:V258" si="72">IF(S195&lt;&gt;"",COUNTIFS($C:$C,$C195,S:S,"&gt;"&amp;S195)+1,"")</f>
        <v/>
      </c>
      <c r="W195" s="58" t="str">
        <f t="shared" si="63"/>
        <v/>
      </c>
      <c r="X195" s="8" t="str">
        <f t="shared" si="56"/>
        <v/>
      </c>
      <c r="Y195" s="8" t="str">
        <f t="shared" si="64"/>
        <v/>
      </c>
      <c r="Z195" s="57" t="str">
        <f t="shared" si="65"/>
        <v/>
      </c>
    </row>
    <row r="196" spans="1:26" x14ac:dyDescent="0.3">
      <c r="A196" s="8"/>
      <c r="B196" s="70" t="str">
        <f>IFERROR(VLOOKUP('1-2-2 关键绩效'!$A196,'1-1 基本信息'!$A:$K,7,0),"")</f>
        <v/>
      </c>
      <c r="C196" s="8" t="str">
        <f>IFERROR(VLOOKUP($A196,'1-1 基本信息'!$A:$J,10,0),"")</f>
        <v/>
      </c>
      <c r="D196" s="8" t="str">
        <f>IFERROR(VLOOKUP(A196,'1-1 基本信息'!$A:$I,8,0),"")</f>
        <v/>
      </c>
      <c r="E196" s="57" t="str">
        <f>IFERROR(VLOOKUP($A196,'1-2-1 绩效数据'!$A:$C,3,0),"")</f>
        <v/>
      </c>
      <c r="F196" s="8" t="str">
        <f t="shared" si="57"/>
        <v>2</v>
      </c>
      <c r="G196" s="8" t="str">
        <f t="shared" si="67"/>
        <v/>
      </c>
      <c r="H196" s="8" t="str">
        <f t="shared" si="68"/>
        <v/>
      </c>
      <c r="I196" s="58" t="str">
        <f t="shared" si="58"/>
        <v/>
      </c>
      <c r="J196" s="8" t="str">
        <f t="shared" ref="J196:J259" si="73">IF(I196&lt;&gt;"",IF(G196&gt;=10,IF(I196&lt;=10%,1,IF(I196&lt;=20%,2,IF(I196&lt;=80%,3,IF(I196&lt;=90%,4,5)))),IF(G196=8,IF(I196=1,1,IF(I196=2,2,IF(I196=3,3,IF(I196=4,3,IF(I196=5,4,IF(I196=6,4,IF(I196=7,5,5))))))),IF(G196=7,IF(I196=1,1,IF(I196=2,2,IF(I196=3,3,IF(I196=4,4,IF(I196=5,4,IF(I196=6,5,5)))))),IF(G196=6,IF(I196=1,1,IF(I196=2,2,IF(I196=3,3,IF(I196=4,4,IF(I196=5,5,5))))),IF(G196=5,IF(I196=1,1,IF(I196=2,2,IF(I196=3,3,IF(I196=4,4,5)))),IF(G196=4,IF(I196=1,1,IF(I196=2,2,IF(I196=3,3,4))),IF(G196=3,IF(I196=1,1,IF(I196=2,2,3)),IF(G196=2,IF(I196=1,1,2),IF(G196=1,IF(I196=1,1,"")))))))))),"")</f>
        <v/>
      </c>
      <c r="K196" s="8" t="str">
        <f t="shared" si="59"/>
        <v/>
      </c>
      <c r="L196" s="57" t="str">
        <f>IFERROR(VLOOKUP($A196,'1-2-1 绩效数据'!$D:$F,3,0),"")</f>
        <v/>
      </c>
      <c r="M196" s="8" t="str">
        <f t="shared" si="66"/>
        <v>2</v>
      </c>
      <c r="N196" s="8" t="str">
        <f t="shared" si="69"/>
        <v/>
      </c>
      <c r="O196" s="8" t="str">
        <f t="shared" si="70"/>
        <v/>
      </c>
      <c r="P196" s="58" t="str">
        <f t="shared" si="60"/>
        <v/>
      </c>
      <c r="Q196" s="8" t="str">
        <f t="shared" ref="Q196:Q259" si="74">IF(P196&lt;&gt;"",IF(N196&gt;=10,IF(P196&lt;=10%,1,IF(P196&lt;=20%,2,IF(P196&lt;=80%,3,IF(P196&lt;=90%,4,5)))),IF(N196=8,IF(P196=1,1,IF(P196=2,2,IF(P196=3,3,IF(P196=4,3,IF(P196=5,4,IF(P196=6,4,IF(P196=7,5,5))))))),IF(N196=7,IF(P196=1,1,IF(P196=2,2,IF(P196=3,3,IF(P196=4,4,IF(P196=5,4,IF(P196=6,5,5)))))),IF(N196=6,IF(P196=1,1,IF(P196=2,2,IF(P196=3,3,IF(P196=4,4,IF(P196=5,5,5))))),IF(N196=5,IF(P196=1,1,IF(P196=2,2,IF(P196=3,3,IF(P196=4,4,5)))),IF(N196=4,IF(P196=1,1,IF(P196=2,2,IF(P196=3,3,4))),IF(N196=3,IF(P196=1,1,IF(P196=2,2,3)),IF(N196=2,IF(P196=1,1,2),IF(N196=1,IF(P196=1,1,"")))))))))),"")</f>
        <v/>
      </c>
      <c r="R196" s="8" t="str">
        <f t="shared" si="61"/>
        <v/>
      </c>
      <c r="S196" s="57" t="str">
        <f>IFERROR(VLOOKUP(A196,'1-2-1 绩效数据'!$G:$I,3,0),"")</f>
        <v/>
      </c>
      <c r="T196" s="8" t="str">
        <f t="shared" si="62"/>
        <v>2</v>
      </c>
      <c r="U196" s="8" t="str">
        <f t="shared" si="71"/>
        <v/>
      </c>
      <c r="V196" s="8" t="str">
        <f t="shared" si="72"/>
        <v/>
      </c>
      <c r="W196" s="58" t="str">
        <f t="shared" si="63"/>
        <v/>
      </c>
      <c r="X196" s="8" t="str">
        <f t="shared" ref="X196:X259" si="75">IF(W196&lt;&gt;"",IF(U196&gt;=10,IF(W196&lt;=10%,1,IF(W196&lt;=20%,2,IF(W196&lt;=80%,3,IF(W196&lt;=90%,4,5)))),IF(U196=8,IF(W196=1,1,IF(W196=2,2,IF(W196=3,3,IF(W196=4,3,IF(W196=5,4,IF(W196=6,4,IF(W196=7,5,5))))))),IF(U196=7,IF(W196=1,1,IF(W196=2,2,IF(W196=3,3,IF(W196=4,4,IF(W196=5,4,IF(W196=6,5,5)))))),IF(U196=6,IF(W196=1,1,IF(W196=2,2,IF(W196=3,3,IF(W196=4,4,IF(W196=5,5,5))))),IF(U196=5,IF(W196=1,1,IF(W196=2,2,IF(W196=3,3,IF(W196=4,4,5)))),IF(U196=4,IF(W196=1,1,IF(W196=2,2,IF(W196=3,3,4))),IF(U196=3,IF(W196=1,1,IF(W196=2,2,3)),IF(U196=2,IF(W196=1,1,2),IF(U196=1,IF(W196=1,1,"")))))))))),"")</f>
        <v/>
      </c>
      <c r="Y196" s="8" t="str">
        <f t="shared" si="64"/>
        <v/>
      </c>
      <c r="Z196" s="57" t="str">
        <f t="shared" si="65"/>
        <v/>
      </c>
    </row>
    <row r="197" spans="1:26" x14ac:dyDescent="0.3">
      <c r="A197" s="8"/>
      <c r="B197" s="70" t="str">
        <f>IFERROR(VLOOKUP('1-2-2 关键绩效'!$A197,'1-1 基本信息'!$A:$K,7,0),"")</f>
        <v/>
      </c>
      <c r="C197" s="8" t="str">
        <f>IFERROR(VLOOKUP($A197,'1-1 基本信息'!$A:$J,10,0),"")</f>
        <v/>
      </c>
      <c r="D197" s="8" t="str">
        <f>IFERROR(VLOOKUP(A197,'1-1 基本信息'!$A:$I,8,0),"")</f>
        <v/>
      </c>
      <c r="E197" s="57" t="str">
        <f>IFERROR(VLOOKUP($A197,'1-2-1 绩效数据'!$A:$C,3,0),"")</f>
        <v/>
      </c>
      <c r="F197" s="8" t="str">
        <f t="shared" si="57"/>
        <v>2</v>
      </c>
      <c r="G197" s="8" t="str">
        <f t="shared" si="67"/>
        <v/>
      </c>
      <c r="H197" s="8" t="str">
        <f t="shared" si="68"/>
        <v/>
      </c>
      <c r="I197" s="58" t="str">
        <f t="shared" si="58"/>
        <v/>
      </c>
      <c r="J197" s="8" t="str">
        <f t="shared" si="73"/>
        <v/>
      </c>
      <c r="K197" s="8" t="str">
        <f t="shared" si="59"/>
        <v/>
      </c>
      <c r="L197" s="57" t="str">
        <f>IFERROR(VLOOKUP($A197,'1-2-1 绩效数据'!$D:$F,3,0),"")</f>
        <v/>
      </c>
      <c r="M197" s="8" t="str">
        <f t="shared" si="66"/>
        <v>2</v>
      </c>
      <c r="N197" s="8" t="str">
        <f t="shared" si="69"/>
        <v/>
      </c>
      <c r="O197" s="8" t="str">
        <f t="shared" si="70"/>
        <v/>
      </c>
      <c r="P197" s="58" t="str">
        <f t="shared" si="60"/>
        <v/>
      </c>
      <c r="Q197" s="8" t="str">
        <f t="shared" si="74"/>
        <v/>
      </c>
      <c r="R197" s="8" t="str">
        <f t="shared" si="61"/>
        <v/>
      </c>
      <c r="S197" s="57" t="str">
        <f>IFERROR(VLOOKUP(A197,'1-2-1 绩效数据'!$G:$I,3,0),"")</f>
        <v/>
      </c>
      <c r="T197" s="8" t="str">
        <f t="shared" si="62"/>
        <v>2</v>
      </c>
      <c r="U197" s="8" t="str">
        <f t="shared" si="71"/>
        <v/>
      </c>
      <c r="V197" s="8" t="str">
        <f t="shared" si="72"/>
        <v/>
      </c>
      <c r="W197" s="58" t="str">
        <f t="shared" si="63"/>
        <v/>
      </c>
      <c r="X197" s="8" t="str">
        <f t="shared" si="75"/>
        <v/>
      </c>
      <c r="Y197" s="8" t="str">
        <f t="shared" si="64"/>
        <v/>
      </c>
      <c r="Z197" s="57" t="str">
        <f t="shared" si="65"/>
        <v/>
      </c>
    </row>
    <row r="198" spans="1:26" x14ac:dyDescent="0.3">
      <c r="A198" s="8"/>
      <c r="B198" s="70" t="str">
        <f>IFERROR(VLOOKUP('1-2-2 关键绩效'!$A198,'1-1 基本信息'!$A:$K,7,0),"")</f>
        <v/>
      </c>
      <c r="C198" s="8" t="str">
        <f>IFERROR(VLOOKUP($A198,'1-1 基本信息'!$A:$J,10,0),"")</f>
        <v/>
      </c>
      <c r="D198" s="8" t="str">
        <f>IFERROR(VLOOKUP(A198,'1-1 基本信息'!$A:$I,8,0),"")</f>
        <v/>
      </c>
      <c r="E198" s="57" t="str">
        <f>IFERROR(VLOOKUP($A198,'1-2-1 绩效数据'!$A:$C,3,0),"")</f>
        <v/>
      </c>
      <c r="F198" s="8" t="str">
        <f t="shared" ref="F198:F261" si="76">IF(E198&lt;&gt;"","1","2")</f>
        <v>2</v>
      </c>
      <c r="G198" s="8" t="str">
        <f t="shared" si="67"/>
        <v/>
      </c>
      <c r="H198" s="8" t="str">
        <f t="shared" si="68"/>
        <v/>
      </c>
      <c r="I198" s="58" t="str">
        <f t="shared" ref="I198:I261" si="77">IFERROR(H198/G198,"")</f>
        <v/>
      </c>
      <c r="J198" s="8" t="str">
        <f t="shared" si="73"/>
        <v/>
      </c>
      <c r="K198" s="8" t="str">
        <f t="shared" ref="K198:K261" si="78">IF(J198&lt;&gt;"",IF(J198=1,100,IF(J198=2,90,IF(J198=3,80,IF(J198=4,70,IF(J198=5,60))))),"")</f>
        <v/>
      </c>
      <c r="L198" s="57" t="str">
        <f>IFERROR(VLOOKUP($A198,'1-2-1 绩效数据'!$D:$F,3,0),"")</f>
        <v/>
      </c>
      <c r="M198" s="8" t="str">
        <f t="shared" si="66"/>
        <v>2</v>
      </c>
      <c r="N198" s="8" t="str">
        <f t="shared" si="69"/>
        <v/>
      </c>
      <c r="O198" s="8" t="str">
        <f t="shared" si="70"/>
        <v/>
      </c>
      <c r="P198" s="58" t="str">
        <f t="shared" ref="P198:P261" si="79">IFERROR(O198/N198,"")</f>
        <v/>
      </c>
      <c r="Q198" s="8" t="str">
        <f t="shared" si="74"/>
        <v/>
      </c>
      <c r="R198" s="8" t="str">
        <f t="shared" ref="R198:R261" si="80">IF(Q198&lt;&gt;"",IF(Q198=1,100,IF(Q198=2,90,IF(Q198=3,80,IF(Q198=4,70,IF(Q198=5,60))))),"")</f>
        <v/>
      </c>
      <c r="S198" s="57" t="str">
        <f>IFERROR(VLOOKUP(A198,'1-2-1 绩效数据'!$G:$I,3,0),"")</f>
        <v/>
      </c>
      <c r="T198" s="8" t="str">
        <f t="shared" ref="T198:T261" si="81">IF(S198&lt;&gt;"","1","2")</f>
        <v>2</v>
      </c>
      <c r="U198" s="8" t="str">
        <f t="shared" si="71"/>
        <v/>
      </c>
      <c r="V198" s="8" t="str">
        <f t="shared" si="72"/>
        <v/>
      </c>
      <c r="W198" s="58" t="str">
        <f t="shared" ref="W198:W261" si="82">IFERROR(V198/U198,"")</f>
        <v/>
      </c>
      <c r="X198" s="8" t="str">
        <f t="shared" si="75"/>
        <v/>
      </c>
      <c r="Y198" s="8" t="str">
        <f t="shared" ref="Y198:Y261" si="83">IF(X198&lt;&gt;"",IF(X198=1,100,IF(X198=2,90,IF(X198=3,80,IF(X198=4,70,IF(X198=5,60))))),"")</f>
        <v/>
      </c>
      <c r="Z198" s="57" t="str">
        <f t="shared" ref="Z198:Z261" si="84">IFERROR(AVERAGE(K198,R198,Y198),"")</f>
        <v/>
      </c>
    </row>
    <row r="199" spans="1:26" x14ac:dyDescent="0.3">
      <c r="A199" s="8"/>
      <c r="B199" s="70" t="str">
        <f>IFERROR(VLOOKUP('1-2-2 关键绩效'!$A199,'1-1 基本信息'!$A:$K,7,0),"")</f>
        <v/>
      </c>
      <c r="C199" s="8" t="str">
        <f>IFERROR(VLOOKUP($A199,'1-1 基本信息'!$A:$J,10,0),"")</f>
        <v/>
      </c>
      <c r="D199" s="8" t="str">
        <f>IFERROR(VLOOKUP(A199,'1-1 基本信息'!$A:$I,8,0),"")</f>
        <v/>
      </c>
      <c r="E199" s="57" t="str">
        <f>IFERROR(VLOOKUP($A199,'1-2-1 绩效数据'!$A:$C,3,0),"")</f>
        <v/>
      </c>
      <c r="F199" s="8" t="str">
        <f t="shared" si="76"/>
        <v>2</v>
      </c>
      <c r="G199" s="8" t="str">
        <f t="shared" si="67"/>
        <v/>
      </c>
      <c r="H199" s="8" t="str">
        <f t="shared" si="68"/>
        <v/>
      </c>
      <c r="I199" s="58" t="str">
        <f t="shared" si="77"/>
        <v/>
      </c>
      <c r="J199" s="8" t="str">
        <f t="shared" si="73"/>
        <v/>
      </c>
      <c r="K199" s="8" t="str">
        <f t="shared" si="78"/>
        <v/>
      </c>
      <c r="L199" s="57" t="str">
        <f>IFERROR(VLOOKUP($A199,'1-2-1 绩效数据'!$D:$F,3,0),"")</f>
        <v/>
      </c>
      <c r="M199" s="8" t="str">
        <f t="shared" ref="M199:M262" si="85">IF($L199&lt;&gt;"","1","2")</f>
        <v>2</v>
      </c>
      <c r="N199" s="8" t="str">
        <f t="shared" si="69"/>
        <v/>
      </c>
      <c r="O199" s="8" t="str">
        <f t="shared" si="70"/>
        <v/>
      </c>
      <c r="P199" s="58" t="str">
        <f t="shared" si="79"/>
        <v/>
      </c>
      <c r="Q199" s="8" t="str">
        <f t="shared" si="74"/>
        <v/>
      </c>
      <c r="R199" s="8" t="str">
        <f t="shared" si="80"/>
        <v/>
      </c>
      <c r="S199" s="57" t="str">
        <f>IFERROR(VLOOKUP(A199,'1-2-1 绩效数据'!$G:$I,3,0),"")</f>
        <v/>
      </c>
      <c r="T199" s="8" t="str">
        <f t="shared" si="81"/>
        <v>2</v>
      </c>
      <c r="U199" s="8" t="str">
        <f t="shared" si="71"/>
        <v/>
      </c>
      <c r="V199" s="8" t="str">
        <f t="shared" si="72"/>
        <v/>
      </c>
      <c r="W199" s="58" t="str">
        <f t="shared" si="82"/>
        <v/>
      </c>
      <c r="X199" s="8" t="str">
        <f t="shared" si="75"/>
        <v/>
      </c>
      <c r="Y199" s="8" t="str">
        <f t="shared" si="83"/>
        <v/>
      </c>
      <c r="Z199" s="57" t="str">
        <f t="shared" si="84"/>
        <v/>
      </c>
    </row>
    <row r="200" spans="1:26" x14ac:dyDescent="0.3">
      <c r="A200" s="8"/>
      <c r="B200" s="70" t="str">
        <f>IFERROR(VLOOKUP('1-2-2 关键绩效'!$A200,'1-1 基本信息'!$A:$K,7,0),"")</f>
        <v/>
      </c>
      <c r="C200" s="8" t="str">
        <f>IFERROR(VLOOKUP($A200,'1-1 基本信息'!$A:$J,10,0),"")</f>
        <v/>
      </c>
      <c r="D200" s="8" t="str">
        <f>IFERROR(VLOOKUP(A200,'1-1 基本信息'!$A:$I,8,0),"")</f>
        <v/>
      </c>
      <c r="E200" s="57" t="str">
        <f>IFERROR(VLOOKUP($A200,'1-2-1 绩效数据'!$A:$C,3,0),"")</f>
        <v/>
      </c>
      <c r="F200" s="8" t="str">
        <f t="shared" si="76"/>
        <v>2</v>
      </c>
      <c r="G200" s="8" t="str">
        <f t="shared" si="67"/>
        <v/>
      </c>
      <c r="H200" s="8" t="str">
        <f t="shared" si="68"/>
        <v/>
      </c>
      <c r="I200" s="58" t="str">
        <f t="shared" si="77"/>
        <v/>
      </c>
      <c r="J200" s="8" t="str">
        <f t="shared" si="73"/>
        <v/>
      </c>
      <c r="K200" s="8" t="str">
        <f t="shared" si="78"/>
        <v/>
      </c>
      <c r="L200" s="57" t="str">
        <f>IFERROR(VLOOKUP($A200,'1-2-1 绩效数据'!$D:$F,3,0),"")</f>
        <v/>
      </c>
      <c r="M200" s="8" t="str">
        <f t="shared" si="85"/>
        <v>2</v>
      </c>
      <c r="N200" s="8" t="str">
        <f t="shared" si="69"/>
        <v/>
      </c>
      <c r="O200" s="8" t="str">
        <f t="shared" si="70"/>
        <v/>
      </c>
      <c r="P200" s="58" t="str">
        <f t="shared" si="79"/>
        <v/>
      </c>
      <c r="Q200" s="8" t="str">
        <f t="shared" si="74"/>
        <v/>
      </c>
      <c r="R200" s="8" t="str">
        <f t="shared" si="80"/>
        <v/>
      </c>
      <c r="S200" s="57" t="str">
        <f>IFERROR(VLOOKUP(A200,'1-2-1 绩效数据'!$G:$I,3,0),"")</f>
        <v/>
      </c>
      <c r="T200" s="8" t="str">
        <f t="shared" si="81"/>
        <v>2</v>
      </c>
      <c r="U200" s="8" t="str">
        <f t="shared" si="71"/>
        <v/>
      </c>
      <c r="V200" s="8" t="str">
        <f t="shared" si="72"/>
        <v/>
      </c>
      <c r="W200" s="58" t="str">
        <f t="shared" si="82"/>
        <v/>
      </c>
      <c r="X200" s="8" t="str">
        <f t="shared" si="75"/>
        <v/>
      </c>
      <c r="Y200" s="8" t="str">
        <f t="shared" si="83"/>
        <v/>
      </c>
      <c r="Z200" s="57" t="str">
        <f t="shared" si="84"/>
        <v/>
      </c>
    </row>
    <row r="201" spans="1:26" x14ac:dyDescent="0.3">
      <c r="A201" s="8"/>
      <c r="B201" s="70" t="str">
        <f>IFERROR(VLOOKUP('1-2-2 关键绩效'!$A201,'1-1 基本信息'!$A:$K,7,0),"")</f>
        <v/>
      </c>
      <c r="C201" s="8" t="str">
        <f>IFERROR(VLOOKUP($A201,'1-1 基本信息'!$A:$J,10,0),"")</f>
        <v/>
      </c>
      <c r="D201" s="8" t="str">
        <f>IFERROR(VLOOKUP(A201,'1-1 基本信息'!$A:$I,8,0),"")</f>
        <v/>
      </c>
      <c r="E201" s="57" t="str">
        <f>IFERROR(VLOOKUP($A201,'1-2-1 绩效数据'!$A:$C,3,0),"")</f>
        <v/>
      </c>
      <c r="F201" s="8" t="str">
        <f t="shared" si="76"/>
        <v>2</v>
      </c>
      <c r="G201" s="8" t="str">
        <f t="shared" si="67"/>
        <v/>
      </c>
      <c r="H201" s="8" t="str">
        <f t="shared" si="68"/>
        <v/>
      </c>
      <c r="I201" s="58" t="str">
        <f t="shared" si="77"/>
        <v/>
      </c>
      <c r="J201" s="8" t="str">
        <f t="shared" si="73"/>
        <v/>
      </c>
      <c r="K201" s="8" t="str">
        <f t="shared" si="78"/>
        <v/>
      </c>
      <c r="L201" s="57" t="str">
        <f>IFERROR(VLOOKUP($A201,'1-2-1 绩效数据'!$D:$F,3,0),"")</f>
        <v/>
      </c>
      <c r="M201" s="8" t="str">
        <f t="shared" si="85"/>
        <v>2</v>
      </c>
      <c r="N201" s="8" t="str">
        <f t="shared" si="69"/>
        <v/>
      </c>
      <c r="O201" s="8" t="str">
        <f t="shared" si="70"/>
        <v/>
      </c>
      <c r="P201" s="58" t="str">
        <f t="shared" si="79"/>
        <v/>
      </c>
      <c r="Q201" s="8" t="str">
        <f t="shared" si="74"/>
        <v/>
      </c>
      <c r="R201" s="8" t="str">
        <f t="shared" si="80"/>
        <v/>
      </c>
      <c r="S201" s="57" t="str">
        <f>IFERROR(VLOOKUP(A201,'1-2-1 绩效数据'!$G:$I,3,0),"")</f>
        <v/>
      </c>
      <c r="T201" s="8" t="str">
        <f t="shared" si="81"/>
        <v>2</v>
      </c>
      <c r="U201" s="8" t="str">
        <f t="shared" si="71"/>
        <v/>
      </c>
      <c r="V201" s="8" t="str">
        <f t="shared" si="72"/>
        <v/>
      </c>
      <c r="W201" s="58" t="str">
        <f t="shared" si="82"/>
        <v/>
      </c>
      <c r="X201" s="8" t="str">
        <f t="shared" si="75"/>
        <v/>
      </c>
      <c r="Y201" s="8" t="str">
        <f t="shared" si="83"/>
        <v/>
      </c>
      <c r="Z201" s="57" t="str">
        <f t="shared" si="84"/>
        <v/>
      </c>
    </row>
    <row r="202" spans="1:26" x14ac:dyDescent="0.3">
      <c r="A202" s="8"/>
      <c r="B202" s="70" t="str">
        <f>IFERROR(VLOOKUP('1-2-2 关键绩效'!$A202,'1-1 基本信息'!$A:$K,7,0),"")</f>
        <v/>
      </c>
      <c r="C202" s="8" t="str">
        <f>IFERROR(VLOOKUP($A202,'1-1 基本信息'!$A:$J,10,0),"")</f>
        <v/>
      </c>
      <c r="D202" s="8" t="str">
        <f>IFERROR(VLOOKUP(A202,'1-1 基本信息'!$A:$I,8,0),"")</f>
        <v/>
      </c>
      <c r="E202" s="57" t="str">
        <f>IFERROR(VLOOKUP($A202,'1-2-1 绩效数据'!$A:$C,3,0),"")</f>
        <v/>
      </c>
      <c r="F202" s="8" t="str">
        <f t="shared" si="76"/>
        <v>2</v>
      </c>
      <c r="G202" s="8" t="str">
        <f t="shared" si="67"/>
        <v/>
      </c>
      <c r="H202" s="8" t="str">
        <f t="shared" si="68"/>
        <v/>
      </c>
      <c r="I202" s="58" t="str">
        <f t="shared" si="77"/>
        <v/>
      </c>
      <c r="J202" s="8" t="str">
        <f t="shared" si="73"/>
        <v/>
      </c>
      <c r="K202" s="8" t="str">
        <f t="shared" si="78"/>
        <v/>
      </c>
      <c r="L202" s="57" t="str">
        <f>IFERROR(VLOOKUP($A202,'1-2-1 绩效数据'!$D:$F,3,0),"")</f>
        <v/>
      </c>
      <c r="M202" s="8" t="str">
        <f t="shared" si="85"/>
        <v>2</v>
      </c>
      <c r="N202" s="8" t="str">
        <f t="shared" si="69"/>
        <v/>
      </c>
      <c r="O202" s="8" t="str">
        <f t="shared" si="70"/>
        <v/>
      </c>
      <c r="P202" s="58" t="str">
        <f t="shared" si="79"/>
        <v/>
      </c>
      <c r="Q202" s="8" t="str">
        <f t="shared" si="74"/>
        <v/>
      </c>
      <c r="R202" s="8" t="str">
        <f t="shared" si="80"/>
        <v/>
      </c>
      <c r="S202" s="57" t="str">
        <f>IFERROR(VLOOKUP(A202,'1-2-1 绩效数据'!$G:$I,3,0),"")</f>
        <v/>
      </c>
      <c r="T202" s="8" t="str">
        <f t="shared" si="81"/>
        <v>2</v>
      </c>
      <c r="U202" s="8" t="str">
        <f t="shared" si="71"/>
        <v/>
      </c>
      <c r="V202" s="8" t="str">
        <f t="shared" si="72"/>
        <v/>
      </c>
      <c r="W202" s="58" t="str">
        <f t="shared" si="82"/>
        <v/>
      </c>
      <c r="X202" s="8" t="str">
        <f t="shared" si="75"/>
        <v/>
      </c>
      <c r="Y202" s="8" t="str">
        <f t="shared" si="83"/>
        <v/>
      </c>
      <c r="Z202" s="57" t="str">
        <f t="shared" si="84"/>
        <v/>
      </c>
    </row>
    <row r="203" spans="1:26" x14ac:dyDescent="0.3">
      <c r="A203" s="8"/>
      <c r="B203" s="70" t="str">
        <f>IFERROR(VLOOKUP('1-2-2 关键绩效'!$A203,'1-1 基本信息'!$A:$K,7,0),"")</f>
        <v/>
      </c>
      <c r="C203" s="8" t="str">
        <f>IFERROR(VLOOKUP($A203,'1-1 基本信息'!$A:$J,10,0),"")</f>
        <v/>
      </c>
      <c r="D203" s="8" t="str">
        <f>IFERROR(VLOOKUP(A203,'1-1 基本信息'!$A:$I,8,0),"")</f>
        <v/>
      </c>
      <c r="E203" s="57" t="str">
        <f>IFERROR(VLOOKUP($A203,'1-2-1 绩效数据'!$A:$C,3,0),"")</f>
        <v/>
      </c>
      <c r="F203" s="8" t="str">
        <f t="shared" si="76"/>
        <v>2</v>
      </c>
      <c r="G203" s="8" t="str">
        <f t="shared" si="67"/>
        <v/>
      </c>
      <c r="H203" s="8" t="str">
        <f t="shared" si="68"/>
        <v/>
      </c>
      <c r="I203" s="58" t="str">
        <f t="shared" si="77"/>
        <v/>
      </c>
      <c r="J203" s="8" t="str">
        <f t="shared" si="73"/>
        <v/>
      </c>
      <c r="K203" s="8" t="str">
        <f t="shared" si="78"/>
        <v/>
      </c>
      <c r="L203" s="57" t="str">
        <f>IFERROR(VLOOKUP($A203,'1-2-1 绩效数据'!$D:$F,3,0),"")</f>
        <v/>
      </c>
      <c r="M203" s="8" t="str">
        <f t="shared" si="85"/>
        <v>2</v>
      </c>
      <c r="N203" s="8" t="str">
        <f t="shared" si="69"/>
        <v/>
      </c>
      <c r="O203" s="8" t="str">
        <f t="shared" si="70"/>
        <v/>
      </c>
      <c r="P203" s="58" t="str">
        <f t="shared" si="79"/>
        <v/>
      </c>
      <c r="Q203" s="8" t="str">
        <f t="shared" si="74"/>
        <v/>
      </c>
      <c r="R203" s="8" t="str">
        <f t="shared" si="80"/>
        <v/>
      </c>
      <c r="S203" s="57" t="str">
        <f>IFERROR(VLOOKUP(A203,'1-2-1 绩效数据'!$G:$I,3,0),"")</f>
        <v/>
      </c>
      <c r="T203" s="8" t="str">
        <f t="shared" si="81"/>
        <v>2</v>
      </c>
      <c r="U203" s="8" t="str">
        <f t="shared" si="71"/>
        <v/>
      </c>
      <c r="V203" s="8" t="str">
        <f t="shared" si="72"/>
        <v/>
      </c>
      <c r="W203" s="58" t="str">
        <f t="shared" si="82"/>
        <v/>
      </c>
      <c r="X203" s="8" t="str">
        <f t="shared" si="75"/>
        <v/>
      </c>
      <c r="Y203" s="8" t="str">
        <f t="shared" si="83"/>
        <v/>
      </c>
      <c r="Z203" s="57" t="str">
        <f t="shared" si="84"/>
        <v/>
      </c>
    </row>
    <row r="204" spans="1:26" x14ac:dyDescent="0.3">
      <c r="A204" s="8"/>
      <c r="B204" s="70" t="str">
        <f>IFERROR(VLOOKUP('1-2-2 关键绩效'!$A204,'1-1 基本信息'!$A:$K,7,0),"")</f>
        <v/>
      </c>
      <c r="C204" s="8" t="str">
        <f>IFERROR(VLOOKUP($A204,'1-1 基本信息'!$A:$J,10,0),"")</f>
        <v/>
      </c>
      <c r="D204" s="8" t="str">
        <f>IFERROR(VLOOKUP(A204,'1-1 基本信息'!$A:$I,8,0),"")</f>
        <v/>
      </c>
      <c r="E204" s="57" t="str">
        <f>IFERROR(VLOOKUP($A204,'1-2-1 绩效数据'!$A:$C,3,0),"")</f>
        <v/>
      </c>
      <c r="F204" s="8" t="str">
        <f t="shared" si="76"/>
        <v>2</v>
      </c>
      <c r="G204" s="8" t="str">
        <f t="shared" si="67"/>
        <v/>
      </c>
      <c r="H204" s="8" t="str">
        <f t="shared" si="68"/>
        <v/>
      </c>
      <c r="I204" s="58" t="str">
        <f t="shared" si="77"/>
        <v/>
      </c>
      <c r="J204" s="8" t="str">
        <f t="shared" si="73"/>
        <v/>
      </c>
      <c r="K204" s="8" t="str">
        <f t="shared" si="78"/>
        <v/>
      </c>
      <c r="L204" s="57" t="str">
        <f>IFERROR(VLOOKUP($A204,'1-2-1 绩效数据'!$D:$F,3,0),"")</f>
        <v/>
      </c>
      <c r="M204" s="8" t="str">
        <f t="shared" si="85"/>
        <v>2</v>
      </c>
      <c r="N204" s="8" t="str">
        <f t="shared" si="69"/>
        <v/>
      </c>
      <c r="O204" s="8" t="str">
        <f t="shared" si="70"/>
        <v/>
      </c>
      <c r="P204" s="58" t="str">
        <f t="shared" si="79"/>
        <v/>
      </c>
      <c r="Q204" s="8" t="str">
        <f t="shared" si="74"/>
        <v/>
      </c>
      <c r="R204" s="8" t="str">
        <f t="shared" si="80"/>
        <v/>
      </c>
      <c r="S204" s="57" t="str">
        <f>IFERROR(VLOOKUP(A204,'1-2-1 绩效数据'!$G:$I,3,0),"")</f>
        <v/>
      </c>
      <c r="T204" s="8" t="str">
        <f t="shared" si="81"/>
        <v>2</v>
      </c>
      <c r="U204" s="8" t="str">
        <f t="shared" si="71"/>
        <v/>
      </c>
      <c r="V204" s="8" t="str">
        <f t="shared" si="72"/>
        <v/>
      </c>
      <c r="W204" s="58" t="str">
        <f t="shared" si="82"/>
        <v/>
      </c>
      <c r="X204" s="8" t="str">
        <f t="shared" si="75"/>
        <v/>
      </c>
      <c r="Y204" s="8" t="str">
        <f t="shared" si="83"/>
        <v/>
      </c>
      <c r="Z204" s="57" t="str">
        <f t="shared" si="84"/>
        <v/>
      </c>
    </row>
    <row r="205" spans="1:26" x14ac:dyDescent="0.3">
      <c r="A205" s="8"/>
      <c r="B205" s="70" t="str">
        <f>IFERROR(VLOOKUP('1-2-2 关键绩效'!$A205,'1-1 基本信息'!$A:$K,7,0),"")</f>
        <v/>
      </c>
      <c r="C205" s="8" t="str">
        <f>IFERROR(VLOOKUP($A205,'1-1 基本信息'!$A:$J,10,0),"")</f>
        <v/>
      </c>
      <c r="D205" s="8" t="str">
        <f>IFERROR(VLOOKUP(A205,'1-1 基本信息'!$A:$I,8,0),"")</f>
        <v/>
      </c>
      <c r="E205" s="57" t="str">
        <f>IFERROR(VLOOKUP($A205,'1-2-1 绩效数据'!$A:$C,3,0),"")</f>
        <v/>
      </c>
      <c r="F205" s="8" t="str">
        <f t="shared" si="76"/>
        <v>2</v>
      </c>
      <c r="G205" s="8" t="str">
        <f t="shared" si="67"/>
        <v/>
      </c>
      <c r="H205" s="8" t="str">
        <f t="shared" si="68"/>
        <v/>
      </c>
      <c r="I205" s="58" t="str">
        <f t="shared" si="77"/>
        <v/>
      </c>
      <c r="J205" s="8" t="str">
        <f t="shared" si="73"/>
        <v/>
      </c>
      <c r="K205" s="8" t="str">
        <f t="shared" si="78"/>
        <v/>
      </c>
      <c r="L205" s="57" t="str">
        <f>IFERROR(VLOOKUP($A205,'1-2-1 绩效数据'!$D:$F,3,0),"")</f>
        <v/>
      </c>
      <c r="M205" s="8" t="str">
        <f t="shared" si="85"/>
        <v>2</v>
      </c>
      <c r="N205" s="8" t="str">
        <f t="shared" si="69"/>
        <v/>
      </c>
      <c r="O205" s="8" t="str">
        <f t="shared" si="70"/>
        <v/>
      </c>
      <c r="P205" s="58" t="str">
        <f t="shared" si="79"/>
        <v/>
      </c>
      <c r="Q205" s="8" t="str">
        <f t="shared" si="74"/>
        <v/>
      </c>
      <c r="R205" s="8" t="str">
        <f t="shared" si="80"/>
        <v/>
      </c>
      <c r="S205" s="57" t="str">
        <f>IFERROR(VLOOKUP(A205,'1-2-1 绩效数据'!$G:$I,3,0),"")</f>
        <v/>
      </c>
      <c r="T205" s="8" t="str">
        <f t="shared" si="81"/>
        <v>2</v>
      </c>
      <c r="U205" s="8" t="str">
        <f t="shared" si="71"/>
        <v/>
      </c>
      <c r="V205" s="8" t="str">
        <f t="shared" si="72"/>
        <v/>
      </c>
      <c r="W205" s="58" t="str">
        <f t="shared" si="82"/>
        <v/>
      </c>
      <c r="X205" s="8" t="str">
        <f t="shared" si="75"/>
        <v/>
      </c>
      <c r="Y205" s="8" t="str">
        <f t="shared" si="83"/>
        <v/>
      </c>
      <c r="Z205" s="57" t="str">
        <f t="shared" si="84"/>
        <v/>
      </c>
    </row>
    <row r="206" spans="1:26" x14ac:dyDescent="0.3">
      <c r="A206" s="8"/>
      <c r="B206" s="70" t="str">
        <f>IFERROR(VLOOKUP('1-2-2 关键绩效'!$A206,'1-1 基本信息'!$A:$K,7,0),"")</f>
        <v/>
      </c>
      <c r="C206" s="8" t="str">
        <f>IFERROR(VLOOKUP($A206,'1-1 基本信息'!$A:$J,10,0),"")</f>
        <v/>
      </c>
      <c r="D206" s="8" t="str">
        <f>IFERROR(VLOOKUP(A206,'1-1 基本信息'!$A:$I,8,0),"")</f>
        <v/>
      </c>
      <c r="E206" s="57" t="str">
        <f>IFERROR(VLOOKUP($A206,'1-2-1 绩效数据'!$A:$C,3,0),"")</f>
        <v/>
      </c>
      <c r="F206" s="8" t="str">
        <f t="shared" si="76"/>
        <v>2</v>
      </c>
      <c r="G206" s="8" t="str">
        <f t="shared" si="67"/>
        <v/>
      </c>
      <c r="H206" s="8" t="str">
        <f t="shared" si="68"/>
        <v/>
      </c>
      <c r="I206" s="58" t="str">
        <f t="shared" si="77"/>
        <v/>
      </c>
      <c r="J206" s="8" t="str">
        <f t="shared" si="73"/>
        <v/>
      </c>
      <c r="K206" s="8" t="str">
        <f t="shared" si="78"/>
        <v/>
      </c>
      <c r="L206" s="57" t="str">
        <f>IFERROR(VLOOKUP($A206,'1-2-1 绩效数据'!$D:$F,3,0),"")</f>
        <v/>
      </c>
      <c r="M206" s="8" t="str">
        <f t="shared" si="85"/>
        <v>2</v>
      </c>
      <c r="N206" s="8" t="str">
        <f t="shared" si="69"/>
        <v/>
      </c>
      <c r="O206" s="8" t="str">
        <f t="shared" si="70"/>
        <v/>
      </c>
      <c r="P206" s="58" t="str">
        <f t="shared" si="79"/>
        <v/>
      </c>
      <c r="Q206" s="8" t="str">
        <f t="shared" si="74"/>
        <v/>
      </c>
      <c r="R206" s="8" t="str">
        <f t="shared" si="80"/>
        <v/>
      </c>
      <c r="S206" s="57" t="str">
        <f>IFERROR(VLOOKUP(A206,'1-2-1 绩效数据'!$G:$I,3,0),"")</f>
        <v/>
      </c>
      <c r="T206" s="8" t="str">
        <f t="shared" si="81"/>
        <v>2</v>
      </c>
      <c r="U206" s="8" t="str">
        <f t="shared" si="71"/>
        <v/>
      </c>
      <c r="V206" s="8" t="str">
        <f t="shared" si="72"/>
        <v/>
      </c>
      <c r="W206" s="58" t="str">
        <f t="shared" si="82"/>
        <v/>
      </c>
      <c r="X206" s="8" t="str">
        <f t="shared" si="75"/>
        <v/>
      </c>
      <c r="Y206" s="8" t="str">
        <f t="shared" si="83"/>
        <v/>
      </c>
      <c r="Z206" s="57" t="str">
        <f t="shared" si="84"/>
        <v/>
      </c>
    </row>
    <row r="207" spans="1:26" x14ac:dyDescent="0.3">
      <c r="A207" s="8"/>
      <c r="B207" s="70" t="str">
        <f>IFERROR(VLOOKUP('1-2-2 关键绩效'!$A207,'1-1 基本信息'!$A:$K,7,0),"")</f>
        <v/>
      </c>
      <c r="C207" s="8" t="str">
        <f>IFERROR(VLOOKUP($A207,'1-1 基本信息'!$A:$J,10,0),"")</f>
        <v/>
      </c>
      <c r="D207" s="8" t="str">
        <f>IFERROR(VLOOKUP(A207,'1-1 基本信息'!$A:$I,8,0),"")</f>
        <v/>
      </c>
      <c r="E207" s="57" t="str">
        <f>IFERROR(VLOOKUP($A207,'1-2-1 绩效数据'!$A:$C,3,0),"")</f>
        <v/>
      </c>
      <c r="F207" s="8" t="str">
        <f t="shared" si="76"/>
        <v>2</v>
      </c>
      <c r="G207" s="8" t="str">
        <f t="shared" si="67"/>
        <v/>
      </c>
      <c r="H207" s="8" t="str">
        <f t="shared" si="68"/>
        <v/>
      </c>
      <c r="I207" s="58" t="str">
        <f t="shared" si="77"/>
        <v/>
      </c>
      <c r="J207" s="8" t="str">
        <f t="shared" si="73"/>
        <v/>
      </c>
      <c r="K207" s="8" t="str">
        <f t="shared" si="78"/>
        <v/>
      </c>
      <c r="L207" s="57" t="str">
        <f>IFERROR(VLOOKUP($A207,'1-2-1 绩效数据'!$D:$F,3,0),"")</f>
        <v/>
      </c>
      <c r="M207" s="8" t="str">
        <f t="shared" si="85"/>
        <v>2</v>
      </c>
      <c r="N207" s="8" t="str">
        <f t="shared" si="69"/>
        <v/>
      </c>
      <c r="O207" s="8" t="str">
        <f t="shared" si="70"/>
        <v/>
      </c>
      <c r="P207" s="58" t="str">
        <f t="shared" si="79"/>
        <v/>
      </c>
      <c r="Q207" s="8" t="str">
        <f t="shared" si="74"/>
        <v/>
      </c>
      <c r="R207" s="8" t="str">
        <f t="shared" si="80"/>
        <v/>
      </c>
      <c r="S207" s="57" t="str">
        <f>IFERROR(VLOOKUP(A207,'1-2-1 绩效数据'!$G:$I,3,0),"")</f>
        <v/>
      </c>
      <c r="T207" s="8" t="str">
        <f t="shared" si="81"/>
        <v>2</v>
      </c>
      <c r="U207" s="8" t="str">
        <f t="shared" si="71"/>
        <v/>
      </c>
      <c r="V207" s="8" t="str">
        <f t="shared" si="72"/>
        <v/>
      </c>
      <c r="W207" s="58" t="str">
        <f t="shared" si="82"/>
        <v/>
      </c>
      <c r="X207" s="8" t="str">
        <f t="shared" si="75"/>
        <v/>
      </c>
      <c r="Y207" s="8" t="str">
        <f t="shared" si="83"/>
        <v/>
      </c>
      <c r="Z207" s="57" t="str">
        <f t="shared" si="84"/>
        <v/>
      </c>
    </row>
    <row r="208" spans="1:26" x14ac:dyDescent="0.3">
      <c r="A208" s="8"/>
      <c r="B208" s="70" t="str">
        <f>IFERROR(VLOOKUP('1-2-2 关键绩效'!$A208,'1-1 基本信息'!$A:$K,7,0),"")</f>
        <v/>
      </c>
      <c r="C208" s="8" t="str">
        <f>IFERROR(VLOOKUP($A208,'1-1 基本信息'!$A:$J,10,0),"")</f>
        <v/>
      </c>
      <c r="D208" s="8" t="str">
        <f>IFERROR(VLOOKUP(A208,'1-1 基本信息'!$A:$I,8,0),"")</f>
        <v/>
      </c>
      <c r="E208" s="57" t="str">
        <f>IFERROR(VLOOKUP($A208,'1-2-1 绩效数据'!$A:$C,3,0),"")</f>
        <v/>
      </c>
      <c r="F208" s="8" t="str">
        <f t="shared" si="76"/>
        <v>2</v>
      </c>
      <c r="G208" s="8" t="str">
        <f t="shared" si="67"/>
        <v/>
      </c>
      <c r="H208" s="8" t="str">
        <f t="shared" si="68"/>
        <v/>
      </c>
      <c r="I208" s="58" t="str">
        <f t="shared" si="77"/>
        <v/>
      </c>
      <c r="J208" s="8" t="str">
        <f t="shared" si="73"/>
        <v/>
      </c>
      <c r="K208" s="8" t="str">
        <f t="shared" si="78"/>
        <v/>
      </c>
      <c r="L208" s="57" t="str">
        <f>IFERROR(VLOOKUP($A208,'1-2-1 绩效数据'!$D:$F,3,0),"")</f>
        <v/>
      </c>
      <c r="M208" s="8" t="str">
        <f t="shared" si="85"/>
        <v>2</v>
      </c>
      <c r="N208" s="8" t="str">
        <f t="shared" si="69"/>
        <v/>
      </c>
      <c r="O208" s="8" t="str">
        <f t="shared" si="70"/>
        <v/>
      </c>
      <c r="P208" s="58" t="str">
        <f t="shared" si="79"/>
        <v/>
      </c>
      <c r="Q208" s="8" t="str">
        <f t="shared" si="74"/>
        <v/>
      </c>
      <c r="R208" s="8" t="str">
        <f t="shared" si="80"/>
        <v/>
      </c>
      <c r="S208" s="57" t="str">
        <f>IFERROR(VLOOKUP(A208,'1-2-1 绩效数据'!$G:$I,3,0),"")</f>
        <v/>
      </c>
      <c r="T208" s="8" t="str">
        <f t="shared" si="81"/>
        <v>2</v>
      </c>
      <c r="U208" s="8" t="str">
        <f t="shared" si="71"/>
        <v/>
      </c>
      <c r="V208" s="8" t="str">
        <f t="shared" si="72"/>
        <v/>
      </c>
      <c r="W208" s="58" t="str">
        <f t="shared" si="82"/>
        <v/>
      </c>
      <c r="X208" s="8" t="str">
        <f t="shared" si="75"/>
        <v/>
      </c>
      <c r="Y208" s="8" t="str">
        <f t="shared" si="83"/>
        <v/>
      </c>
      <c r="Z208" s="57" t="str">
        <f t="shared" si="84"/>
        <v/>
      </c>
    </row>
    <row r="209" spans="1:26" x14ac:dyDescent="0.3">
      <c r="A209" s="8"/>
      <c r="B209" s="70" t="str">
        <f>IFERROR(VLOOKUP('1-2-2 关键绩效'!$A209,'1-1 基本信息'!$A:$K,7,0),"")</f>
        <v/>
      </c>
      <c r="C209" s="8" t="str">
        <f>IFERROR(VLOOKUP($A209,'1-1 基本信息'!$A:$J,10,0),"")</f>
        <v/>
      </c>
      <c r="D209" s="8" t="str">
        <f>IFERROR(VLOOKUP(A209,'1-1 基本信息'!$A:$I,8,0),"")</f>
        <v/>
      </c>
      <c r="E209" s="57" t="str">
        <f>IFERROR(VLOOKUP($A209,'1-2-1 绩效数据'!$A:$C,3,0),"")</f>
        <v/>
      </c>
      <c r="F209" s="8" t="str">
        <f t="shared" si="76"/>
        <v>2</v>
      </c>
      <c r="G209" s="8" t="str">
        <f t="shared" si="67"/>
        <v/>
      </c>
      <c r="H209" s="8" t="str">
        <f t="shared" si="68"/>
        <v/>
      </c>
      <c r="I209" s="58" t="str">
        <f t="shared" si="77"/>
        <v/>
      </c>
      <c r="J209" s="8" t="str">
        <f t="shared" si="73"/>
        <v/>
      </c>
      <c r="K209" s="8" t="str">
        <f t="shared" si="78"/>
        <v/>
      </c>
      <c r="L209" s="57" t="str">
        <f>IFERROR(VLOOKUP($A209,'1-2-1 绩效数据'!$D:$F,3,0),"")</f>
        <v/>
      </c>
      <c r="M209" s="8" t="str">
        <f t="shared" si="85"/>
        <v>2</v>
      </c>
      <c r="N209" s="8" t="str">
        <f t="shared" si="69"/>
        <v/>
      </c>
      <c r="O209" s="8" t="str">
        <f t="shared" si="70"/>
        <v/>
      </c>
      <c r="P209" s="58" t="str">
        <f t="shared" si="79"/>
        <v/>
      </c>
      <c r="Q209" s="8" t="str">
        <f t="shared" si="74"/>
        <v/>
      </c>
      <c r="R209" s="8" t="str">
        <f t="shared" si="80"/>
        <v/>
      </c>
      <c r="S209" s="57" t="str">
        <f>IFERROR(VLOOKUP(A209,'1-2-1 绩效数据'!$G:$I,3,0),"")</f>
        <v/>
      </c>
      <c r="T209" s="8" t="str">
        <f t="shared" si="81"/>
        <v>2</v>
      </c>
      <c r="U209" s="8" t="str">
        <f t="shared" si="71"/>
        <v/>
      </c>
      <c r="V209" s="8" t="str">
        <f t="shared" si="72"/>
        <v/>
      </c>
      <c r="W209" s="58" t="str">
        <f t="shared" si="82"/>
        <v/>
      </c>
      <c r="X209" s="8" t="str">
        <f t="shared" si="75"/>
        <v/>
      </c>
      <c r="Y209" s="8" t="str">
        <f t="shared" si="83"/>
        <v/>
      </c>
      <c r="Z209" s="57" t="str">
        <f t="shared" si="84"/>
        <v/>
      </c>
    </row>
    <row r="210" spans="1:26" x14ac:dyDescent="0.3">
      <c r="A210" s="8"/>
      <c r="B210" s="70" t="str">
        <f>IFERROR(VLOOKUP('1-2-2 关键绩效'!$A210,'1-1 基本信息'!$A:$K,7,0),"")</f>
        <v/>
      </c>
      <c r="C210" s="8" t="str">
        <f>IFERROR(VLOOKUP($A210,'1-1 基本信息'!$A:$J,10,0),"")</f>
        <v/>
      </c>
      <c r="D210" s="8" t="str">
        <f>IFERROR(VLOOKUP(A210,'1-1 基本信息'!$A:$I,8,0),"")</f>
        <v/>
      </c>
      <c r="E210" s="57" t="str">
        <f>IFERROR(VLOOKUP($A210,'1-2-1 绩效数据'!$A:$C,3,0),"")</f>
        <v/>
      </c>
      <c r="F210" s="8" t="str">
        <f t="shared" si="76"/>
        <v>2</v>
      </c>
      <c r="G210" s="8" t="str">
        <f t="shared" si="67"/>
        <v/>
      </c>
      <c r="H210" s="8" t="str">
        <f t="shared" si="68"/>
        <v/>
      </c>
      <c r="I210" s="58" t="str">
        <f t="shared" si="77"/>
        <v/>
      </c>
      <c r="J210" s="8" t="str">
        <f t="shared" si="73"/>
        <v/>
      </c>
      <c r="K210" s="8" t="str">
        <f t="shared" si="78"/>
        <v/>
      </c>
      <c r="L210" s="57" t="str">
        <f>IFERROR(VLOOKUP($A210,'1-2-1 绩效数据'!$D:$F,3,0),"")</f>
        <v/>
      </c>
      <c r="M210" s="8" t="str">
        <f t="shared" si="85"/>
        <v>2</v>
      </c>
      <c r="N210" s="8" t="str">
        <f t="shared" si="69"/>
        <v/>
      </c>
      <c r="O210" s="8" t="str">
        <f t="shared" si="70"/>
        <v/>
      </c>
      <c r="P210" s="58" t="str">
        <f t="shared" si="79"/>
        <v/>
      </c>
      <c r="Q210" s="8" t="str">
        <f t="shared" si="74"/>
        <v/>
      </c>
      <c r="R210" s="8" t="str">
        <f t="shared" si="80"/>
        <v/>
      </c>
      <c r="S210" s="57" t="str">
        <f>IFERROR(VLOOKUP(A210,'1-2-1 绩效数据'!$G:$I,3,0),"")</f>
        <v/>
      </c>
      <c r="T210" s="8" t="str">
        <f t="shared" si="81"/>
        <v>2</v>
      </c>
      <c r="U210" s="8" t="str">
        <f t="shared" si="71"/>
        <v/>
      </c>
      <c r="V210" s="8" t="str">
        <f t="shared" si="72"/>
        <v/>
      </c>
      <c r="W210" s="58" t="str">
        <f t="shared" si="82"/>
        <v/>
      </c>
      <c r="X210" s="8" t="str">
        <f t="shared" si="75"/>
        <v/>
      </c>
      <c r="Y210" s="8" t="str">
        <f t="shared" si="83"/>
        <v/>
      </c>
      <c r="Z210" s="57" t="str">
        <f t="shared" si="84"/>
        <v/>
      </c>
    </row>
    <row r="211" spans="1:26" x14ac:dyDescent="0.3">
      <c r="A211" s="8"/>
      <c r="B211" s="70" t="str">
        <f>IFERROR(VLOOKUP('1-2-2 关键绩效'!$A211,'1-1 基本信息'!$A:$K,7,0),"")</f>
        <v/>
      </c>
      <c r="C211" s="8" t="str">
        <f>IFERROR(VLOOKUP($A211,'1-1 基本信息'!$A:$J,10,0),"")</f>
        <v/>
      </c>
      <c r="D211" s="8" t="str">
        <f>IFERROR(VLOOKUP(A211,'1-1 基本信息'!$A:$I,8,0),"")</f>
        <v/>
      </c>
      <c r="E211" s="57" t="str">
        <f>IFERROR(VLOOKUP($A211,'1-2-1 绩效数据'!$A:$C,3,0),"")</f>
        <v/>
      </c>
      <c r="F211" s="8" t="str">
        <f t="shared" si="76"/>
        <v>2</v>
      </c>
      <c r="G211" s="8" t="str">
        <f t="shared" si="67"/>
        <v/>
      </c>
      <c r="H211" s="8" t="str">
        <f t="shared" si="68"/>
        <v/>
      </c>
      <c r="I211" s="58" t="str">
        <f t="shared" si="77"/>
        <v/>
      </c>
      <c r="J211" s="8" t="str">
        <f t="shared" si="73"/>
        <v/>
      </c>
      <c r="K211" s="8" t="str">
        <f t="shared" si="78"/>
        <v/>
      </c>
      <c r="L211" s="57" t="str">
        <f>IFERROR(VLOOKUP($A211,'1-2-1 绩效数据'!$D:$F,3,0),"")</f>
        <v/>
      </c>
      <c r="M211" s="8" t="str">
        <f t="shared" si="85"/>
        <v>2</v>
      </c>
      <c r="N211" s="8" t="str">
        <f t="shared" si="69"/>
        <v/>
      </c>
      <c r="O211" s="8" t="str">
        <f t="shared" si="70"/>
        <v/>
      </c>
      <c r="P211" s="58" t="str">
        <f t="shared" si="79"/>
        <v/>
      </c>
      <c r="Q211" s="8" t="str">
        <f t="shared" si="74"/>
        <v/>
      </c>
      <c r="R211" s="8" t="str">
        <f t="shared" si="80"/>
        <v/>
      </c>
      <c r="S211" s="57" t="str">
        <f>IFERROR(VLOOKUP(A211,'1-2-1 绩效数据'!$G:$I,3,0),"")</f>
        <v/>
      </c>
      <c r="T211" s="8" t="str">
        <f t="shared" si="81"/>
        <v>2</v>
      </c>
      <c r="U211" s="8" t="str">
        <f t="shared" si="71"/>
        <v/>
      </c>
      <c r="V211" s="8" t="str">
        <f t="shared" si="72"/>
        <v/>
      </c>
      <c r="W211" s="58" t="str">
        <f t="shared" si="82"/>
        <v/>
      </c>
      <c r="X211" s="8" t="str">
        <f t="shared" si="75"/>
        <v/>
      </c>
      <c r="Y211" s="8" t="str">
        <f t="shared" si="83"/>
        <v/>
      </c>
      <c r="Z211" s="57" t="str">
        <f t="shared" si="84"/>
        <v/>
      </c>
    </row>
    <row r="212" spans="1:26" x14ac:dyDescent="0.3">
      <c r="A212" s="8"/>
      <c r="B212" s="70" t="str">
        <f>IFERROR(VLOOKUP('1-2-2 关键绩效'!$A212,'1-1 基本信息'!$A:$K,7,0),"")</f>
        <v/>
      </c>
      <c r="C212" s="8" t="str">
        <f>IFERROR(VLOOKUP($A212,'1-1 基本信息'!$A:$J,10,0),"")</f>
        <v/>
      </c>
      <c r="D212" s="8" t="str">
        <f>IFERROR(VLOOKUP(A212,'1-1 基本信息'!$A:$I,8,0),"")</f>
        <v/>
      </c>
      <c r="E212" s="57" t="str">
        <f>IFERROR(VLOOKUP($A212,'1-2-1 绩效数据'!$A:$C,3,0),"")</f>
        <v/>
      </c>
      <c r="F212" s="8" t="str">
        <f t="shared" si="76"/>
        <v>2</v>
      </c>
      <c r="G212" s="8" t="str">
        <f t="shared" si="67"/>
        <v/>
      </c>
      <c r="H212" s="8" t="str">
        <f t="shared" si="68"/>
        <v/>
      </c>
      <c r="I212" s="58" t="str">
        <f t="shared" si="77"/>
        <v/>
      </c>
      <c r="J212" s="8" t="str">
        <f t="shared" si="73"/>
        <v/>
      </c>
      <c r="K212" s="8" t="str">
        <f t="shared" si="78"/>
        <v/>
      </c>
      <c r="L212" s="57" t="str">
        <f>IFERROR(VLOOKUP($A212,'1-2-1 绩效数据'!$D:$F,3,0),"")</f>
        <v/>
      </c>
      <c r="M212" s="8" t="str">
        <f t="shared" si="85"/>
        <v>2</v>
      </c>
      <c r="N212" s="8" t="str">
        <f t="shared" si="69"/>
        <v/>
      </c>
      <c r="O212" s="8" t="str">
        <f t="shared" si="70"/>
        <v/>
      </c>
      <c r="P212" s="58" t="str">
        <f t="shared" si="79"/>
        <v/>
      </c>
      <c r="Q212" s="8" t="str">
        <f t="shared" si="74"/>
        <v/>
      </c>
      <c r="R212" s="8" t="str">
        <f t="shared" si="80"/>
        <v/>
      </c>
      <c r="S212" s="57" t="str">
        <f>IFERROR(VLOOKUP(A212,'1-2-1 绩效数据'!$G:$I,3,0),"")</f>
        <v/>
      </c>
      <c r="T212" s="8" t="str">
        <f t="shared" si="81"/>
        <v>2</v>
      </c>
      <c r="U212" s="8" t="str">
        <f t="shared" si="71"/>
        <v/>
      </c>
      <c r="V212" s="8" t="str">
        <f t="shared" si="72"/>
        <v/>
      </c>
      <c r="W212" s="58" t="str">
        <f t="shared" si="82"/>
        <v/>
      </c>
      <c r="X212" s="8" t="str">
        <f t="shared" si="75"/>
        <v/>
      </c>
      <c r="Y212" s="8" t="str">
        <f t="shared" si="83"/>
        <v/>
      </c>
      <c r="Z212" s="57" t="str">
        <f t="shared" si="84"/>
        <v/>
      </c>
    </row>
    <row r="213" spans="1:26" x14ac:dyDescent="0.3">
      <c r="A213" s="8"/>
      <c r="B213" s="70" t="str">
        <f>IFERROR(VLOOKUP('1-2-2 关键绩效'!$A213,'1-1 基本信息'!$A:$K,7,0),"")</f>
        <v/>
      </c>
      <c r="C213" s="8" t="str">
        <f>IFERROR(VLOOKUP($A213,'1-1 基本信息'!$A:$J,10,0),"")</f>
        <v/>
      </c>
      <c r="D213" s="8" t="str">
        <f>IFERROR(VLOOKUP(A213,'1-1 基本信息'!$A:$I,8,0),"")</f>
        <v/>
      </c>
      <c r="E213" s="57" t="str">
        <f>IFERROR(VLOOKUP($A213,'1-2-1 绩效数据'!$A:$C,3,0),"")</f>
        <v/>
      </c>
      <c r="F213" s="8" t="str">
        <f t="shared" si="76"/>
        <v>2</v>
      </c>
      <c r="G213" s="8" t="str">
        <f t="shared" si="67"/>
        <v/>
      </c>
      <c r="H213" s="8" t="str">
        <f t="shared" si="68"/>
        <v/>
      </c>
      <c r="I213" s="58" t="str">
        <f t="shared" si="77"/>
        <v/>
      </c>
      <c r="J213" s="8" t="str">
        <f t="shared" si="73"/>
        <v/>
      </c>
      <c r="K213" s="8" t="str">
        <f t="shared" si="78"/>
        <v/>
      </c>
      <c r="L213" s="57" t="str">
        <f>IFERROR(VLOOKUP($A213,'1-2-1 绩效数据'!$D:$F,3,0),"")</f>
        <v/>
      </c>
      <c r="M213" s="8" t="str">
        <f t="shared" si="85"/>
        <v>2</v>
      </c>
      <c r="N213" s="8" t="str">
        <f t="shared" si="69"/>
        <v/>
      </c>
      <c r="O213" s="8" t="str">
        <f t="shared" si="70"/>
        <v/>
      </c>
      <c r="P213" s="58" t="str">
        <f t="shared" si="79"/>
        <v/>
      </c>
      <c r="Q213" s="8" t="str">
        <f t="shared" si="74"/>
        <v/>
      </c>
      <c r="R213" s="8" t="str">
        <f t="shared" si="80"/>
        <v/>
      </c>
      <c r="S213" s="57" t="str">
        <f>IFERROR(VLOOKUP(A213,'1-2-1 绩效数据'!$G:$I,3,0),"")</f>
        <v/>
      </c>
      <c r="T213" s="8" t="str">
        <f t="shared" si="81"/>
        <v>2</v>
      </c>
      <c r="U213" s="8" t="str">
        <f t="shared" si="71"/>
        <v/>
      </c>
      <c r="V213" s="8" t="str">
        <f t="shared" si="72"/>
        <v/>
      </c>
      <c r="W213" s="58" t="str">
        <f t="shared" si="82"/>
        <v/>
      </c>
      <c r="X213" s="8" t="str">
        <f t="shared" si="75"/>
        <v/>
      </c>
      <c r="Y213" s="8" t="str">
        <f t="shared" si="83"/>
        <v/>
      </c>
      <c r="Z213" s="57" t="str">
        <f t="shared" si="84"/>
        <v/>
      </c>
    </row>
    <row r="214" spans="1:26" x14ac:dyDescent="0.3">
      <c r="A214" s="8"/>
      <c r="B214" s="70" t="str">
        <f>IFERROR(VLOOKUP('1-2-2 关键绩效'!$A214,'1-1 基本信息'!$A:$K,7,0),"")</f>
        <v/>
      </c>
      <c r="C214" s="8" t="str">
        <f>IFERROR(VLOOKUP($A214,'1-1 基本信息'!$A:$J,10,0),"")</f>
        <v/>
      </c>
      <c r="D214" s="8" t="str">
        <f>IFERROR(VLOOKUP(A214,'1-1 基本信息'!$A:$I,8,0),"")</f>
        <v/>
      </c>
      <c r="E214" s="57" t="str">
        <f>IFERROR(VLOOKUP($A214,'1-2-1 绩效数据'!$A:$C,3,0),"")</f>
        <v/>
      </c>
      <c r="F214" s="8" t="str">
        <f t="shared" si="76"/>
        <v>2</v>
      </c>
      <c r="G214" s="8" t="str">
        <f t="shared" si="67"/>
        <v/>
      </c>
      <c r="H214" s="8" t="str">
        <f t="shared" si="68"/>
        <v/>
      </c>
      <c r="I214" s="58" t="str">
        <f t="shared" si="77"/>
        <v/>
      </c>
      <c r="J214" s="8" t="str">
        <f t="shared" si="73"/>
        <v/>
      </c>
      <c r="K214" s="8" t="str">
        <f t="shared" si="78"/>
        <v/>
      </c>
      <c r="L214" s="57" t="str">
        <f>IFERROR(VLOOKUP($A214,'1-2-1 绩效数据'!$D:$F,3,0),"")</f>
        <v/>
      </c>
      <c r="M214" s="8" t="str">
        <f t="shared" si="85"/>
        <v>2</v>
      </c>
      <c r="N214" s="8" t="str">
        <f t="shared" si="69"/>
        <v/>
      </c>
      <c r="O214" s="8" t="str">
        <f t="shared" si="70"/>
        <v/>
      </c>
      <c r="P214" s="58" t="str">
        <f t="shared" si="79"/>
        <v/>
      </c>
      <c r="Q214" s="8" t="str">
        <f t="shared" si="74"/>
        <v/>
      </c>
      <c r="R214" s="8" t="str">
        <f t="shared" si="80"/>
        <v/>
      </c>
      <c r="S214" s="57" t="str">
        <f>IFERROR(VLOOKUP(A214,'1-2-1 绩效数据'!$G:$I,3,0),"")</f>
        <v/>
      </c>
      <c r="T214" s="8" t="str">
        <f t="shared" si="81"/>
        <v>2</v>
      </c>
      <c r="U214" s="8" t="str">
        <f t="shared" si="71"/>
        <v/>
      </c>
      <c r="V214" s="8" t="str">
        <f t="shared" si="72"/>
        <v/>
      </c>
      <c r="W214" s="58" t="str">
        <f t="shared" si="82"/>
        <v/>
      </c>
      <c r="X214" s="8" t="str">
        <f t="shared" si="75"/>
        <v/>
      </c>
      <c r="Y214" s="8" t="str">
        <f t="shared" si="83"/>
        <v/>
      </c>
      <c r="Z214" s="57" t="str">
        <f t="shared" si="84"/>
        <v/>
      </c>
    </row>
    <row r="215" spans="1:26" x14ac:dyDescent="0.3">
      <c r="A215" s="8"/>
      <c r="B215" s="70" t="str">
        <f>IFERROR(VLOOKUP('1-2-2 关键绩效'!$A215,'1-1 基本信息'!$A:$K,7,0),"")</f>
        <v/>
      </c>
      <c r="C215" s="8" t="str">
        <f>IFERROR(VLOOKUP($A215,'1-1 基本信息'!$A:$J,10,0),"")</f>
        <v/>
      </c>
      <c r="D215" s="8" t="str">
        <f>IFERROR(VLOOKUP(A215,'1-1 基本信息'!$A:$I,8,0),"")</f>
        <v/>
      </c>
      <c r="E215" s="57" t="str">
        <f>IFERROR(VLOOKUP($A215,'1-2-1 绩效数据'!$A:$C,3,0),"")</f>
        <v/>
      </c>
      <c r="F215" s="8" t="str">
        <f t="shared" si="76"/>
        <v>2</v>
      </c>
      <c r="G215" s="8" t="str">
        <f t="shared" si="67"/>
        <v/>
      </c>
      <c r="H215" s="8" t="str">
        <f t="shared" si="68"/>
        <v/>
      </c>
      <c r="I215" s="58" t="str">
        <f t="shared" si="77"/>
        <v/>
      </c>
      <c r="J215" s="8" t="str">
        <f t="shared" si="73"/>
        <v/>
      </c>
      <c r="K215" s="8" t="str">
        <f t="shared" si="78"/>
        <v/>
      </c>
      <c r="L215" s="57" t="str">
        <f>IFERROR(VLOOKUP($A215,'1-2-1 绩效数据'!$D:$F,3,0),"")</f>
        <v/>
      </c>
      <c r="M215" s="8" t="str">
        <f t="shared" si="85"/>
        <v>2</v>
      </c>
      <c r="N215" s="8" t="str">
        <f t="shared" si="69"/>
        <v/>
      </c>
      <c r="O215" s="8" t="str">
        <f t="shared" si="70"/>
        <v/>
      </c>
      <c r="P215" s="58" t="str">
        <f t="shared" si="79"/>
        <v/>
      </c>
      <c r="Q215" s="8" t="str">
        <f t="shared" si="74"/>
        <v/>
      </c>
      <c r="R215" s="8" t="str">
        <f t="shared" si="80"/>
        <v/>
      </c>
      <c r="S215" s="57" t="str">
        <f>IFERROR(VLOOKUP(A215,'1-2-1 绩效数据'!$G:$I,3,0),"")</f>
        <v/>
      </c>
      <c r="T215" s="8" t="str">
        <f t="shared" si="81"/>
        <v>2</v>
      </c>
      <c r="U215" s="8" t="str">
        <f t="shared" si="71"/>
        <v/>
      </c>
      <c r="V215" s="8" t="str">
        <f t="shared" si="72"/>
        <v/>
      </c>
      <c r="W215" s="58" t="str">
        <f t="shared" si="82"/>
        <v/>
      </c>
      <c r="X215" s="8" t="str">
        <f t="shared" si="75"/>
        <v/>
      </c>
      <c r="Y215" s="8" t="str">
        <f t="shared" si="83"/>
        <v/>
      </c>
      <c r="Z215" s="57" t="str">
        <f t="shared" si="84"/>
        <v/>
      </c>
    </row>
    <row r="216" spans="1:26" x14ac:dyDescent="0.3">
      <c r="A216" s="8"/>
      <c r="B216" s="70" t="str">
        <f>IFERROR(VLOOKUP('1-2-2 关键绩效'!$A216,'1-1 基本信息'!$A:$K,7,0),"")</f>
        <v/>
      </c>
      <c r="C216" s="8" t="str">
        <f>IFERROR(VLOOKUP($A216,'1-1 基本信息'!$A:$J,10,0),"")</f>
        <v/>
      </c>
      <c r="D216" s="8" t="str">
        <f>IFERROR(VLOOKUP(A216,'1-1 基本信息'!$A:$I,8,0),"")</f>
        <v/>
      </c>
      <c r="E216" s="57" t="str">
        <f>IFERROR(VLOOKUP($A216,'1-2-1 绩效数据'!$A:$C,3,0),"")</f>
        <v/>
      </c>
      <c r="F216" s="8" t="str">
        <f t="shared" si="76"/>
        <v>2</v>
      </c>
      <c r="G216" s="8" t="str">
        <f t="shared" si="67"/>
        <v/>
      </c>
      <c r="H216" s="8" t="str">
        <f t="shared" si="68"/>
        <v/>
      </c>
      <c r="I216" s="58" t="str">
        <f t="shared" si="77"/>
        <v/>
      </c>
      <c r="J216" s="8" t="str">
        <f t="shared" si="73"/>
        <v/>
      </c>
      <c r="K216" s="8" t="str">
        <f t="shared" si="78"/>
        <v/>
      </c>
      <c r="L216" s="57" t="str">
        <f>IFERROR(VLOOKUP($A216,'1-2-1 绩效数据'!$D:$F,3,0),"")</f>
        <v/>
      </c>
      <c r="M216" s="8" t="str">
        <f t="shared" si="85"/>
        <v>2</v>
      </c>
      <c r="N216" s="8" t="str">
        <f t="shared" si="69"/>
        <v/>
      </c>
      <c r="O216" s="8" t="str">
        <f t="shared" si="70"/>
        <v/>
      </c>
      <c r="P216" s="58" t="str">
        <f t="shared" si="79"/>
        <v/>
      </c>
      <c r="Q216" s="8" t="str">
        <f t="shared" si="74"/>
        <v/>
      </c>
      <c r="R216" s="8" t="str">
        <f t="shared" si="80"/>
        <v/>
      </c>
      <c r="S216" s="57" t="str">
        <f>IFERROR(VLOOKUP(A216,'1-2-1 绩效数据'!$G:$I,3,0),"")</f>
        <v/>
      </c>
      <c r="T216" s="8" t="str">
        <f t="shared" si="81"/>
        <v>2</v>
      </c>
      <c r="U216" s="8" t="str">
        <f t="shared" si="71"/>
        <v/>
      </c>
      <c r="V216" s="8" t="str">
        <f t="shared" si="72"/>
        <v/>
      </c>
      <c r="W216" s="58" t="str">
        <f t="shared" si="82"/>
        <v/>
      </c>
      <c r="X216" s="8" t="str">
        <f t="shared" si="75"/>
        <v/>
      </c>
      <c r="Y216" s="8" t="str">
        <f t="shared" si="83"/>
        <v/>
      </c>
      <c r="Z216" s="57" t="str">
        <f t="shared" si="84"/>
        <v/>
      </c>
    </row>
    <row r="217" spans="1:26" x14ac:dyDescent="0.3">
      <c r="A217" s="8"/>
      <c r="B217" s="70" t="str">
        <f>IFERROR(VLOOKUP('1-2-2 关键绩效'!$A217,'1-1 基本信息'!$A:$K,7,0),"")</f>
        <v/>
      </c>
      <c r="C217" s="8" t="str">
        <f>IFERROR(VLOOKUP($A217,'1-1 基本信息'!$A:$J,10,0),"")</f>
        <v/>
      </c>
      <c r="D217" s="8" t="str">
        <f>IFERROR(VLOOKUP(A217,'1-1 基本信息'!$A:$I,8,0),"")</f>
        <v/>
      </c>
      <c r="E217" s="57" t="str">
        <f>IFERROR(VLOOKUP($A217,'1-2-1 绩效数据'!$A:$C,3,0),"")</f>
        <v/>
      </c>
      <c r="F217" s="8" t="str">
        <f t="shared" si="76"/>
        <v>2</v>
      </c>
      <c r="G217" s="8" t="str">
        <f t="shared" si="67"/>
        <v/>
      </c>
      <c r="H217" s="8" t="str">
        <f t="shared" si="68"/>
        <v/>
      </c>
      <c r="I217" s="58" t="str">
        <f t="shared" si="77"/>
        <v/>
      </c>
      <c r="J217" s="8" t="str">
        <f t="shared" si="73"/>
        <v/>
      </c>
      <c r="K217" s="8" t="str">
        <f t="shared" si="78"/>
        <v/>
      </c>
      <c r="L217" s="57" t="str">
        <f>IFERROR(VLOOKUP($A217,'1-2-1 绩效数据'!$D:$F,3,0),"")</f>
        <v/>
      </c>
      <c r="M217" s="8" t="str">
        <f t="shared" si="85"/>
        <v>2</v>
      </c>
      <c r="N217" s="8" t="str">
        <f t="shared" si="69"/>
        <v/>
      </c>
      <c r="O217" s="8" t="str">
        <f t="shared" si="70"/>
        <v/>
      </c>
      <c r="P217" s="58" t="str">
        <f t="shared" si="79"/>
        <v/>
      </c>
      <c r="Q217" s="8" t="str">
        <f t="shared" si="74"/>
        <v/>
      </c>
      <c r="R217" s="8" t="str">
        <f t="shared" si="80"/>
        <v/>
      </c>
      <c r="S217" s="57" t="str">
        <f>IFERROR(VLOOKUP(A217,'1-2-1 绩效数据'!$G:$I,3,0),"")</f>
        <v/>
      </c>
      <c r="T217" s="8" t="str">
        <f t="shared" si="81"/>
        <v>2</v>
      </c>
      <c r="U217" s="8" t="str">
        <f t="shared" si="71"/>
        <v/>
      </c>
      <c r="V217" s="8" t="str">
        <f t="shared" si="72"/>
        <v/>
      </c>
      <c r="W217" s="58" t="str">
        <f t="shared" si="82"/>
        <v/>
      </c>
      <c r="X217" s="8" t="str">
        <f t="shared" si="75"/>
        <v/>
      </c>
      <c r="Y217" s="8" t="str">
        <f t="shared" si="83"/>
        <v/>
      </c>
      <c r="Z217" s="57" t="str">
        <f t="shared" si="84"/>
        <v/>
      </c>
    </row>
    <row r="218" spans="1:26" x14ac:dyDescent="0.3">
      <c r="A218" s="8"/>
      <c r="B218" s="70" t="str">
        <f>IFERROR(VLOOKUP('1-2-2 关键绩效'!$A218,'1-1 基本信息'!$A:$K,7,0),"")</f>
        <v/>
      </c>
      <c r="C218" s="8" t="str">
        <f>IFERROR(VLOOKUP($A218,'1-1 基本信息'!$A:$J,10,0),"")</f>
        <v/>
      </c>
      <c r="D218" s="8" t="str">
        <f>IFERROR(VLOOKUP(A218,'1-1 基本信息'!$A:$I,8,0),"")</f>
        <v/>
      </c>
      <c r="E218" s="57" t="str">
        <f>IFERROR(VLOOKUP($A218,'1-2-1 绩效数据'!$A:$C,3,0),"")</f>
        <v/>
      </c>
      <c r="F218" s="8" t="str">
        <f t="shared" si="76"/>
        <v>2</v>
      </c>
      <c r="G218" s="8" t="str">
        <f t="shared" si="67"/>
        <v/>
      </c>
      <c r="H218" s="8" t="str">
        <f t="shared" si="68"/>
        <v/>
      </c>
      <c r="I218" s="58" t="str">
        <f t="shared" si="77"/>
        <v/>
      </c>
      <c r="J218" s="8" t="str">
        <f t="shared" si="73"/>
        <v/>
      </c>
      <c r="K218" s="8" t="str">
        <f t="shared" si="78"/>
        <v/>
      </c>
      <c r="L218" s="57" t="str">
        <f>IFERROR(VLOOKUP($A218,'1-2-1 绩效数据'!$D:$F,3,0),"")</f>
        <v/>
      </c>
      <c r="M218" s="8" t="str">
        <f t="shared" si="85"/>
        <v>2</v>
      </c>
      <c r="N218" s="8" t="str">
        <f t="shared" si="69"/>
        <v/>
      </c>
      <c r="O218" s="8" t="str">
        <f t="shared" si="70"/>
        <v/>
      </c>
      <c r="P218" s="58" t="str">
        <f t="shared" si="79"/>
        <v/>
      </c>
      <c r="Q218" s="8" t="str">
        <f t="shared" si="74"/>
        <v/>
      </c>
      <c r="R218" s="8" t="str">
        <f t="shared" si="80"/>
        <v/>
      </c>
      <c r="S218" s="57" t="str">
        <f>IFERROR(VLOOKUP(A218,'1-2-1 绩效数据'!$G:$I,3,0),"")</f>
        <v/>
      </c>
      <c r="T218" s="8" t="str">
        <f t="shared" si="81"/>
        <v>2</v>
      </c>
      <c r="U218" s="8" t="str">
        <f t="shared" si="71"/>
        <v/>
      </c>
      <c r="V218" s="8" t="str">
        <f t="shared" si="72"/>
        <v/>
      </c>
      <c r="W218" s="58" t="str">
        <f t="shared" si="82"/>
        <v/>
      </c>
      <c r="X218" s="8" t="str">
        <f t="shared" si="75"/>
        <v/>
      </c>
      <c r="Y218" s="8" t="str">
        <f t="shared" si="83"/>
        <v/>
      </c>
      <c r="Z218" s="57" t="str">
        <f t="shared" si="84"/>
        <v/>
      </c>
    </row>
    <row r="219" spans="1:26" x14ac:dyDescent="0.3">
      <c r="A219" s="8"/>
      <c r="B219" s="70" t="str">
        <f>IFERROR(VLOOKUP('1-2-2 关键绩效'!$A219,'1-1 基本信息'!$A:$K,7,0),"")</f>
        <v/>
      </c>
      <c r="C219" s="8" t="str">
        <f>IFERROR(VLOOKUP($A219,'1-1 基本信息'!$A:$J,10,0),"")</f>
        <v/>
      </c>
      <c r="D219" s="8" t="str">
        <f>IFERROR(VLOOKUP(A219,'1-1 基本信息'!$A:$I,8,0),"")</f>
        <v/>
      </c>
      <c r="E219" s="57" t="str">
        <f>IFERROR(VLOOKUP($A219,'1-2-1 绩效数据'!$A:$C,3,0),"")</f>
        <v/>
      </c>
      <c r="F219" s="8" t="str">
        <f t="shared" si="76"/>
        <v>2</v>
      </c>
      <c r="G219" s="8" t="str">
        <f t="shared" si="67"/>
        <v/>
      </c>
      <c r="H219" s="8" t="str">
        <f t="shared" si="68"/>
        <v/>
      </c>
      <c r="I219" s="58" t="str">
        <f t="shared" si="77"/>
        <v/>
      </c>
      <c r="J219" s="8" t="str">
        <f t="shared" si="73"/>
        <v/>
      </c>
      <c r="K219" s="8" t="str">
        <f t="shared" si="78"/>
        <v/>
      </c>
      <c r="L219" s="57" t="str">
        <f>IFERROR(VLOOKUP($A219,'1-2-1 绩效数据'!$D:$F,3,0),"")</f>
        <v/>
      </c>
      <c r="M219" s="8" t="str">
        <f t="shared" si="85"/>
        <v>2</v>
      </c>
      <c r="N219" s="8" t="str">
        <f t="shared" si="69"/>
        <v/>
      </c>
      <c r="O219" s="8" t="str">
        <f t="shared" si="70"/>
        <v/>
      </c>
      <c r="P219" s="58" t="str">
        <f t="shared" si="79"/>
        <v/>
      </c>
      <c r="Q219" s="8" t="str">
        <f t="shared" si="74"/>
        <v/>
      </c>
      <c r="R219" s="8" t="str">
        <f t="shared" si="80"/>
        <v/>
      </c>
      <c r="S219" s="57" t="str">
        <f>IFERROR(VLOOKUP(A219,'1-2-1 绩效数据'!$G:$I,3,0),"")</f>
        <v/>
      </c>
      <c r="T219" s="8" t="str">
        <f t="shared" si="81"/>
        <v>2</v>
      </c>
      <c r="U219" s="8" t="str">
        <f t="shared" si="71"/>
        <v/>
      </c>
      <c r="V219" s="8" t="str">
        <f t="shared" si="72"/>
        <v/>
      </c>
      <c r="W219" s="58" t="str">
        <f t="shared" si="82"/>
        <v/>
      </c>
      <c r="X219" s="8" t="str">
        <f t="shared" si="75"/>
        <v/>
      </c>
      <c r="Y219" s="8" t="str">
        <f t="shared" si="83"/>
        <v/>
      </c>
      <c r="Z219" s="57" t="str">
        <f t="shared" si="84"/>
        <v/>
      </c>
    </row>
    <row r="220" spans="1:26" x14ac:dyDescent="0.3">
      <c r="A220" s="8"/>
      <c r="B220" s="70" t="str">
        <f>IFERROR(VLOOKUP('1-2-2 关键绩效'!$A220,'1-1 基本信息'!$A:$K,7,0),"")</f>
        <v/>
      </c>
      <c r="C220" s="8" t="str">
        <f>IFERROR(VLOOKUP($A220,'1-1 基本信息'!$A:$J,10,0),"")</f>
        <v/>
      </c>
      <c r="D220" s="8" t="str">
        <f>IFERROR(VLOOKUP(A220,'1-1 基本信息'!$A:$I,8,0),"")</f>
        <v/>
      </c>
      <c r="E220" s="57" t="str">
        <f>IFERROR(VLOOKUP($A220,'1-2-1 绩效数据'!$A:$C,3,0),"")</f>
        <v/>
      </c>
      <c r="F220" s="8" t="str">
        <f t="shared" si="76"/>
        <v>2</v>
      </c>
      <c r="G220" s="8" t="str">
        <f t="shared" si="67"/>
        <v/>
      </c>
      <c r="H220" s="8" t="str">
        <f t="shared" si="68"/>
        <v/>
      </c>
      <c r="I220" s="58" t="str">
        <f t="shared" si="77"/>
        <v/>
      </c>
      <c r="J220" s="8" t="str">
        <f t="shared" si="73"/>
        <v/>
      </c>
      <c r="K220" s="8" t="str">
        <f t="shared" si="78"/>
        <v/>
      </c>
      <c r="L220" s="57" t="str">
        <f>IFERROR(VLOOKUP($A220,'1-2-1 绩效数据'!$D:$F,3,0),"")</f>
        <v/>
      </c>
      <c r="M220" s="8" t="str">
        <f t="shared" si="85"/>
        <v>2</v>
      </c>
      <c r="N220" s="8" t="str">
        <f t="shared" si="69"/>
        <v/>
      </c>
      <c r="O220" s="8" t="str">
        <f t="shared" si="70"/>
        <v/>
      </c>
      <c r="P220" s="58" t="str">
        <f t="shared" si="79"/>
        <v/>
      </c>
      <c r="Q220" s="8" t="str">
        <f t="shared" si="74"/>
        <v/>
      </c>
      <c r="R220" s="8" t="str">
        <f t="shared" si="80"/>
        <v/>
      </c>
      <c r="S220" s="57" t="str">
        <f>IFERROR(VLOOKUP(A220,'1-2-1 绩效数据'!$G:$I,3,0),"")</f>
        <v/>
      </c>
      <c r="T220" s="8" t="str">
        <f t="shared" si="81"/>
        <v>2</v>
      </c>
      <c r="U220" s="8" t="str">
        <f t="shared" si="71"/>
        <v/>
      </c>
      <c r="V220" s="8" t="str">
        <f t="shared" si="72"/>
        <v/>
      </c>
      <c r="W220" s="58" t="str">
        <f t="shared" si="82"/>
        <v/>
      </c>
      <c r="X220" s="8" t="str">
        <f t="shared" si="75"/>
        <v/>
      </c>
      <c r="Y220" s="8" t="str">
        <f t="shared" si="83"/>
        <v/>
      </c>
      <c r="Z220" s="57" t="str">
        <f t="shared" si="84"/>
        <v/>
      </c>
    </row>
    <row r="221" spans="1:26" x14ac:dyDescent="0.3">
      <c r="A221" s="8"/>
      <c r="B221" s="70" t="str">
        <f>IFERROR(VLOOKUP('1-2-2 关键绩效'!$A221,'1-1 基本信息'!$A:$K,7,0),"")</f>
        <v/>
      </c>
      <c r="C221" s="8" t="str">
        <f>IFERROR(VLOOKUP($A221,'1-1 基本信息'!$A:$J,10,0),"")</f>
        <v/>
      </c>
      <c r="D221" s="8" t="str">
        <f>IFERROR(VLOOKUP(A221,'1-1 基本信息'!$A:$I,8,0),"")</f>
        <v/>
      </c>
      <c r="E221" s="57" t="str">
        <f>IFERROR(VLOOKUP($A221,'1-2-1 绩效数据'!$A:$C,3,0),"")</f>
        <v/>
      </c>
      <c r="F221" s="8" t="str">
        <f t="shared" si="76"/>
        <v>2</v>
      </c>
      <c r="G221" s="8" t="str">
        <f t="shared" si="67"/>
        <v/>
      </c>
      <c r="H221" s="8" t="str">
        <f t="shared" si="68"/>
        <v/>
      </c>
      <c r="I221" s="58" t="str">
        <f t="shared" si="77"/>
        <v/>
      </c>
      <c r="J221" s="8" t="str">
        <f t="shared" si="73"/>
        <v/>
      </c>
      <c r="K221" s="8" t="str">
        <f t="shared" si="78"/>
        <v/>
      </c>
      <c r="L221" s="57" t="str">
        <f>IFERROR(VLOOKUP($A221,'1-2-1 绩效数据'!$D:$F,3,0),"")</f>
        <v/>
      </c>
      <c r="M221" s="8" t="str">
        <f t="shared" si="85"/>
        <v>2</v>
      </c>
      <c r="N221" s="8" t="str">
        <f t="shared" si="69"/>
        <v/>
      </c>
      <c r="O221" s="8" t="str">
        <f t="shared" si="70"/>
        <v/>
      </c>
      <c r="P221" s="58" t="str">
        <f t="shared" si="79"/>
        <v/>
      </c>
      <c r="Q221" s="8" t="str">
        <f t="shared" si="74"/>
        <v/>
      </c>
      <c r="R221" s="8" t="str">
        <f t="shared" si="80"/>
        <v/>
      </c>
      <c r="S221" s="57" t="str">
        <f>IFERROR(VLOOKUP(A221,'1-2-1 绩效数据'!$G:$I,3,0),"")</f>
        <v/>
      </c>
      <c r="T221" s="8" t="str">
        <f t="shared" si="81"/>
        <v>2</v>
      </c>
      <c r="U221" s="8" t="str">
        <f t="shared" si="71"/>
        <v/>
      </c>
      <c r="V221" s="8" t="str">
        <f t="shared" si="72"/>
        <v/>
      </c>
      <c r="W221" s="58" t="str">
        <f t="shared" si="82"/>
        <v/>
      </c>
      <c r="X221" s="8" t="str">
        <f t="shared" si="75"/>
        <v/>
      </c>
      <c r="Y221" s="8" t="str">
        <f t="shared" si="83"/>
        <v/>
      </c>
      <c r="Z221" s="57" t="str">
        <f t="shared" si="84"/>
        <v/>
      </c>
    </row>
    <row r="222" spans="1:26" x14ac:dyDescent="0.3">
      <c r="A222" s="8"/>
      <c r="B222" s="70" t="str">
        <f>IFERROR(VLOOKUP('1-2-2 关键绩效'!$A222,'1-1 基本信息'!$A:$K,7,0),"")</f>
        <v/>
      </c>
      <c r="C222" s="8" t="str">
        <f>IFERROR(VLOOKUP($A222,'1-1 基本信息'!$A:$J,10,0),"")</f>
        <v/>
      </c>
      <c r="D222" s="8" t="str">
        <f>IFERROR(VLOOKUP(A222,'1-1 基本信息'!$A:$I,8,0),"")</f>
        <v/>
      </c>
      <c r="E222" s="57" t="str">
        <f>IFERROR(VLOOKUP($A222,'1-2-1 绩效数据'!$A:$C,3,0),"")</f>
        <v/>
      </c>
      <c r="F222" s="8" t="str">
        <f t="shared" si="76"/>
        <v>2</v>
      </c>
      <c r="G222" s="8" t="str">
        <f t="shared" si="67"/>
        <v/>
      </c>
      <c r="H222" s="8" t="str">
        <f t="shared" si="68"/>
        <v/>
      </c>
      <c r="I222" s="58" t="str">
        <f t="shared" si="77"/>
        <v/>
      </c>
      <c r="J222" s="8" t="str">
        <f t="shared" si="73"/>
        <v/>
      </c>
      <c r="K222" s="8" t="str">
        <f t="shared" si="78"/>
        <v/>
      </c>
      <c r="L222" s="57" t="str">
        <f>IFERROR(VLOOKUP($A222,'1-2-1 绩效数据'!$D:$F,3,0),"")</f>
        <v/>
      </c>
      <c r="M222" s="8" t="str">
        <f t="shared" si="85"/>
        <v>2</v>
      </c>
      <c r="N222" s="8" t="str">
        <f t="shared" si="69"/>
        <v/>
      </c>
      <c r="O222" s="8" t="str">
        <f t="shared" si="70"/>
        <v/>
      </c>
      <c r="P222" s="58" t="str">
        <f t="shared" si="79"/>
        <v/>
      </c>
      <c r="Q222" s="8" t="str">
        <f t="shared" si="74"/>
        <v/>
      </c>
      <c r="R222" s="8" t="str">
        <f t="shared" si="80"/>
        <v/>
      </c>
      <c r="S222" s="57" t="str">
        <f>IFERROR(VLOOKUP(A222,'1-2-1 绩效数据'!$G:$I,3,0),"")</f>
        <v/>
      </c>
      <c r="T222" s="8" t="str">
        <f t="shared" si="81"/>
        <v>2</v>
      </c>
      <c r="U222" s="8" t="str">
        <f t="shared" si="71"/>
        <v/>
      </c>
      <c r="V222" s="8" t="str">
        <f t="shared" si="72"/>
        <v/>
      </c>
      <c r="W222" s="58" t="str">
        <f t="shared" si="82"/>
        <v/>
      </c>
      <c r="X222" s="8" t="str">
        <f t="shared" si="75"/>
        <v/>
      </c>
      <c r="Y222" s="8" t="str">
        <f t="shared" si="83"/>
        <v/>
      </c>
      <c r="Z222" s="57" t="str">
        <f t="shared" si="84"/>
        <v/>
      </c>
    </row>
    <row r="223" spans="1:26" x14ac:dyDescent="0.3">
      <c r="A223" s="8"/>
      <c r="B223" s="70" t="str">
        <f>IFERROR(VLOOKUP('1-2-2 关键绩效'!$A223,'1-1 基本信息'!$A:$K,7,0),"")</f>
        <v/>
      </c>
      <c r="C223" s="8" t="str">
        <f>IFERROR(VLOOKUP($A223,'1-1 基本信息'!$A:$J,10,0),"")</f>
        <v/>
      </c>
      <c r="D223" s="8" t="str">
        <f>IFERROR(VLOOKUP(A223,'1-1 基本信息'!$A:$I,8,0),"")</f>
        <v/>
      </c>
      <c r="E223" s="57" t="str">
        <f>IFERROR(VLOOKUP($A223,'1-2-1 绩效数据'!$A:$C,3,0),"")</f>
        <v/>
      </c>
      <c r="F223" s="8" t="str">
        <f t="shared" si="76"/>
        <v>2</v>
      </c>
      <c r="G223" s="8" t="str">
        <f t="shared" si="67"/>
        <v/>
      </c>
      <c r="H223" s="8" t="str">
        <f t="shared" si="68"/>
        <v/>
      </c>
      <c r="I223" s="58" t="str">
        <f t="shared" si="77"/>
        <v/>
      </c>
      <c r="J223" s="8" t="str">
        <f t="shared" si="73"/>
        <v/>
      </c>
      <c r="K223" s="8" t="str">
        <f t="shared" si="78"/>
        <v/>
      </c>
      <c r="L223" s="57" t="str">
        <f>IFERROR(VLOOKUP($A223,'1-2-1 绩效数据'!$D:$F,3,0),"")</f>
        <v/>
      </c>
      <c r="M223" s="8" t="str">
        <f t="shared" si="85"/>
        <v>2</v>
      </c>
      <c r="N223" s="8" t="str">
        <f t="shared" si="69"/>
        <v/>
      </c>
      <c r="O223" s="8" t="str">
        <f t="shared" si="70"/>
        <v/>
      </c>
      <c r="P223" s="58" t="str">
        <f t="shared" si="79"/>
        <v/>
      </c>
      <c r="Q223" s="8" t="str">
        <f t="shared" si="74"/>
        <v/>
      </c>
      <c r="R223" s="8" t="str">
        <f t="shared" si="80"/>
        <v/>
      </c>
      <c r="S223" s="57" t="str">
        <f>IFERROR(VLOOKUP(A223,'1-2-1 绩效数据'!$G:$I,3,0),"")</f>
        <v/>
      </c>
      <c r="T223" s="8" t="str">
        <f t="shared" si="81"/>
        <v>2</v>
      </c>
      <c r="U223" s="8" t="str">
        <f t="shared" si="71"/>
        <v/>
      </c>
      <c r="V223" s="8" t="str">
        <f t="shared" si="72"/>
        <v/>
      </c>
      <c r="W223" s="58" t="str">
        <f t="shared" si="82"/>
        <v/>
      </c>
      <c r="X223" s="8" t="str">
        <f t="shared" si="75"/>
        <v/>
      </c>
      <c r="Y223" s="8" t="str">
        <f t="shared" si="83"/>
        <v/>
      </c>
      <c r="Z223" s="57" t="str">
        <f t="shared" si="84"/>
        <v/>
      </c>
    </row>
    <row r="224" spans="1:26" x14ac:dyDescent="0.3">
      <c r="A224" s="8"/>
      <c r="B224" s="70" t="str">
        <f>IFERROR(VLOOKUP('1-2-2 关键绩效'!$A224,'1-1 基本信息'!$A:$K,7,0),"")</f>
        <v/>
      </c>
      <c r="C224" s="8" t="str">
        <f>IFERROR(VLOOKUP($A224,'1-1 基本信息'!$A:$J,10,0),"")</f>
        <v/>
      </c>
      <c r="D224" s="8" t="str">
        <f>IFERROR(VLOOKUP(A224,'1-1 基本信息'!$A:$I,8,0),"")</f>
        <v/>
      </c>
      <c r="E224" s="57" t="str">
        <f>IFERROR(VLOOKUP($A224,'1-2-1 绩效数据'!$A:$C,3,0),"")</f>
        <v/>
      </c>
      <c r="F224" s="8" t="str">
        <f t="shared" si="76"/>
        <v>2</v>
      </c>
      <c r="G224" s="8" t="str">
        <f t="shared" si="67"/>
        <v/>
      </c>
      <c r="H224" s="8" t="str">
        <f t="shared" si="68"/>
        <v/>
      </c>
      <c r="I224" s="58" t="str">
        <f t="shared" si="77"/>
        <v/>
      </c>
      <c r="J224" s="8" t="str">
        <f t="shared" si="73"/>
        <v/>
      </c>
      <c r="K224" s="8" t="str">
        <f t="shared" si="78"/>
        <v/>
      </c>
      <c r="L224" s="57" t="str">
        <f>IFERROR(VLOOKUP($A224,'1-2-1 绩效数据'!$D:$F,3,0),"")</f>
        <v/>
      </c>
      <c r="M224" s="8" t="str">
        <f t="shared" si="85"/>
        <v>2</v>
      </c>
      <c r="N224" s="8" t="str">
        <f t="shared" si="69"/>
        <v/>
      </c>
      <c r="O224" s="8" t="str">
        <f t="shared" si="70"/>
        <v/>
      </c>
      <c r="P224" s="58" t="str">
        <f t="shared" si="79"/>
        <v/>
      </c>
      <c r="Q224" s="8" t="str">
        <f t="shared" si="74"/>
        <v/>
      </c>
      <c r="R224" s="8" t="str">
        <f t="shared" si="80"/>
        <v/>
      </c>
      <c r="S224" s="57" t="str">
        <f>IFERROR(VLOOKUP(A224,'1-2-1 绩效数据'!$G:$I,3,0),"")</f>
        <v/>
      </c>
      <c r="T224" s="8" t="str">
        <f t="shared" si="81"/>
        <v>2</v>
      </c>
      <c r="U224" s="8" t="str">
        <f t="shared" si="71"/>
        <v/>
      </c>
      <c r="V224" s="8" t="str">
        <f t="shared" si="72"/>
        <v/>
      </c>
      <c r="W224" s="58" t="str">
        <f t="shared" si="82"/>
        <v/>
      </c>
      <c r="X224" s="8" t="str">
        <f t="shared" si="75"/>
        <v/>
      </c>
      <c r="Y224" s="8" t="str">
        <f t="shared" si="83"/>
        <v/>
      </c>
      <c r="Z224" s="57" t="str">
        <f t="shared" si="84"/>
        <v/>
      </c>
    </row>
    <row r="225" spans="1:26" x14ac:dyDescent="0.3">
      <c r="A225" s="8"/>
      <c r="B225" s="70" t="str">
        <f>IFERROR(VLOOKUP('1-2-2 关键绩效'!$A225,'1-1 基本信息'!$A:$K,7,0),"")</f>
        <v/>
      </c>
      <c r="C225" s="8" t="str">
        <f>IFERROR(VLOOKUP($A225,'1-1 基本信息'!$A:$J,10,0),"")</f>
        <v/>
      </c>
      <c r="D225" s="8" t="str">
        <f>IFERROR(VLOOKUP(A225,'1-1 基本信息'!$A:$I,8,0),"")</f>
        <v/>
      </c>
      <c r="E225" s="57" t="str">
        <f>IFERROR(VLOOKUP($A225,'1-2-1 绩效数据'!$A:$C,3,0),"")</f>
        <v/>
      </c>
      <c r="F225" s="8" t="str">
        <f t="shared" si="76"/>
        <v>2</v>
      </c>
      <c r="G225" s="8" t="str">
        <f t="shared" si="67"/>
        <v/>
      </c>
      <c r="H225" s="8" t="str">
        <f t="shared" si="68"/>
        <v/>
      </c>
      <c r="I225" s="58" t="str">
        <f t="shared" si="77"/>
        <v/>
      </c>
      <c r="J225" s="8" t="str">
        <f t="shared" si="73"/>
        <v/>
      </c>
      <c r="K225" s="8" t="str">
        <f t="shared" si="78"/>
        <v/>
      </c>
      <c r="L225" s="57" t="str">
        <f>IFERROR(VLOOKUP($A225,'1-2-1 绩效数据'!$D:$F,3,0),"")</f>
        <v/>
      </c>
      <c r="M225" s="8" t="str">
        <f t="shared" si="85"/>
        <v>2</v>
      </c>
      <c r="N225" s="8" t="str">
        <f t="shared" si="69"/>
        <v/>
      </c>
      <c r="O225" s="8" t="str">
        <f t="shared" si="70"/>
        <v/>
      </c>
      <c r="P225" s="58" t="str">
        <f t="shared" si="79"/>
        <v/>
      </c>
      <c r="Q225" s="8" t="str">
        <f t="shared" si="74"/>
        <v/>
      </c>
      <c r="R225" s="8" t="str">
        <f t="shared" si="80"/>
        <v/>
      </c>
      <c r="S225" s="57" t="str">
        <f>IFERROR(VLOOKUP(A225,'1-2-1 绩效数据'!$G:$I,3,0),"")</f>
        <v/>
      </c>
      <c r="T225" s="8" t="str">
        <f t="shared" si="81"/>
        <v>2</v>
      </c>
      <c r="U225" s="8" t="str">
        <f t="shared" si="71"/>
        <v/>
      </c>
      <c r="V225" s="8" t="str">
        <f t="shared" si="72"/>
        <v/>
      </c>
      <c r="W225" s="58" t="str">
        <f t="shared" si="82"/>
        <v/>
      </c>
      <c r="X225" s="8" t="str">
        <f t="shared" si="75"/>
        <v/>
      </c>
      <c r="Y225" s="8" t="str">
        <f t="shared" si="83"/>
        <v/>
      </c>
      <c r="Z225" s="57" t="str">
        <f t="shared" si="84"/>
        <v/>
      </c>
    </row>
    <row r="226" spans="1:26" x14ac:dyDescent="0.3">
      <c r="A226" s="8"/>
      <c r="B226" s="70" t="str">
        <f>IFERROR(VLOOKUP('1-2-2 关键绩效'!$A226,'1-1 基本信息'!$A:$K,7,0),"")</f>
        <v/>
      </c>
      <c r="C226" s="8" t="str">
        <f>IFERROR(VLOOKUP($A226,'1-1 基本信息'!$A:$J,10,0),"")</f>
        <v/>
      </c>
      <c r="D226" s="8" t="str">
        <f>IFERROR(VLOOKUP(A226,'1-1 基本信息'!$A:$I,8,0),"")</f>
        <v/>
      </c>
      <c r="E226" s="57" t="str">
        <f>IFERROR(VLOOKUP($A226,'1-2-1 绩效数据'!$A:$C,3,0),"")</f>
        <v/>
      </c>
      <c r="F226" s="8" t="str">
        <f t="shared" si="76"/>
        <v>2</v>
      </c>
      <c r="G226" s="8" t="str">
        <f t="shared" si="67"/>
        <v/>
      </c>
      <c r="H226" s="8" t="str">
        <f t="shared" si="68"/>
        <v/>
      </c>
      <c r="I226" s="58" t="str">
        <f t="shared" si="77"/>
        <v/>
      </c>
      <c r="J226" s="8" t="str">
        <f t="shared" si="73"/>
        <v/>
      </c>
      <c r="K226" s="8" t="str">
        <f t="shared" si="78"/>
        <v/>
      </c>
      <c r="L226" s="57" t="str">
        <f>IFERROR(VLOOKUP($A226,'1-2-1 绩效数据'!$D:$F,3,0),"")</f>
        <v/>
      </c>
      <c r="M226" s="8" t="str">
        <f t="shared" si="85"/>
        <v>2</v>
      </c>
      <c r="N226" s="8" t="str">
        <f t="shared" si="69"/>
        <v/>
      </c>
      <c r="O226" s="8" t="str">
        <f t="shared" si="70"/>
        <v/>
      </c>
      <c r="P226" s="58" t="str">
        <f t="shared" si="79"/>
        <v/>
      </c>
      <c r="Q226" s="8" t="str">
        <f t="shared" si="74"/>
        <v/>
      </c>
      <c r="R226" s="8" t="str">
        <f t="shared" si="80"/>
        <v/>
      </c>
      <c r="S226" s="57" t="str">
        <f>IFERROR(VLOOKUP(A226,'1-2-1 绩效数据'!$G:$I,3,0),"")</f>
        <v/>
      </c>
      <c r="T226" s="8" t="str">
        <f t="shared" si="81"/>
        <v>2</v>
      </c>
      <c r="U226" s="8" t="str">
        <f t="shared" si="71"/>
        <v/>
      </c>
      <c r="V226" s="8" t="str">
        <f t="shared" si="72"/>
        <v/>
      </c>
      <c r="W226" s="58" t="str">
        <f t="shared" si="82"/>
        <v/>
      </c>
      <c r="X226" s="8" t="str">
        <f t="shared" si="75"/>
        <v/>
      </c>
      <c r="Y226" s="8" t="str">
        <f t="shared" si="83"/>
        <v/>
      </c>
      <c r="Z226" s="57" t="str">
        <f t="shared" si="84"/>
        <v/>
      </c>
    </row>
    <row r="227" spans="1:26" x14ac:dyDescent="0.3">
      <c r="A227" s="8"/>
      <c r="B227" s="70" t="str">
        <f>IFERROR(VLOOKUP('1-2-2 关键绩效'!$A227,'1-1 基本信息'!$A:$K,7,0),"")</f>
        <v/>
      </c>
      <c r="C227" s="8" t="str">
        <f>IFERROR(VLOOKUP($A227,'1-1 基本信息'!$A:$J,10,0),"")</f>
        <v/>
      </c>
      <c r="D227" s="8" t="str">
        <f>IFERROR(VLOOKUP(A227,'1-1 基本信息'!$A:$I,8,0),"")</f>
        <v/>
      </c>
      <c r="E227" s="57" t="str">
        <f>IFERROR(VLOOKUP($A227,'1-2-1 绩效数据'!$A:$C,3,0),"")</f>
        <v/>
      </c>
      <c r="F227" s="8" t="str">
        <f t="shared" si="76"/>
        <v>2</v>
      </c>
      <c r="G227" s="8" t="str">
        <f t="shared" si="67"/>
        <v/>
      </c>
      <c r="H227" s="8" t="str">
        <f t="shared" si="68"/>
        <v/>
      </c>
      <c r="I227" s="58" t="str">
        <f t="shared" si="77"/>
        <v/>
      </c>
      <c r="J227" s="8" t="str">
        <f t="shared" si="73"/>
        <v/>
      </c>
      <c r="K227" s="8" t="str">
        <f t="shared" si="78"/>
        <v/>
      </c>
      <c r="L227" s="57" t="str">
        <f>IFERROR(VLOOKUP($A227,'1-2-1 绩效数据'!$D:$F,3,0),"")</f>
        <v/>
      </c>
      <c r="M227" s="8" t="str">
        <f t="shared" si="85"/>
        <v>2</v>
      </c>
      <c r="N227" s="8" t="str">
        <f t="shared" si="69"/>
        <v/>
      </c>
      <c r="O227" s="8" t="str">
        <f t="shared" si="70"/>
        <v/>
      </c>
      <c r="P227" s="58" t="str">
        <f t="shared" si="79"/>
        <v/>
      </c>
      <c r="Q227" s="8" t="str">
        <f t="shared" si="74"/>
        <v/>
      </c>
      <c r="R227" s="8" t="str">
        <f t="shared" si="80"/>
        <v/>
      </c>
      <c r="S227" s="57" t="str">
        <f>IFERROR(VLOOKUP(A227,'1-2-1 绩效数据'!$G:$I,3,0),"")</f>
        <v/>
      </c>
      <c r="T227" s="8" t="str">
        <f t="shared" si="81"/>
        <v>2</v>
      </c>
      <c r="U227" s="8" t="str">
        <f t="shared" si="71"/>
        <v/>
      </c>
      <c r="V227" s="8" t="str">
        <f t="shared" si="72"/>
        <v/>
      </c>
      <c r="W227" s="58" t="str">
        <f t="shared" si="82"/>
        <v/>
      </c>
      <c r="X227" s="8" t="str">
        <f t="shared" si="75"/>
        <v/>
      </c>
      <c r="Y227" s="8" t="str">
        <f t="shared" si="83"/>
        <v/>
      </c>
      <c r="Z227" s="57" t="str">
        <f t="shared" si="84"/>
        <v/>
      </c>
    </row>
    <row r="228" spans="1:26" x14ac:dyDescent="0.3">
      <c r="A228" s="8"/>
      <c r="B228" s="70" t="str">
        <f>IFERROR(VLOOKUP('1-2-2 关键绩效'!$A228,'1-1 基本信息'!$A:$K,7,0),"")</f>
        <v/>
      </c>
      <c r="C228" s="8" t="str">
        <f>IFERROR(VLOOKUP($A228,'1-1 基本信息'!$A:$J,10,0),"")</f>
        <v/>
      </c>
      <c r="D228" s="8" t="str">
        <f>IFERROR(VLOOKUP(A228,'1-1 基本信息'!$A:$I,8,0),"")</f>
        <v/>
      </c>
      <c r="E228" s="57" t="str">
        <f>IFERROR(VLOOKUP($A228,'1-2-1 绩效数据'!$A:$C,3,0),"")</f>
        <v/>
      </c>
      <c r="F228" s="8" t="str">
        <f t="shared" si="76"/>
        <v>2</v>
      </c>
      <c r="G228" s="8" t="str">
        <f t="shared" si="67"/>
        <v/>
      </c>
      <c r="H228" s="8" t="str">
        <f t="shared" si="68"/>
        <v/>
      </c>
      <c r="I228" s="58" t="str">
        <f t="shared" si="77"/>
        <v/>
      </c>
      <c r="J228" s="8" t="str">
        <f t="shared" si="73"/>
        <v/>
      </c>
      <c r="K228" s="8" t="str">
        <f t="shared" si="78"/>
        <v/>
      </c>
      <c r="L228" s="57" t="str">
        <f>IFERROR(VLOOKUP($A228,'1-2-1 绩效数据'!$D:$F,3,0),"")</f>
        <v/>
      </c>
      <c r="M228" s="8" t="str">
        <f t="shared" si="85"/>
        <v>2</v>
      </c>
      <c r="N228" s="8" t="str">
        <f t="shared" si="69"/>
        <v/>
      </c>
      <c r="O228" s="8" t="str">
        <f t="shared" si="70"/>
        <v/>
      </c>
      <c r="P228" s="58" t="str">
        <f t="shared" si="79"/>
        <v/>
      </c>
      <c r="Q228" s="8" t="str">
        <f t="shared" si="74"/>
        <v/>
      </c>
      <c r="R228" s="8" t="str">
        <f t="shared" si="80"/>
        <v/>
      </c>
      <c r="S228" s="57" t="str">
        <f>IFERROR(VLOOKUP(A228,'1-2-1 绩效数据'!$G:$I,3,0),"")</f>
        <v/>
      </c>
      <c r="T228" s="8" t="str">
        <f t="shared" si="81"/>
        <v>2</v>
      </c>
      <c r="U228" s="8" t="str">
        <f t="shared" si="71"/>
        <v/>
      </c>
      <c r="V228" s="8" t="str">
        <f t="shared" si="72"/>
        <v/>
      </c>
      <c r="W228" s="58" t="str">
        <f t="shared" si="82"/>
        <v/>
      </c>
      <c r="X228" s="8" t="str">
        <f t="shared" si="75"/>
        <v/>
      </c>
      <c r="Y228" s="8" t="str">
        <f t="shared" si="83"/>
        <v/>
      </c>
      <c r="Z228" s="57" t="str">
        <f t="shared" si="84"/>
        <v/>
      </c>
    </row>
    <row r="229" spans="1:26" x14ac:dyDescent="0.3">
      <c r="A229" s="8"/>
      <c r="B229" s="70" t="str">
        <f>IFERROR(VLOOKUP('1-2-2 关键绩效'!$A229,'1-1 基本信息'!$A:$K,7,0),"")</f>
        <v/>
      </c>
      <c r="C229" s="8" t="str">
        <f>IFERROR(VLOOKUP($A229,'1-1 基本信息'!$A:$J,10,0),"")</f>
        <v/>
      </c>
      <c r="D229" s="8" t="str">
        <f>IFERROR(VLOOKUP(A229,'1-1 基本信息'!$A:$I,8,0),"")</f>
        <v/>
      </c>
      <c r="E229" s="57" t="str">
        <f>IFERROR(VLOOKUP($A229,'1-2-1 绩效数据'!$A:$C,3,0),"")</f>
        <v/>
      </c>
      <c r="F229" s="8" t="str">
        <f t="shared" si="76"/>
        <v>2</v>
      </c>
      <c r="G229" s="8" t="str">
        <f t="shared" si="67"/>
        <v/>
      </c>
      <c r="H229" s="8" t="str">
        <f t="shared" si="68"/>
        <v/>
      </c>
      <c r="I229" s="58" t="str">
        <f t="shared" si="77"/>
        <v/>
      </c>
      <c r="J229" s="8" t="str">
        <f t="shared" si="73"/>
        <v/>
      </c>
      <c r="K229" s="8" t="str">
        <f t="shared" si="78"/>
        <v/>
      </c>
      <c r="L229" s="57" t="str">
        <f>IFERROR(VLOOKUP($A229,'1-2-1 绩效数据'!$D:$F,3,0),"")</f>
        <v/>
      </c>
      <c r="M229" s="8" t="str">
        <f t="shared" si="85"/>
        <v>2</v>
      </c>
      <c r="N229" s="8" t="str">
        <f t="shared" si="69"/>
        <v/>
      </c>
      <c r="O229" s="8" t="str">
        <f t="shared" si="70"/>
        <v/>
      </c>
      <c r="P229" s="58" t="str">
        <f t="shared" si="79"/>
        <v/>
      </c>
      <c r="Q229" s="8" t="str">
        <f t="shared" si="74"/>
        <v/>
      </c>
      <c r="R229" s="8" t="str">
        <f t="shared" si="80"/>
        <v/>
      </c>
      <c r="S229" s="57" t="str">
        <f>IFERROR(VLOOKUP(A229,'1-2-1 绩效数据'!$G:$I,3,0),"")</f>
        <v/>
      </c>
      <c r="T229" s="8" t="str">
        <f t="shared" si="81"/>
        <v>2</v>
      </c>
      <c r="U229" s="8" t="str">
        <f t="shared" si="71"/>
        <v/>
      </c>
      <c r="V229" s="8" t="str">
        <f t="shared" si="72"/>
        <v/>
      </c>
      <c r="W229" s="58" t="str">
        <f t="shared" si="82"/>
        <v/>
      </c>
      <c r="X229" s="8" t="str">
        <f t="shared" si="75"/>
        <v/>
      </c>
      <c r="Y229" s="8" t="str">
        <f t="shared" si="83"/>
        <v/>
      </c>
      <c r="Z229" s="57" t="str">
        <f t="shared" si="84"/>
        <v/>
      </c>
    </row>
    <row r="230" spans="1:26" x14ac:dyDescent="0.3">
      <c r="A230" s="8"/>
      <c r="B230" s="70" t="str">
        <f>IFERROR(VLOOKUP('1-2-2 关键绩效'!$A230,'1-1 基本信息'!$A:$K,7,0),"")</f>
        <v/>
      </c>
      <c r="C230" s="8" t="str">
        <f>IFERROR(VLOOKUP($A230,'1-1 基本信息'!$A:$J,10,0),"")</f>
        <v/>
      </c>
      <c r="D230" s="8" t="str">
        <f>IFERROR(VLOOKUP(A230,'1-1 基本信息'!$A:$I,8,0),"")</f>
        <v/>
      </c>
      <c r="E230" s="57" t="str">
        <f>IFERROR(VLOOKUP($A230,'1-2-1 绩效数据'!$A:$C,3,0),"")</f>
        <v/>
      </c>
      <c r="F230" s="8" t="str">
        <f t="shared" si="76"/>
        <v>2</v>
      </c>
      <c r="G230" s="8" t="str">
        <f t="shared" si="67"/>
        <v/>
      </c>
      <c r="H230" s="8" t="str">
        <f t="shared" si="68"/>
        <v/>
      </c>
      <c r="I230" s="58" t="str">
        <f t="shared" si="77"/>
        <v/>
      </c>
      <c r="J230" s="8" t="str">
        <f t="shared" si="73"/>
        <v/>
      </c>
      <c r="K230" s="8" t="str">
        <f t="shared" si="78"/>
        <v/>
      </c>
      <c r="L230" s="57" t="str">
        <f>IFERROR(VLOOKUP($A230,'1-2-1 绩效数据'!$D:$F,3,0),"")</f>
        <v/>
      </c>
      <c r="M230" s="8" t="str">
        <f t="shared" si="85"/>
        <v>2</v>
      </c>
      <c r="N230" s="8" t="str">
        <f t="shared" si="69"/>
        <v/>
      </c>
      <c r="O230" s="8" t="str">
        <f t="shared" si="70"/>
        <v/>
      </c>
      <c r="P230" s="58" t="str">
        <f t="shared" si="79"/>
        <v/>
      </c>
      <c r="Q230" s="8" t="str">
        <f t="shared" si="74"/>
        <v/>
      </c>
      <c r="R230" s="8" t="str">
        <f t="shared" si="80"/>
        <v/>
      </c>
      <c r="S230" s="57" t="str">
        <f>IFERROR(VLOOKUP(A230,'1-2-1 绩效数据'!$G:$I,3,0),"")</f>
        <v/>
      </c>
      <c r="T230" s="8" t="str">
        <f t="shared" si="81"/>
        <v>2</v>
      </c>
      <c r="U230" s="8" t="str">
        <f t="shared" si="71"/>
        <v/>
      </c>
      <c r="V230" s="8" t="str">
        <f t="shared" si="72"/>
        <v/>
      </c>
      <c r="W230" s="58" t="str">
        <f t="shared" si="82"/>
        <v/>
      </c>
      <c r="X230" s="8" t="str">
        <f t="shared" si="75"/>
        <v/>
      </c>
      <c r="Y230" s="8" t="str">
        <f t="shared" si="83"/>
        <v/>
      </c>
      <c r="Z230" s="57" t="str">
        <f t="shared" si="84"/>
        <v/>
      </c>
    </row>
    <row r="231" spans="1:26" x14ac:dyDescent="0.3">
      <c r="A231" s="8"/>
      <c r="B231" s="70" t="str">
        <f>IFERROR(VLOOKUP('1-2-2 关键绩效'!$A231,'1-1 基本信息'!$A:$K,7,0),"")</f>
        <v/>
      </c>
      <c r="C231" s="8" t="str">
        <f>IFERROR(VLOOKUP($A231,'1-1 基本信息'!$A:$J,10,0),"")</f>
        <v/>
      </c>
      <c r="D231" s="8" t="str">
        <f>IFERROR(VLOOKUP(A231,'1-1 基本信息'!$A:$I,8,0),"")</f>
        <v/>
      </c>
      <c r="E231" s="57" t="str">
        <f>IFERROR(VLOOKUP($A231,'1-2-1 绩效数据'!$A:$C,3,0),"")</f>
        <v/>
      </c>
      <c r="F231" s="8" t="str">
        <f t="shared" si="76"/>
        <v>2</v>
      </c>
      <c r="G231" s="8" t="str">
        <f t="shared" si="67"/>
        <v/>
      </c>
      <c r="H231" s="8" t="str">
        <f t="shared" si="68"/>
        <v/>
      </c>
      <c r="I231" s="58" t="str">
        <f t="shared" si="77"/>
        <v/>
      </c>
      <c r="J231" s="8" t="str">
        <f t="shared" si="73"/>
        <v/>
      </c>
      <c r="K231" s="8" t="str">
        <f t="shared" si="78"/>
        <v/>
      </c>
      <c r="L231" s="57" t="str">
        <f>IFERROR(VLOOKUP($A231,'1-2-1 绩效数据'!$D:$F,3,0),"")</f>
        <v/>
      </c>
      <c r="M231" s="8" t="str">
        <f t="shared" si="85"/>
        <v>2</v>
      </c>
      <c r="N231" s="8" t="str">
        <f t="shared" si="69"/>
        <v/>
      </c>
      <c r="O231" s="8" t="str">
        <f t="shared" si="70"/>
        <v/>
      </c>
      <c r="P231" s="58" t="str">
        <f t="shared" si="79"/>
        <v/>
      </c>
      <c r="Q231" s="8" t="str">
        <f t="shared" si="74"/>
        <v/>
      </c>
      <c r="R231" s="8" t="str">
        <f t="shared" si="80"/>
        <v/>
      </c>
      <c r="S231" s="57" t="str">
        <f>IFERROR(VLOOKUP(A231,'1-2-1 绩效数据'!$G:$I,3,0),"")</f>
        <v/>
      </c>
      <c r="T231" s="8" t="str">
        <f t="shared" si="81"/>
        <v>2</v>
      </c>
      <c r="U231" s="8" t="str">
        <f t="shared" si="71"/>
        <v/>
      </c>
      <c r="V231" s="8" t="str">
        <f t="shared" si="72"/>
        <v/>
      </c>
      <c r="W231" s="58" t="str">
        <f t="shared" si="82"/>
        <v/>
      </c>
      <c r="X231" s="8" t="str">
        <f t="shared" si="75"/>
        <v/>
      </c>
      <c r="Y231" s="8" t="str">
        <f t="shared" si="83"/>
        <v/>
      </c>
      <c r="Z231" s="57" t="str">
        <f t="shared" si="84"/>
        <v/>
      </c>
    </row>
    <row r="232" spans="1:26" x14ac:dyDescent="0.3">
      <c r="A232" s="8"/>
      <c r="B232" s="70" t="str">
        <f>IFERROR(VLOOKUP('1-2-2 关键绩效'!$A232,'1-1 基本信息'!$A:$K,7,0),"")</f>
        <v/>
      </c>
      <c r="C232" s="8" t="str">
        <f>IFERROR(VLOOKUP($A232,'1-1 基本信息'!$A:$J,10,0),"")</f>
        <v/>
      </c>
      <c r="D232" s="8" t="str">
        <f>IFERROR(VLOOKUP(A232,'1-1 基本信息'!$A:$I,8,0),"")</f>
        <v/>
      </c>
      <c r="E232" s="57" t="str">
        <f>IFERROR(VLOOKUP($A232,'1-2-1 绩效数据'!$A:$C,3,0),"")</f>
        <v/>
      </c>
      <c r="F232" s="8" t="str">
        <f t="shared" si="76"/>
        <v>2</v>
      </c>
      <c r="G232" s="8" t="str">
        <f t="shared" si="67"/>
        <v/>
      </c>
      <c r="H232" s="8" t="str">
        <f t="shared" si="68"/>
        <v/>
      </c>
      <c r="I232" s="58" t="str">
        <f t="shared" si="77"/>
        <v/>
      </c>
      <c r="J232" s="8" t="str">
        <f t="shared" si="73"/>
        <v/>
      </c>
      <c r="K232" s="8" t="str">
        <f t="shared" si="78"/>
        <v/>
      </c>
      <c r="L232" s="57" t="str">
        <f>IFERROR(VLOOKUP($A232,'1-2-1 绩效数据'!$D:$F,3,0),"")</f>
        <v/>
      </c>
      <c r="M232" s="8" t="str">
        <f t="shared" si="85"/>
        <v>2</v>
      </c>
      <c r="N232" s="8" t="str">
        <f t="shared" si="69"/>
        <v/>
      </c>
      <c r="O232" s="8" t="str">
        <f t="shared" si="70"/>
        <v/>
      </c>
      <c r="P232" s="58" t="str">
        <f t="shared" si="79"/>
        <v/>
      </c>
      <c r="Q232" s="8" t="str">
        <f t="shared" si="74"/>
        <v/>
      </c>
      <c r="R232" s="8" t="str">
        <f t="shared" si="80"/>
        <v/>
      </c>
      <c r="S232" s="57" t="str">
        <f>IFERROR(VLOOKUP(A232,'1-2-1 绩效数据'!$G:$I,3,0),"")</f>
        <v/>
      </c>
      <c r="T232" s="8" t="str">
        <f t="shared" si="81"/>
        <v>2</v>
      </c>
      <c r="U232" s="8" t="str">
        <f t="shared" si="71"/>
        <v/>
      </c>
      <c r="V232" s="8" t="str">
        <f t="shared" si="72"/>
        <v/>
      </c>
      <c r="W232" s="58" t="str">
        <f t="shared" si="82"/>
        <v/>
      </c>
      <c r="X232" s="8" t="str">
        <f t="shared" si="75"/>
        <v/>
      </c>
      <c r="Y232" s="8" t="str">
        <f t="shared" si="83"/>
        <v/>
      </c>
      <c r="Z232" s="57" t="str">
        <f t="shared" si="84"/>
        <v/>
      </c>
    </row>
    <row r="233" spans="1:26" x14ac:dyDescent="0.3">
      <c r="A233" s="8"/>
      <c r="B233" s="70" t="str">
        <f>IFERROR(VLOOKUP('1-2-2 关键绩效'!$A233,'1-1 基本信息'!$A:$K,7,0),"")</f>
        <v/>
      </c>
      <c r="C233" s="8" t="str">
        <f>IFERROR(VLOOKUP($A233,'1-1 基本信息'!$A:$J,10,0),"")</f>
        <v/>
      </c>
      <c r="D233" s="8" t="str">
        <f>IFERROR(VLOOKUP(A233,'1-1 基本信息'!$A:$I,8,0),"")</f>
        <v/>
      </c>
      <c r="E233" s="57" t="str">
        <f>IFERROR(VLOOKUP($A233,'1-2-1 绩效数据'!$A:$C,3,0),"")</f>
        <v/>
      </c>
      <c r="F233" s="8" t="str">
        <f t="shared" si="76"/>
        <v>2</v>
      </c>
      <c r="G233" s="8" t="str">
        <f t="shared" si="67"/>
        <v/>
      </c>
      <c r="H233" s="8" t="str">
        <f t="shared" si="68"/>
        <v/>
      </c>
      <c r="I233" s="58" t="str">
        <f t="shared" si="77"/>
        <v/>
      </c>
      <c r="J233" s="8" t="str">
        <f t="shared" si="73"/>
        <v/>
      </c>
      <c r="K233" s="8" t="str">
        <f t="shared" si="78"/>
        <v/>
      </c>
      <c r="L233" s="57" t="str">
        <f>IFERROR(VLOOKUP($A233,'1-2-1 绩效数据'!$D:$F,3,0),"")</f>
        <v/>
      </c>
      <c r="M233" s="8" t="str">
        <f t="shared" si="85"/>
        <v>2</v>
      </c>
      <c r="N233" s="8" t="str">
        <f t="shared" si="69"/>
        <v/>
      </c>
      <c r="O233" s="8" t="str">
        <f t="shared" si="70"/>
        <v/>
      </c>
      <c r="P233" s="58" t="str">
        <f t="shared" si="79"/>
        <v/>
      </c>
      <c r="Q233" s="8" t="str">
        <f t="shared" si="74"/>
        <v/>
      </c>
      <c r="R233" s="8" t="str">
        <f t="shared" si="80"/>
        <v/>
      </c>
      <c r="S233" s="57" t="str">
        <f>IFERROR(VLOOKUP(A233,'1-2-1 绩效数据'!$G:$I,3,0),"")</f>
        <v/>
      </c>
      <c r="T233" s="8" t="str">
        <f t="shared" si="81"/>
        <v>2</v>
      </c>
      <c r="U233" s="8" t="str">
        <f t="shared" si="71"/>
        <v/>
      </c>
      <c r="V233" s="8" t="str">
        <f t="shared" si="72"/>
        <v/>
      </c>
      <c r="W233" s="58" t="str">
        <f t="shared" si="82"/>
        <v/>
      </c>
      <c r="X233" s="8" t="str">
        <f t="shared" si="75"/>
        <v/>
      </c>
      <c r="Y233" s="8" t="str">
        <f t="shared" si="83"/>
        <v/>
      </c>
      <c r="Z233" s="57" t="str">
        <f t="shared" si="84"/>
        <v/>
      </c>
    </row>
    <row r="234" spans="1:26" x14ac:dyDescent="0.3">
      <c r="A234" s="8"/>
      <c r="B234" s="70" t="str">
        <f>IFERROR(VLOOKUP('1-2-2 关键绩效'!$A234,'1-1 基本信息'!$A:$K,7,0),"")</f>
        <v/>
      </c>
      <c r="C234" s="8" t="str">
        <f>IFERROR(VLOOKUP($A234,'1-1 基本信息'!$A:$J,10,0),"")</f>
        <v/>
      </c>
      <c r="D234" s="8" t="str">
        <f>IFERROR(VLOOKUP(A234,'1-1 基本信息'!$A:$I,8,0),"")</f>
        <v/>
      </c>
      <c r="E234" s="57" t="str">
        <f>IFERROR(VLOOKUP($A234,'1-2-1 绩效数据'!$A:$C,3,0),"")</f>
        <v/>
      </c>
      <c r="F234" s="8" t="str">
        <f t="shared" si="76"/>
        <v>2</v>
      </c>
      <c r="G234" s="8" t="str">
        <f t="shared" si="67"/>
        <v/>
      </c>
      <c r="H234" s="8" t="str">
        <f t="shared" si="68"/>
        <v/>
      </c>
      <c r="I234" s="58" t="str">
        <f t="shared" si="77"/>
        <v/>
      </c>
      <c r="J234" s="8" t="str">
        <f t="shared" si="73"/>
        <v/>
      </c>
      <c r="K234" s="8" t="str">
        <f t="shared" si="78"/>
        <v/>
      </c>
      <c r="L234" s="57" t="str">
        <f>IFERROR(VLOOKUP($A234,'1-2-1 绩效数据'!$D:$F,3,0),"")</f>
        <v/>
      </c>
      <c r="M234" s="8" t="str">
        <f t="shared" si="85"/>
        <v>2</v>
      </c>
      <c r="N234" s="8" t="str">
        <f t="shared" si="69"/>
        <v/>
      </c>
      <c r="O234" s="8" t="str">
        <f t="shared" si="70"/>
        <v/>
      </c>
      <c r="P234" s="58" t="str">
        <f t="shared" si="79"/>
        <v/>
      </c>
      <c r="Q234" s="8" t="str">
        <f t="shared" si="74"/>
        <v/>
      </c>
      <c r="R234" s="8" t="str">
        <f t="shared" si="80"/>
        <v/>
      </c>
      <c r="S234" s="57" t="str">
        <f>IFERROR(VLOOKUP(A234,'1-2-1 绩效数据'!$G:$I,3,0),"")</f>
        <v/>
      </c>
      <c r="T234" s="8" t="str">
        <f t="shared" si="81"/>
        <v>2</v>
      </c>
      <c r="U234" s="8" t="str">
        <f t="shared" si="71"/>
        <v/>
      </c>
      <c r="V234" s="8" t="str">
        <f t="shared" si="72"/>
        <v/>
      </c>
      <c r="W234" s="58" t="str">
        <f t="shared" si="82"/>
        <v/>
      </c>
      <c r="X234" s="8" t="str">
        <f t="shared" si="75"/>
        <v/>
      </c>
      <c r="Y234" s="8" t="str">
        <f t="shared" si="83"/>
        <v/>
      </c>
      <c r="Z234" s="57" t="str">
        <f t="shared" si="84"/>
        <v/>
      </c>
    </row>
    <row r="235" spans="1:26" x14ac:dyDescent="0.3">
      <c r="A235" s="8"/>
      <c r="B235" s="70" t="str">
        <f>IFERROR(VLOOKUP('1-2-2 关键绩效'!$A235,'1-1 基本信息'!$A:$K,7,0),"")</f>
        <v/>
      </c>
      <c r="C235" s="8" t="str">
        <f>IFERROR(VLOOKUP($A235,'1-1 基本信息'!$A:$J,10,0),"")</f>
        <v/>
      </c>
      <c r="D235" s="8" t="str">
        <f>IFERROR(VLOOKUP(A235,'1-1 基本信息'!$A:$I,8,0),"")</f>
        <v/>
      </c>
      <c r="E235" s="57" t="str">
        <f>IFERROR(VLOOKUP($A235,'1-2-1 绩效数据'!$A:$C,3,0),"")</f>
        <v/>
      </c>
      <c r="F235" s="8" t="str">
        <f t="shared" si="76"/>
        <v>2</v>
      </c>
      <c r="G235" s="8" t="str">
        <f t="shared" si="67"/>
        <v/>
      </c>
      <c r="H235" s="8" t="str">
        <f t="shared" si="68"/>
        <v/>
      </c>
      <c r="I235" s="58" t="str">
        <f t="shared" si="77"/>
        <v/>
      </c>
      <c r="J235" s="8" t="str">
        <f t="shared" si="73"/>
        <v/>
      </c>
      <c r="K235" s="8" t="str">
        <f t="shared" si="78"/>
        <v/>
      </c>
      <c r="L235" s="57" t="str">
        <f>IFERROR(VLOOKUP($A235,'1-2-1 绩效数据'!$D:$F,3,0),"")</f>
        <v/>
      </c>
      <c r="M235" s="8" t="str">
        <f t="shared" si="85"/>
        <v>2</v>
      </c>
      <c r="N235" s="8" t="str">
        <f t="shared" si="69"/>
        <v/>
      </c>
      <c r="O235" s="8" t="str">
        <f t="shared" si="70"/>
        <v/>
      </c>
      <c r="P235" s="58" t="str">
        <f t="shared" si="79"/>
        <v/>
      </c>
      <c r="Q235" s="8" t="str">
        <f t="shared" si="74"/>
        <v/>
      </c>
      <c r="R235" s="8" t="str">
        <f t="shared" si="80"/>
        <v/>
      </c>
      <c r="S235" s="57" t="str">
        <f>IFERROR(VLOOKUP(A235,'1-2-1 绩效数据'!$G:$I,3,0),"")</f>
        <v/>
      </c>
      <c r="T235" s="8" t="str">
        <f t="shared" si="81"/>
        <v>2</v>
      </c>
      <c r="U235" s="8" t="str">
        <f t="shared" si="71"/>
        <v/>
      </c>
      <c r="V235" s="8" t="str">
        <f t="shared" si="72"/>
        <v/>
      </c>
      <c r="W235" s="58" t="str">
        <f t="shared" si="82"/>
        <v/>
      </c>
      <c r="X235" s="8" t="str">
        <f t="shared" si="75"/>
        <v/>
      </c>
      <c r="Y235" s="8" t="str">
        <f t="shared" si="83"/>
        <v/>
      </c>
      <c r="Z235" s="57" t="str">
        <f t="shared" si="84"/>
        <v/>
      </c>
    </row>
    <row r="236" spans="1:26" x14ac:dyDescent="0.3">
      <c r="A236" s="8"/>
      <c r="B236" s="70" t="str">
        <f>IFERROR(VLOOKUP('1-2-2 关键绩效'!$A236,'1-1 基本信息'!$A:$K,7,0),"")</f>
        <v/>
      </c>
      <c r="C236" s="8" t="str">
        <f>IFERROR(VLOOKUP($A236,'1-1 基本信息'!$A:$J,10,0),"")</f>
        <v/>
      </c>
      <c r="D236" s="8" t="str">
        <f>IFERROR(VLOOKUP(A236,'1-1 基本信息'!$A:$I,8,0),"")</f>
        <v/>
      </c>
      <c r="E236" s="57" t="str">
        <f>IFERROR(VLOOKUP($A236,'1-2-1 绩效数据'!$A:$C,3,0),"")</f>
        <v/>
      </c>
      <c r="F236" s="8" t="str">
        <f t="shared" si="76"/>
        <v>2</v>
      </c>
      <c r="G236" s="8" t="str">
        <f t="shared" si="67"/>
        <v/>
      </c>
      <c r="H236" s="8" t="str">
        <f t="shared" si="68"/>
        <v/>
      </c>
      <c r="I236" s="58" t="str">
        <f t="shared" si="77"/>
        <v/>
      </c>
      <c r="J236" s="8" t="str">
        <f t="shared" si="73"/>
        <v/>
      </c>
      <c r="K236" s="8" t="str">
        <f t="shared" si="78"/>
        <v/>
      </c>
      <c r="L236" s="57" t="str">
        <f>IFERROR(VLOOKUP($A236,'1-2-1 绩效数据'!$D:$F,3,0),"")</f>
        <v/>
      </c>
      <c r="M236" s="8" t="str">
        <f t="shared" si="85"/>
        <v>2</v>
      </c>
      <c r="N236" s="8" t="str">
        <f t="shared" si="69"/>
        <v/>
      </c>
      <c r="O236" s="8" t="str">
        <f t="shared" si="70"/>
        <v/>
      </c>
      <c r="P236" s="58" t="str">
        <f t="shared" si="79"/>
        <v/>
      </c>
      <c r="Q236" s="8" t="str">
        <f t="shared" si="74"/>
        <v/>
      </c>
      <c r="R236" s="8" t="str">
        <f t="shared" si="80"/>
        <v/>
      </c>
      <c r="S236" s="57" t="str">
        <f>IFERROR(VLOOKUP(A236,'1-2-1 绩效数据'!$G:$I,3,0),"")</f>
        <v/>
      </c>
      <c r="T236" s="8" t="str">
        <f t="shared" si="81"/>
        <v>2</v>
      </c>
      <c r="U236" s="8" t="str">
        <f t="shared" si="71"/>
        <v/>
      </c>
      <c r="V236" s="8" t="str">
        <f t="shared" si="72"/>
        <v/>
      </c>
      <c r="W236" s="58" t="str">
        <f t="shared" si="82"/>
        <v/>
      </c>
      <c r="X236" s="8" t="str">
        <f t="shared" si="75"/>
        <v/>
      </c>
      <c r="Y236" s="8" t="str">
        <f t="shared" si="83"/>
        <v/>
      </c>
      <c r="Z236" s="57" t="str">
        <f t="shared" si="84"/>
        <v/>
      </c>
    </row>
    <row r="237" spans="1:26" x14ac:dyDescent="0.3">
      <c r="A237" s="8"/>
      <c r="B237" s="70" t="str">
        <f>IFERROR(VLOOKUP('1-2-2 关键绩效'!$A237,'1-1 基本信息'!$A:$K,7,0),"")</f>
        <v/>
      </c>
      <c r="C237" s="8" t="str">
        <f>IFERROR(VLOOKUP($A237,'1-1 基本信息'!$A:$J,10,0),"")</f>
        <v/>
      </c>
      <c r="D237" s="8" t="str">
        <f>IFERROR(VLOOKUP(A237,'1-1 基本信息'!$A:$I,8,0),"")</f>
        <v/>
      </c>
      <c r="E237" s="57" t="str">
        <f>IFERROR(VLOOKUP($A237,'1-2-1 绩效数据'!$A:$C,3,0),"")</f>
        <v/>
      </c>
      <c r="F237" s="8" t="str">
        <f t="shared" si="76"/>
        <v>2</v>
      </c>
      <c r="G237" s="8" t="str">
        <f t="shared" si="67"/>
        <v/>
      </c>
      <c r="H237" s="8" t="str">
        <f t="shared" si="68"/>
        <v/>
      </c>
      <c r="I237" s="58" t="str">
        <f t="shared" si="77"/>
        <v/>
      </c>
      <c r="J237" s="8" t="str">
        <f t="shared" si="73"/>
        <v/>
      </c>
      <c r="K237" s="8" t="str">
        <f t="shared" si="78"/>
        <v/>
      </c>
      <c r="L237" s="57" t="str">
        <f>IFERROR(VLOOKUP($A237,'1-2-1 绩效数据'!$D:$F,3,0),"")</f>
        <v/>
      </c>
      <c r="M237" s="8" t="str">
        <f t="shared" si="85"/>
        <v>2</v>
      </c>
      <c r="N237" s="8" t="str">
        <f t="shared" si="69"/>
        <v/>
      </c>
      <c r="O237" s="8" t="str">
        <f t="shared" si="70"/>
        <v/>
      </c>
      <c r="P237" s="58" t="str">
        <f t="shared" si="79"/>
        <v/>
      </c>
      <c r="Q237" s="8" t="str">
        <f t="shared" si="74"/>
        <v/>
      </c>
      <c r="R237" s="8" t="str">
        <f t="shared" si="80"/>
        <v/>
      </c>
      <c r="S237" s="57" t="str">
        <f>IFERROR(VLOOKUP(A237,'1-2-1 绩效数据'!$G:$I,3,0),"")</f>
        <v/>
      </c>
      <c r="T237" s="8" t="str">
        <f t="shared" si="81"/>
        <v>2</v>
      </c>
      <c r="U237" s="8" t="str">
        <f t="shared" si="71"/>
        <v/>
      </c>
      <c r="V237" s="8" t="str">
        <f t="shared" si="72"/>
        <v/>
      </c>
      <c r="W237" s="58" t="str">
        <f t="shared" si="82"/>
        <v/>
      </c>
      <c r="X237" s="8" t="str">
        <f t="shared" si="75"/>
        <v/>
      </c>
      <c r="Y237" s="8" t="str">
        <f t="shared" si="83"/>
        <v/>
      </c>
      <c r="Z237" s="57" t="str">
        <f t="shared" si="84"/>
        <v/>
      </c>
    </row>
    <row r="238" spans="1:26" x14ac:dyDescent="0.3">
      <c r="A238" s="8"/>
      <c r="B238" s="70" t="str">
        <f>IFERROR(VLOOKUP('1-2-2 关键绩效'!$A238,'1-1 基本信息'!$A:$K,7,0),"")</f>
        <v/>
      </c>
      <c r="C238" s="8" t="str">
        <f>IFERROR(VLOOKUP($A238,'1-1 基本信息'!$A:$J,10,0),"")</f>
        <v/>
      </c>
      <c r="D238" s="8" t="str">
        <f>IFERROR(VLOOKUP(A238,'1-1 基本信息'!$A:$I,8,0),"")</f>
        <v/>
      </c>
      <c r="E238" s="57" t="str">
        <f>IFERROR(VLOOKUP($A238,'1-2-1 绩效数据'!$A:$C,3,0),"")</f>
        <v/>
      </c>
      <c r="F238" s="8" t="str">
        <f t="shared" si="76"/>
        <v>2</v>
      </c>
      <c r="G238" s="8" t="str">
        <f t="shared" si="67"/>
        <v/>
      </c>
      <c r="H238" s="8" t="str">
        <f t="shared" si="68"/>
        <v/>
      </c>
      <c r="I238" s="58" t="str">
        <f t="shared" si="77"/>
        <v/>
      </c>
      <c r="J238" s="8" t="str">
        <f t="shared" si="73"/>
        <v/>
      </c>
      <c r="K238" s="8" t="str">
        <f t="shared" si="78"/>
        <v/>
      </c>
      <c r="L238" s="57" t="str">
        <f>IFERROR(VLOOKUP($A238,'1-2-1 绩效数据'!$D:$F,3,0),"")</f>
        <v/>
      </c>
      <c r="M238" s="8" t="str">
        <f t="shared" si="85"/>
        <v>2</v>
      </c>
      <c r="N238" s="8" t="str">
        <f t="shared" si="69"/>
        <v/>
      </c>
      <c r="O238" s="8" t="str">
        <f t="shared" si="70"/>
        <v/>
      </c>
      <c r="P238" s="58" t="str">
        <f t="shared" si="79"/>
        <v/>
      </c>
      <c r="Q238" s="8" t="str">
        <f t="shared" si="74"/>
        <v/>
      </c>
      <c r="R238" s="8" t="str">
        <f t="shared" si="80"/>
        <v/>
      </c>
      <c r="S238" s="57" t="str">
        <f>IFERROR(VLOOKUP(A238,'1-2-1 绩效数据'!$G:$I,3,0),"")</f>
        <v/>
      </c>
      <c r="T238" s="8" t="str">
        <f t="shared" si="81"/>
        <v>2</v>
      </c>
      <c r="U238" s="8" t="str">
        <f t="shared" si="71"/>
        <v/>
      </c>
      <c r="V238" s="8" t="str">
        <f t="shared" si="72"/>
        <v/>
      </c>
      <c r="W238" s="58" t="str">
        <f t="shared" si="82"/>
        <v/>
      </c>
      <c r="X238" s="8" t="str">
        <f t="shared" si="75"/>
        <v/>
      </c>
      <c r="Y238" s="8" t="str">
        <f t="shared" si="83"/>
        <v/>
      </c>
      <c r="Z238" s="57" t="str">
        <f t="shared" si="84"/>
        <v/>
      </c>
    </row>
    <row r="239" spans="1:26" x14ac:dyDescent="0.3">
      <c r="A239" s="8"/>
      <c r="B239" s="70" t="str">
        <f>IFERROR(VLOOKUP('1-2-2 关键绩效'!$A239,'1-1 基本信息'!$A:$K,7,0),"")</f>
        <v/>
      </c>
      <c r="C239" s="8" t="str">
        <f>IFERROR(VLOOKUP($A239,'1-1 基本信息'!$A:$J,10,0),"")</f>
        <v/>
      </c>
      <c r="D239" s="8" t="str">
        <f>IFERROR(VLOOKUP(A239,'1-1 基本信息'!$A:$I,8,0),"")</f>
        <v/>
      </c>
      <c r="E239" s="57" t="str">
        <f>IFERROR(VLOOKUP($A239,'1-2-1 绩效数据'!$A:$C,3,0),"")</f>
        <v/>
      </c>
      <c r="F239" s="8" t="str">
        <f t="shared" si="76"/>
        <v>2</v>
      </c>
      <c r="G239" s="8" t="str">
        <f t="shared" si="67"/>
        <v/>
      </c>
      <c r="H239" s="8" t="str">
        <f t="shared" si="68"/>
        <v/>
      </c>
      <c r="I239" s="58" t="str">
        <f t="shared" si="77"/>
        <v/>
      </c>
      <c r="J239" s="8" t="str">
        <f t="shared" si="73"/>
        <v/>
      </c>
      <c r="K239" s="8" t="str">
        <f t="shared" si="78"/>
        <v/>
      </c>
      <c r="L239" s="57" t="str">
        <f>IFERROR(VLOOKUP($A239,'1-2-1 绩效数据'!$D:$F,3,0),"")</f>
        <v/>
      </c>
      <c r="M239" s="8" t="str">
        <f t="shared" si="85"/>
        <v>2</v>
      </c>
      <c r="N239" s="8" t="str">
        <f t="shared" si="69"/>
        <v/>
      </c>
      <c r="O239" s="8" t="str">
        <f t="shared" si="70"/>
        <v/>
      </c>
      <c r="P239" s="58" t="str">
        <f t="shared" si="79"/>
        <v/>
      </c>
      <c r="Q239" s="8" t="str">
        <f t="shared" si="74"/>
        <v/>
      </c>
      <c r="R239" s="8" t="str">
        <f t="shared" si="80"/>
        <v/>
      </c>
      <c r="S239" s="57" t="str">
        <f>IFERROR(VLOOKUP(A239,'1-2-1 绩效数据'!$G:$I,3,0),"")</f>
        <v/>
      </c>
      <c r="T239" s="8" t="str">
        <f t="shared" si="81"/>
        <v>2</v>
      </c>
      <c r="U239" s="8" t="str">
        <f t="shared" si="71"/>
        <v/>
      </c>
      <c r="V239" s="8" t="str">
        <f t="shared" si="72"/>
        <v/>
      </c>
      <c r="W239" s="58" t="str">
        <f t="shared" si="82"/>
        <v/>
      </c>
      <c r="X239" s="8" t="str">
        <f t="shared" si="75"/>
        <v/>
      </c>
      <c r="Y239" s="8" t="str">
        <f t="shared" si="83"/>
        <v/>
      </c>
      <c r="Z239" s="57" t="str">
        <f t="shared" si="84"/>
        <v/>
      </c>
    </row>
    <row r="240" spans="1:26" x14ac:dyDescent="0.3">
      <c r="A240" s="8"/>
      <c r="B240" s="70" t="str">
        <f>IFERROR(VLOOKUP('1-2-2 关键绩效'!$A240,'1-1 基本信息'!$A:$K,7,0),"")</f>
        <v/>
      </c>
      <c r="C240" s="8" t="str">
        <f>IFERROR(VLOOKUP($A240,'1-1 基本信息'!$A:$J,10,0),"")</f>
        <v/>
      </c>
      <c r="D240" s="8" t="str">
        <f>IFERROR(VLOOKUP(A240,'1-1 基本信息'!$A:$I,8,0),"")</f>
        <v/>
      </c>
      <c r="E240" s="57" t="str">
        <f>IFERROR(VLOOKUP($A240,'1-2-1 绩效数据'!$A:$C,3,0),"")</f>
        <v/>
      </c>
      <c r="F240" s="8" t="str">
        <f t="shared" si="76"/>
        <v>2</v>
      </c>
      <c r="G240" s="8" t="str">
        <f t="shared" si="67"/>
        <v/>
      </c>
      <c r="H240" s="8" t="str">
        <f t="shared" si="68"/>
        <v/>
      </c>
      <c r="I240" s="58" t="str">
        <f t="shared" si="77"/>
        <v/>
      </c>
      <c r="J240" s="8" t="str">
        <f t="shared" si="73"/>
        <v/>
      </c>
      <c r="K240" s="8" t="str">
        <f t="shared" si="78"/>
        <v/>
      </c>
      <c r="L240" s="57" t="str">
        <f>IFERROR(VLOOKUP($A240,'1-2-1 绩效数据'!$D:$F,3,0),"")</f>
        <v/>
      </c>
      <c r="M240" s="8" t="str">
        <f t="shared" si="85"/>
        <v>2</v>
      </c>
      <c r="N240" s="8" t="str">
        <f t="shared" si="69"/>
        <v/>
      </c>
      <c r="O240" s="8" t="str">
        <f t="shared" si="70"/>
        <v/>
      </c>
      <c r="P240" s="58" t="str">
        <f t="shared" si="79"/>
        <v/>
      </c>
      <c r="Q240" s="8" t="str">
        <f t="shared" si="74"/>
        <v/>
      </c>
      <c r="R240" s="8" t="str">
        <f t="shared" si="80"/>
        <v/>
      </c>
      <c r="S240" s="57" t="str">
        <f>IFERROR(VLOOKUP(A240,'1-2-1 绩效数据'!$G:$I,3,0),"")</f>
        <v/>
      </c>
      <c r="T240" s="8" t="str">
        <f t="shared" si="81"/>
        <v>2</v>
      </c>
      <c r="U240" s="8" t="str">
        <f t="shared" si="71"/>
        <v/>
      </c>
      <c r="V240" s="8" t="str">
        <f t="shared" si="72"/>
        <v/>
      </c>
      <c r="W240" s="58" t="str">
        <f t="shared" si="82"/>
        <v/>
      </c>
      <c r="X240" s="8" t="str">
        <f t="shared" si="75"/>
        <v/>
      </c>
      <c r="Y240" s="8" t="str">
        <f t="shared" si="83"/>
        <v/>
      </c>
      <c r="Z240" s="57" t="str">
        <f t="shared" si="84"/>
        <v/>
      </c>
    </row>
    <row r="241" spans="1:26" x14ac:dyDescent="0.3">
      <c r="A241" s="8"/>
      <c r="B241" s="70" t="str">
        <f>IFERROR(VLOOKUP('1-2-2 关键绩效'!$A241,'1-1 基本信息'!$A:$K,7,0),"")</f>
        <v/>
      </c>
      <c r="C241" s="8" t="str">
        <f>IFERROR(VLOOKUP($A241,'1-1 基本信息'!$A:$J,10,0),"")</f>
        <v/>
      </c>
      <c r="D241" s="8" t="str">
        <f>IFERROR(VLOOKUP(A241,'1-1 基本信息'!$A:$I,8,0),"")</f>
        <v/>
      </c>
      <c r="E241" s="57" t="str">
        <f>IFERROR(VLOOKUP($A241,'1-2-1 绩效数据'!$A:$C,3,0),"")</f>
        <v/>
      </c>
      <c r="F241" s="8" t="str">
        <f t="shared" si="76"/>
        <v>2</v>
      </c>
      <c r="G241" s="8" t="str">
        <f t="shared" si="67"/>
        <v/>
      </c>
      <c r="H241" s="8" t="str">
        <f t="shared" si="68"/>
        <v/>
      </c>
      <c r="I241" s="58" t="str">
        <f t="shared" si="77"/>
        <v/>
      </c>
      <c r="J241" s="8" t="str">
        <f t="shared" si="73"/>
        <v/>
      </c>
      <c r="K241" s="8" t="str">
        <f t="shared" si="78"/>
        <v/>
      </c>
      <c r="L241" s="57" t="str">
        <f>IFERROR(VLOOKUP($A241,'1-2-1 绩效数据'!$D:$F,3,0),"")</f>
        <v/>
      </c>
      <c r="M241" s="8" t="str">
        <f t="shared" si="85"/>
        <v>2</v>
      </c>
      <c r="N241" s="8" t="str">
        <f t="shared" si="69"/>
        <v/>
      </c>
      <c r="O241" s="8" t="str">
        <f t="shared" si="70"/>
        <v/>
      </c>
      <c r="P241" s="58" t="str">
        <f t="shared" si="79"/>
        <v/>
      </c>
      <c r="Q241" s="8" t="str">
        <f t="shared" si="74"/>
        <v/>
      </c>
      <c r="R241" s="8" t="str">
        <f t="shared" si="80"/>
        <v/>
      </c>
      <c r="S241" s="57" t="str">
        <f>IFERROR(VLOOKUP(A241,'1-2-1 绩效数据'!$G:$I,3,0),"")</f>
        <v/>
      </c>
      <c r="T241" s="8" t="str">
        <f t="shared" si="81"/>
        <v>2</v>
      </c>
      <c r="U241" s="8" t="str">
        <f t="shared" si="71"/>
        <v/>
      </c>
      <c r="V241" s="8" t="str">
        <f t="shared" si="72"/>
        <v/>
      </c>
      <c r="W241" s="58" t="str">
        <f t="shared" si="82"/>
        <v/>
      </c>
      <c r="X241" s="8" t="str">
        <f t="shared" si="75"/>
        <v/>
      </c>
      <c r="Y241" s="8" t="str">
        <f t="shared" si="83"/>
        <v/>
      </c>
      <c r="Z241" s="57" t="str">
        <f t="shared" si="84"/>
        <v/>
      </c>
    </row>
    <row r="242" spans="1:26" x14ac:dyDescent="0.3">
      <c r="A242" s="8"/>
      <c r="B242" s="70" t="str">
        <f>IFERROR(VLOOKUP('1-2-2 关键绩效'!$A242,'1-1 基本信息'!$A:$K,7,0),"")</f>
        <v/>
      </c>
      <c r="C242" s="8" t="str">
        <f>IFERROR(VLOOKUP($A242,'1-1 基本信息'!$A:$J,10,0),"")</f>
        <v/>
      </c>
      <c r="D242" s="8" t="str">
        <f>IFERROR(VLOOKUP(A242,'1-1 基本信息'!$A:$I,8,0),"")</f>
        <v/>
      </c>
      <c r="E242" s="57" t="str">
        <f>IFERROR(VLOOKUP($A242,'1-2-1 绩效数据'!$A:$C,3,0),"")</f>
        <v/>
      </c>
      <c r="F242" s="8" t="str">
        <f t="shared" si="76"/>
        <v>2</v>
      </c>
      <c r="G242" s="8" t="str">
        <f t="shared" si="67"/>
        <v/>
      </c>
      <c r="H242" s="8" t="str">
        <f t="shared" si="68"/>
        <v/>
      </c>
      <c r="I242" s="58" t="str">
        <f t="shared" si="77"/>
        <v/>
      </c>
      <c r="J242" s="8" t="str">
        <f t="shared" si="73"/>
        <v/>
      </c>
      <c r="K242" s="8" t="str">
        <f t="shared" si="78"/>
        <v/>
      </c>
      <c r="L242" s="57" t="str">
        <f>IFERROR(VLOOKUP($A242,'1-2-1 绩效数据'!$D:$F,3,0),"")</f>
        <v/>
      </c>
      <c r="M242" s="8" t="str">
        <f t="shared" si="85"/>
        <v>2</v>
      </c>
      <c r="N242" s="8" t="str">
        <f t="shared" si="69"/>
        <v/>
      </c>
      <c r="O242" s="8" t="str">
        <f t="shared" si="70"/>
        <v/>
      </c>
      <c r="P242" s="58" t="str">
        <f t="shared" si="79"/>
        <v/>
      </c>
      <c r="Q242" s="8" t="str">
        <f t="shared" si="74"/>
        <v/>
      </c>
      <c r="R242" s="8" t="str">
        <f t="shared" si="80"/>
        <v/>
      </c>
      <c r="S242" s="57" t="str">
        <f>IFERROR(VLOOKUP(A242,'1-2-1 绩效数据'!$G:$I,3,0),"")</f>
        <v/>
      </c>
      <c r="T242" s="8" t="str">
        <f t="shared" si="81"/>
        <v>2</v>
      </c>
      <c r="U242" s="8" t="str">
        <f t="shared" si="71"/>
        <v/>
      </c>
      <c r="V242" s="8" t="str">
        <f t="shared" si="72"/>
        <v/>
      </c>
      <c r="W242" s="58" t="str">
        <f t="shared" si="82"/>
        <v/>
      </c>
      <c r="X242" s="8" t="str">
        <f t="shared" si="75"/>
        <v/>
      </c>
      <c r="Y242" s="8" t="str">
        <f t="shared" si="83"/>
        <v/>
      </c>
      <c r="Z242" s="57" t="str">
        <f t="shared" si="84"/>
        <v/>
      </c>
    </row>
    <row r="243" spans="1:26" x14ac:dyDescent="0.3">
      <c r="A243" s="8"/>
      <c r="B243" s="70" t="str">
        <f>IFERROR(VLOOKUP('1-2-2 关键绩效'!$A243,'1-1 基本信息'!$A:$K,7,0),"")</f>
        <v/>
      </c>
      <c r="C243" s="8" t="str">
        <f>IFERROR(VLOOKUP($A243,'1-1 基本信息'!$A:$J,10,0),"")</f>
        <v/>
      </c>
      <c r="D243" s="8" t="str">
        <f>IFERROR(VLOOKUP(A243,'1-1 基本信息'!$A:$I,8,0),"")</f>
        <v/>
      </c>
      <c r="E243" s="57" t="str">
        <f>IFERROR(VLOOKUP($A243,'1-2-1 绩效数据'!$A:$C,3,0),"")</f>
        <v/>
      </c>
      <c r="F243" s="8" t="str">
        <f t="shared" si="76"/>
        <v>2</v>
      </c>
      <c r="G243" s="8" t="str">
        <f t="shared" si="67"/>
        <v/>
      </c>
      <c r="H243" s="8" t="str">
        <f t="shared" si="68"/>
        <v/>
      </c>
      <c r="I243" s="58" t="str">
        <f t="shared" si="77"/>
        <v/>
      </c>
      <c r="J243" s="8" t="str">
        <f t="shared" si="73"/>
        <v/>
      </c>
      <c r="K243" s="8" t="str">
        <f t="shared" si="78"/>
        <v/>
      </c>
      <c r="L243" s="57" t="str">
        <f>IFERROR(VLOOKUP($A243,'1-2-1 绩效数据'!$D:$F,3,0),"")</f>
        <v/>
      </c>
      <c r="M243" s="8" t="str">
        <f t="shared" si="85"/>
        <v>2</v>
      </c>
      <c r="N243" s="8" t="str">
        <f t="shared" si="69"/>
        <v/>
      </c>
      <c r="O243" s="8" t="str">
        <f t="shared" si="70"/>
        <v/>
      </c>
      <c r="P243" s="58" t="str">
        <f t="shared" si="79"/>
        <v/>
      </c>
      <c r="Q243" s="8" t="str">
        <f t="shared" si="74"/>
        <v/>
      </c>
      <c r="R243" s="8" t="str">
        <f t="shared" si="80"/>
        <v/>
      </c>
      <c r="S243" s="57" t="str">
        <f>IFERROR(VLOOKUP(A243,'1-2-1 绩效数据'!$G:$I,3,0),"")</f>
        <v/>
      </c>
      <c r="T243" s="8" t="str">
        <f t="shared" si="81"/>
        <v>2</v>
      </c>
      <c r="U243" s="8" t="str">
        <f t="shared" si="71"/>
        <v/>
      </c>
      <c r="V243" s="8" t="str">
        <f t="shared" si="72"/>
        <v/>
      </c>
      <c r="W243" s="58" t="str">
        <f t="shared" si="82"/>
        <v/>
      </c>
      <c r="X243" s="8" t="str">
        <f t="shared" si="75"/>
        <v/>
      </c>
      <c r="Y243" s="8" t="str">
        <f t="shared" si="83"/>
        <v/>
      </c>
      <c r="Z243" s="57" t="str">
        <f t="shared" si="84"/>
        <v/>
      </c>
    </row>
    <row r="244" spans="1:26" x14ac:dyDescent="0.3">
      <c r="A244" s="8"/>
      <c r="B244" s="70" t="str">
        <f>IFERROR(VLOOKUP('1-2-2 关键绩效'!$A244,'1-1 基本信息'!$A:$K,7,0),"")</f>
        <v/>
      </c>
      <c r="C244" s="8" t="str">
        <f>IFERROR(VLOOKUP($A244,'1-1 基本信息'!$A:$J,10,0),"")</f>
        <v/>
      </c>
      <c r="D244" s="8" t="str">
        <f>IFERROR(VLOOKUP(A244,'1-1 基本信息'!$A:$I,8,0),"")</f>
        <v/>
      </c>
      <c r="E244" s="57" t="str">
        <f>IFERROR(VLOOKUP($A244,'1-2-1 绩效数据'!$A:$C,3,0),"")</f>
        <v/>
      </c>
      <c r="F244" s="8" t="str">
        <f t="shared" si="76"/>
        <v>2</v>
      </c>
      <c r="G244" s="8" t="str">
        <f t="shared" si="67"/>
        <v/>
      </c>
      <c r="H244" s="8" t="str">
        <f t="shared" si="68"/>
        <v/>
      </c>
      <c r="I244" s="58" t="str">
        <f t="shared" si="77"/>
        <v/>
      </c>
      <c r="J244" s="8" t="str">
        <f t="shared" si="73"/>
        <v/>
      </c>
      <c r="K244" s="8" t="str">
        <f t="shared" si="78"/>
        <v/>
      </c>
      <c r="L244" s="57" t="str">
        <f>IFERROR(VLOOKUP($A244,'1-2-1 绩效数据'!$D:$F,3,0),"")</f>
        <v/>
      </c>
      <c r="M244" s="8" t="str">
        <f t="shared" si="85"/>
        <v>2</v>
      </c>
      <c r="N244" s="8" t="str">
        <f t="shared" si="69"/>
        <v/>
      </c>
      <c r="O244" s="8" t="str">
        <f t="shared" si="70"/>
        <v/>
      </c>
      <c r="P244" s="58" t="str">
        <f t="shared" si="79"/>
        <v/>
      </c>
      <c r="Q244" s="8" t="str">
        <f t="shared" si="74"/>
        <v/>
      </c>
      <c r="R244" s="8" t="str">
        <f t="shared" si="80"/>
        <v/>
      </c>
      <c r="S244" s="57" t="str">
        <f>IFERROR(VLOOKUP(A244,'1-2-1 绩效数据'!$G:$I,3,0),"")</f>
        <v/>
      </c>
      <c r="T244" s="8" t="str">
        <f t="shared" si="81"/>
        <v>2</v>
      </c>
      <c r="U244" s="8" t="str">
        <f t="shared" si="71"/>
        <v/>
      </c>
      <c r="V244" s="8" t="str">
        <f t="shared" si="72"/>
        <v/>
      </c>
      <c r="W244" s="58" t="str">
        <f t="shared" si="82"/>
        <v/>
      </c>
      <c r="X244" s="8" t="str">
        <f t="shared" si="75"/>
        <v/>
      </c>
      <c r="Y244" s="8" t="str">
        <f t="shared" si="83"/>
        <v/>
      </c>
      <c r="Z244" s="57" t="str">
        <f t="shared" si="84"/>
        <v/>
      </c>
    </row>
    <row r="245" spans="1:26" x14ac:dyDescent="0.3">
      <c r="A245" s="8"/>
      <c r="B245" s="70" t="str">
        <f>IFERROR(VLOOKUP('1-2-2 关键绩效'!$A245,'1-1 基本信息'!$A:$K,7,0),"")</f>
        <v/>
      </c>
      <c r="C245" s="8" t="str">
        <f>IFERROR(VLOOKUP($A245,'1-1 基本信息'!$A:$J,10,0),"")</f>
        <v/>
      </c>
      <c r="D245" s="8" t="str">
        <f>IFERROR(VLOOKUP(A245,'1-1 基本信息'!$A:$I,8,0),"")</f>
        <v/>
      </c>
      <c r="E245" s="57" t="str">
        <f>IFERROR(VLOOKUP($A245,'1-2-1 绩效数据'!$A:$C,3,0),"")</f>
        <v/>
      </c>
      <c r="F245" s="8" t="str">
        <f t="shared" si="76"/>
        <v>2</v>
      </c>
      <c r="G245" s="8" t="str">
        <f t="shared" si="67"/>
        <v/>
      </c>
      <c r="H245" s="8" t="str">
        <f t="shared" si="68"/>
        <v/>
      </c>
      <c r="I245" s="58" t="str">
        <f t="shared" si="77"/>
        <v/>
      </c>
      <c r="J245" s="8" t="str">
        <f t="shared" si="73"/>
        <v/>
      </c>
      <c r="K245" s="8" t="str">
        <f t="shared" si="78"/>
        <v/>
      </c>
      <c r="L245" s="57" t="str">
        <f>IFERROR(VLOOKUP($A245,'1-2-1 绩效数据'!$D:$F,3,0),"")</f>
        <v/>
      </c>
      <c r="M245" s="8" t="str">
        <f t="shared" si="85"/>
        <v>2</v>
      </c>
      <c r="N245" s="8" t="str">
        <f t="shared" si="69"/>
        <v/>
      </c>
      <c r="O245" s="8" t="str">
        <f t="shared" si="70"/>
        <v/>
      </c>
      <c r="P245" s="58" t="str">
        <f t="shared" si="79"/>
        <v/>
      </c>
      <c r="Q245" s="8" t="str">
        <f t="shared" si="74"/>
        <v/>
      </c>
      <c r="R245" s="8" t="str">
        <f t="shared" si="80"/>
        <v/>
      </c>
      <c r="S245" s="57" t="str">
        <f>IFERROR(VLOOKUP(A245,'1-2-1 绩效数据'!$G:$I,3,0),"")</f>
        <v/>
      </c>
      <c r="T245" s="8" t="str">
        <f t="shared" si="81"/>
        <v>2</v>
      </c>
      <c r="U245" s="8" t="str">
        <f t="shared" si="71"/>
        <v/>
      </c>
      <c r="V245" s="8" t="str">
        <f t="shared" si="72"/>
        <v/>
      </c>
      <c r="W245" s="58" t="str">
        <f t="shared" si="82"/>
        <v/>
      </c>
      <c r="X245" s="8" t="str">
        <f t="shared" si="75"/>
        <v/>
      </c>
      <c r="Y245" s="8" t="str">
        <f t="shared" si="83"/>
        <v/>
      </c>
      <c r="Z245" s="57" t="str">
        <f t="shared" si="84"/>
        <v/>
      </c>
    </row>
    <row r="246" spans="1:26" x14ac:dyDescent="0.3">
      <c r="A246" s="8"/>
      <c r="B246" s="70" t="str">
        <f>IFERROR(VLOOKUP('1-2-2 关键绩效'!$A246,'1-1 基本信息'!$A:$K,7,0),"")</f>
        <v/>
      </c>
      <c r="C246" s="8" t="str">
        <f>IFERROR(VLOOKUP($A246,'1-1 基本信息'!$A:$J,10,0),"")</f>
        <v/>
      </c>
      <c r="D246" s="8" t="str">
        <f>IFERROR(VLOOKUP(A246,'1-1 基本信息'!$A:$I,8,0),"")</f>
        <v/>
      </c>
      <c r="E246" s="57" t="str">
        <f>IFERROR(VLOOKUP($A246,'1-2-1 绩效数据'!$A:$C,3,0),"")</f>
        <v/>
      </c>
      <c r="F246" s="8" t="str">
        <f t="shared" si="76"/>
        <v>2</v>
      </c>
      <c r="G246" s="8" t="str">
        <f t="shared" si="67"/>
        <v/>
      </c>
      <c r="H246" s="8" t="str">
        <f t="shared" si="68"/>
        <v/>
      </c>
      <c r="I246" s="58" t="str">
        <f t="shared" si="77"/>
        <v/>
      </c>
      <c r="J246" s="8" t="str">
        <f t="shared" si="73"/>
        <v/>
      </c>
      <c r="K246" s="8" t="str">
        <f t="shared" si="78"/>
        <v/>
      </c>
      <c r="L246" s="57" t="str">
        <f>IFERROR(VLOOKUP($A246,'1-2-1 绩效数据'!$D:$F,3,0),"")</f>
        <v/>
      </c>
      <c r="M246" s="8" t="str">
        <f t="shared" si="85"/>
        <v>2</v>
      </c>
      <c r="N246" s="8" t="str">
        <f t="shared" si="69"/>
        <v/>
      </c>
      <c r="O246" s="8" t="str">
        <f t="shared" si="70"/>
        <v/>
      </c>
      <c r="P246" s="58" t="str">
        <f t="shared" si="79"/>
        <v/>
      </c>
      <c r="Q246" s="8" t="str">
        <f t="shared" si="74"/>
        <v/>
      </c>
      <c r="R246" s="8" t="str">
        <f t="shared" si="80"/>
        <v/>
      </c>
      <c r="S246" s="57" t="str">
        <f>IFERROR(VLOOKUP(A246,'1-2-1 绩效数据'!$G:$I,3,0),"")</f>
        <v/>
      </c>
      <c r="T246" s="8" t="str">
        <f t="shared" si="81"/>
        <v>2</v>
      </c>
      <c r="U246" s="8" t="str">
        <f t="shared" si="71"/>
        <v/>
      </c>
      <c r="V246" s="8" t="str">
        <f t="shared" si="72"/>
        <v/>
      </c>
      <c r="W246" s="58" t="str">
        <f t="shared" si="82"/>
        <v/>
      </c>
      <c r="X246" s="8" t="str">
        <f t="shared" si="75"/>
        <v/>
      </c>
      <c r="Y246" s="8" t="str">
        <f t="shared" si="83"/>
        <v/>
      </c>
      <c r="Z246" s="57" t="str">
        <f t="shared" si="84"/>
        <v/>
      </c>
    </row>
    <row r="247" spans="1:26" x14ac:dyDescent="0.3">
      <c r="A247" s="8"/>
      <c r="B247" s="70" t="str">
        <f>IFERROR(VLOOKUP('1-2-2 关键绩效'!$A247,'1-1 基本信息'!$A:$K,7,0),"")</f>
        <v/>
      </c>
      <c r="C247" s="8" t="str">
        <f>IFERROR(VLOOKUP($A247,'1-1 基本信息'!$A:$J,10,0),"")</f>
        <v/>
      </c>
      <c r="D247" s="8" t="str">
        <f>IFERROR(VLOOKUP(A247,'1-1 基本信息'!$A:$I,8,0),"")</f>
        <v/>
      </c>
      <c r="E247" s="57" t="str">
        <f>IFERROR(VLOOKUP($A247,'1-2-1 绩效数据'!$A:$C,3,0),"")</f>
        <v/>
      </c>
      <c r="F247" s="8" t="str">
        <f t="shared" si="76"/>
        <v>2</v>
      </c>
      <c r="G247" s="8" t="str">
        <f t="shared" si="67"/>
        <v/>
      </c>
      <c r="H247" s="8" t="str">
        <f t="shared" si="68"/>
        <v/>
      </c>
      <c r="I247" s="58" t="str">
        <f t="shared" si="77"/>
        <v/>
      </c>
      <c r="J247" s="8" t="str">
        <f t="shared" si="73"/>
        <v/>
      </c>
      <c r="K247" s="8" t="str">
        <f t="shared" si="78"/>
        <v/>
      </c>
      <c r="L247" s="57" t="str">
        <f>IFERROR(VLOOKUP($A247,'1-2-1 绩效数据'!$D:$F,3,0),"")</f>
        <v/>
      </c>
      <c r="M247" s="8" t="str">
        <f t="shared" si="85"/>
        <v>2</v>
      </c>
      <c r="N247" s="8" t="str">
        <f t="shared" si="69"/>
        <v/>
      </c>
      <c r="O247" s="8" t="str">
        <f t="shared" si="70"/>
        <v/>
      </c>
      <c r="P247" s="58" t="str">
        <f t="shared" si="79"/>
        <v/>
      </c>
      <c r="Q247" s="8" t="str">
        <f t="shared" si="74"/>
        <v/>
      </c>
      <c r="R247" s="8" t="str">
        <f t="shared" si="80"/>
        <v/>
      </c>
      <c r="S247" s="57" t="str">
        <f>IFERROR(VLOOKUP(A247,'1-2-1 绩效数据'!$G:$I,3,0),"")</f>
        <v/>
      </c>
      <c r="T247" s="8" t="str">
        <f t="shared" si="81"/>
        <v>2</v>
      </c>
      <c r="U247" s="8" t="str">
        <f t="shared" si="71"/>
        <v/>
      </c>
      <c r="V247" s="8" t="str">
        <f t="shared" si="72"/>
        <v/>
      </c>
      <c r="W247" s="58" t="str">
        <f t="shared" si="82"/>
        <v/>
      </c>
      <c r="X247" s="8" t="str">
        <f t="shared" si="75"/>
        <v/>
      </c>
      <c r="Y247" s="8" t="str">
        <f t="shared" si="83"/>
        <v/>
      </c>
      <c r="Z247" s="57" t="str">
        <f t="shared" si="84"/>
        <v/>
      </c>
    </row>
    <row r="248" spans="1:26" x14ac:dyDescent="0.3">
      <c r="A248" s="8"/>
      <c r="B248" s="70" t="str">
        <f>IFERROR(VLOOKUP('1-2-2 关键绩效'!$A248,'1-1 基本信息'!$A:$K,7,0),"")</f>
        <v/>
      </c>
      <c r="C248" s="8" t="str">
        <f>IFERROR(VLOOKUP($A248,'1-1 基本信息'!$A:$J,10,0),"")</f>
        <v/>
      </c>
      <c r="D248" s="8" t="str">
        <f>IFERROR(VLOOKUP(A248,'1-1 基本信息'!$A:$I,8,0),"")</f>
        <v/>
      </c>
      <c r="E248" s="57" t="str">
        <f>IFERROR(VLOOKUP($A248,'1-2-1 绩效数据'!$A:$C,3,0),"")</f>
        <v/>
      </c>
      <c r="F248" s="8" t="str">
        <f t="shared" si="76"/>
        <v>2</v>
      </c>
      <c r="G248" s="8" t="str">
        <f t="shared" si="67"/>
        <v/>
      </c>
      <c r="H248" s="8" t="str">
        <f t="shared" si="68"/>
        <v/>
      </c>
      <c r="I248" s="58" t="str">
        <f t="shared" si="77"/>
        <v/>
      </c>
      <c r="J248" s="8" t="str">
        <f t="shared" si="73"/>
        <v/>
      </c>
      <c r="K248" s="8" t="str">
        <f t="shared" si="78"/>
        <v/>
      </c>
      <c r="L248" s="57" t="str">
        <f>IFERROR(VLOOKUP($A248,'1-2-1 绩效数据'!$D:$F,3,0),"")</f>
        <v/>
      </c>
      <c r="M248" s="8" t="str">
        <f t="shared" si="85"/>
        <v>2</v>
      </c>
      <c r="N248" s="8" t="str">
        <f t="shared" si="69"/>
        <v/>
      </c>
      <c r="O248" s="8" t="str">
        <f t="shared" si="70"/>
        <v/>
      </c>
      <c r="P248" s="58" t="str">
        <f t="shared" si="79"/>
        <v/>
      </c>
      <c r="Q248" s="8" t="str">
        <f t="shared" si="74"/>
        <v/>
      </c>
      <c r="R248" s="8" t="str">
        <f t="shared" si="80"/>
        <v/>
      </c>
      <c r="S248" s="57" t="str">
        <f>IFERROR(VLOOKUP(A248,'1-2-1 绩效数据'!$G:$I,3,0),"")</f>
        <v/>
      </c>
      <c r="T248" s="8" t="str">
        <f t="shared" si="81"/>
        <v>2</v>
      </c>
      <c r="U248" s="8" t="str">
        <f t="shared" si="71"/>
        <v/>
      </c>
      <c r="V248" s="8" t="str">
        <f t="shared" si="72"/>
        <v/>
      </c>
      <c r="W248" s="58" t="str">
        <f t="shared" si="82"/>
        <v/>
      </c>
      <c r="X248" s="8" t="str">
        <f t="shared" si="75"/>
        <v/>
      </c>
      <c r="Y248" s="8" t="str">
        <f t="shared" si="83"/>
        <v/>
      </c>
      <c r="Z248" s="57" t="str">
        <f t="shared" si="84"/>
        <v/>
      </c>
    </row>
    <row r="249" spans="1:26" x14ac:dyDescent="0.3">
      <c r="A249" s="8"/>
      <c r="B249" s="70" t="str">
        <f>IFERROR(VLOOKUP('1-2-2 关键绩效'!$A249,'1-1 基本信息'!$A:$K,7,0),"")</f>
        <v/>
      </c>
      <c r="C249" s="8" t="str">
        <f>IFERROR(VLOOKUP($A249,'1-1 基本信息'!$A:$J,10,0),"")</f>
        <v/>
      </c>
      <c r="D249" s="8" t="str">
        <f>IFERROR(VLOOKUP(A249,'1-1 基本信息'!$A:$I,8,0),"")</f>
        <v/>
      </c>
      <c r="E249" s="57" t="str">
        <f>IFERROR(VLOOKUP($A249,'1-2-1 绩效数据'!$A:$C,3,0),"")</f>
        <v/>
      </c>
      <c r="F249" s="8" t="str">
        <f t="shared" si="76"/>
        <v>2</v>
      </c>
      <c r="G249" s="8" t="str">
        <f t="shared" si="67"/>
        <v/>
      </c>
      <c r="H249" s="8" t="str">
        <f t="shared" si="68"/>
        <v/>
      </c>
      <c r="I249" s="58" t="str">
        <f t="shared" si="77"/>
        <v/>
      </c>
      <c r="J249" s="8" t="str">
        <f t="shared" si="73"/>
        <v/>
      </c>
      <c r="K249" s="8" t="str">
        <f t="shared" si="78"/>
        <v/>
      </c>
      <c r="L249" s="57" t="str">
        <f>IFERROR(VLOOKUP($A249,'1-2-1 绩效数据'!$D:$F,3,0),"")</f>
        <v/>
      </c>
      <c r="M249" s="8" t="str">
        <f t="shared" si="85"/>
        <v>2</v>
      </c>
      <c r="N249" s="8" t="str">
        <f t="shared" si="69"/>
        <v/>
      </c>
      <c r="O249" s="8" t="str">
        <f t="shared" si="70"/>
        <v/>
      </c>
      <c r="P249" s="58" t="str">
        <f t="shared" si="79"/>
        <v/>
      </c>
      <c r="Q249" s="8" t="str">
        <f t="shared" si="74"/>
        <v/>
      </c>
      <c r="R249" s="8" t="str">
        <f t="shared" si="80"/>
        <v/>
      </c>
      <c r="S249" s="57" t="str">
        <f>IFERROR(VLOOKUP(A249,'1-2-1 绩效数据'!$G:$I,3,0),"")</f>
        <v/>
      </c>
      <c r="T249" s="8" t="str">
        <f t="shared" si="81"/>
        <v>2</v>
      </c>
      <c r="U249" s="8" t="str">
        <f t="shared" si="71"/>
        <v/>
      </c>
      <c r="V249" s="8" t="str">
        <f t="shared" si="72"/>
        <v/>
      </c>
      <c r="W249" s="58" t="str">
        <f t="shared" si="82"/>
        <v/>
      </c>
      <c r="X249" s="8" t="str">
        <f t="shared" si="75"/>
        <v/>
      </c>
      <c r="Y249" s="8" t="str">
        <f t="shared" si="83"/>
        <v/>
      </c>
      <c r="Z249" s="57" t="str">
        <f t="shared" si="84"/>
        <v/>
      </c>
    </row>
    <row r="250" spans="1:26" x14ac:dyDescent="0.3">
      <c r="A250" s="8"/>
      <c r="B250" s="70" t="str">
        <f>IFERROR(VLOOKUP('1-2-2 关键绩效'!$A250,'1-1 基本信息'!$A:$K,7,0),"")</f>
        <v/>
      </c>
      <c r="C250" s="8" t="str">
        <f>IFERROR(VLOOKUP($A250,'1-1 基本信息'!$A:$J,10,0),"")</f>
        <v/>
      </c>
      <c r="D250" s="8" t="str">
        <f>IFERROR(VLOOKUP(A250,'1-1 基本信息'!$A:$I,8,0),"")</f>
        <v/>
      </c>
      <c r="E250" s="57" t="str">
        <f>IFERROR(VLOOKUP($A250,'1-2-1 绩效数据'!$A:$C,3,0),"")</f>
        <v/>
      </c>
      <c r="F250" s="8" t="str">
        <f t="shared" si="76"/>
        <v>2</v>
      </c>
      <c r="G250" s="8" t="str">
        <f t="shared" si="67"/>
        <v/>
      </c>
      <c r="H250" s="8" t="str">
        <f t="shared" si="68"/>
        <v/>
      </c>
      <c r="I250" s="58" t="str">
        <f t="shared" si="77"/>
        <v/>
      </c>
      <c r="J250" s="8" t="str">
        <f t="shared" si="73"/>
        <v/>
      </c>
      <c r="K250" s="8" t="str">
        <f t="shared" si="78"/>
        <v/>
      </c>
      <c r="L250" s="57" t="str">
        <f>IFERROR(VLOOKUP($A250,'1-2-1 绩效数据'!$D:$F,3,0),"")</f>
        <v/>
      </c>
      <c r="M250" s="8" t="str">
        <f t="shared" si="85"/>
        <v>2</v>
      </c>
      <c r="N250" s="8" t="str">
        <f t="shared" si="69"/>
        <v/>
      </c>
      <c r="O250" s="8" t="str">
        <f t="shared" si="70"/>
        <v/>
      </c>
      <c r="P250" s="58" t="str">
        <f t="shared" si="79"/>
        <v/>
      </c>
      <c r="Q250" s="8" t="str">
        <f t="shared" si="74"/>
        <v/>
      </c>
      <c r="R250" s="8" t="str">
        <f t="shared" si="80"/>
        <v/>
      </c>
      <c r="S250" s="57" t="str">
        <f>IFERROR(VLOOKUP(A250,'1-2-1 绩效数据'!$G:$I,3,0),"")</f>
        <v/>
      </c>
      <c r="T250" s="8" t="str">
        <f t="shared" si="81"/>
        <v>2</v>
      </c>
      <c r="U250" s="8" t="str">
        <f t="shared" si="71"/>
        <v/>
      </c>
      <c r="V250" s="8" t="str">
        <f t="shared" si="72"/>
        <v/>
      </c>
      <c r="W250" s="58" t="str">
        <f t="shared" si="82"/>
        <v/>
      </c>
      <c r="X250" s="8" t="str">
        <f t="shared" si="75"/>
        <v/>
      </c>
      <c r="Y250" s="8" t="str">
        <f t="shared" si="83"/>
        <v/>
      </c>
      <c r="Z250" s="57" t="str">
        <f t="shared" si="84"/>
        <v/>
      </c>
    </row>
    <row r="251" spans="1:26" x14ac:dyDescent="0.3">
      <c r="A251" s="8"/>
      <c r="B251" s="70" t="str">
        <f>IFERROR(VLOOKUP('1-2-2 关键绩效'!$A251,'1-1 基本信息'!$A:$K,7,0),"")</f>
        <v/>
      </c>
      <c r="C251" s="8" t="str">
        <f>IFERROR(VLOOKUP($A251,'1-1 基本信息'!$A:$J,10,0),"")</f>
        <v/>
      </c>
      <c r="D251" s="8" t="str">
        <f>IFERROR(VLOOKUP(A251,'1-1 基本信息'!$A:$I,8,0),"")</f>
        <v/>
      </c>
      <c r="E251" s="57" t="str">
        <f>IFERROR(VLOOKUP($A251,'1-2-1 绩效数据'!$A:$C,3,0),"")</f>
        <v/>
      </c>
      <c r="F251" s="8" t="str">
        <f t="shared" si="76"/>
        <v>2</v>
      </c>
      <c r="G251" s="8" t="str">
        <f t="shared" si="67"/>
        <v/>
      </c>
      <c r="H251" s="8" t="str">
        <f t="shared" si="68"/>
        <v/>
      </c>
      <c r="I251" s="58" t="str">
        <f t="shared" si="77"/>
        <v/>
      </c>
      <c r="J251" s="8" t="str">
        <f t="shared" si="73"/>
        <v/>
      </c>
      <c r="K251" s="8" t="str">
        <f t="shared" si="78"/>
        <v/>
      </c>
      <c r="L251" s="57" t="str">
        <f>IFERROR(VLOOKUP($A251,'1-2-1 绩效数据'!$D:$F,3,0),"")</f>
        <v/>
      </c>
      <c r="M251" s="8" t="str">
        <f t="shared" si="85"/>
        <v>2</v>
      </c>
      <c r="N251" s="8" t="str">
        <f t="shared" si="69"/>
        <v/>
      </c>
      <c r="O251" s="8" t="str">
        <f t="shared" si="70"/>
        <v/>
      </c>
      <c r="P251" s="58" t="str">
        <f t="shared" si="79"/>
        <v/>
      </c>
      <c r="Q251" s="8" t="str">
        <f t="shared" si="74"/>
        <v/>
      </c>
      <c r="R251" s="8" t="str">
        <f t="shared" si="80"/>
        <v/>
      </c>
      <c r="S251" s="57" t="str">
        <f>IFERROR(VLOOKUP(A251,'1-2-1 绩效数据'!$G:$I,3,0),"")</f>
        <v/>
      </c>
      <c r="T251" s="8" t="str">
        <f t="shared" si="81"/>
        <v>2</v>
      </c>
      <c r="U251" s="8" t="str">
        <f t="shared" si="71"/>
        <v/>
      </c>
      <c r="V251" s="8" t="str">
        <f t="shared" si="72"/>
        <v/>
      </c>
      <c r="W251" s="58" t="str">
        <f t="shared" si="82"/>
        <v/>
      </c>
      <c r="X251" s="8" t="str">
        <f t="shared" si="75"/>
        <v/>
      </c>
      <c r="Y251" s="8" t="str">
        <f t="shared" si="83"/>
        <v/>
      </c>
      <c r="Z251" s="57" t="str">
        <f t="shared" si="84"/>
        <v/>
      </c>
    </row>
    <row r="252" spans="1:26" x14ac:dyDescent="0.3">
      <c r="A252" s="8"/>
      <c r="B252" s="70" t="str">
        <f>IFERROR(VLOOKUP('1-2-2 关键绩效'!$A252,'1-1 基本信息'!$A:$K,7,0),"")</f>
        <v/>
      </c>
      <c r="C252" s="8" t="str">
        <f>IFERROR(VLOOKUP($A252,'1-1 基本信息'!$A:$J,10,0),"")</f>
        <v/>
      </c>
      <c r="D252" s="8" t="str">
        <f>IFERROR(VLOOKUP(A252,'1-1 基本信息'!$A:$I,8,0),"")</f>
        <v/>
      </c>
      <c r="E252" s="57" t="str">
        <f>IFERROR(VLOOKUP($A252,'1-2-1 绩效数据'!$A:$C,3,0),"")</f>
        <v/>
      </c>
      <c r="F252" s="8" t="str">
        <f t="shared" si="76"/>
        <v>2</v>
      </c>
      <c r="G252" s="8" t="str">
        <f t="shared" si="67"/>
        <v/>
      </c>
      <c r="H252" s="8" t="str">
        <f t="shared" si="68"/>
        <v/>
      </c>
      <c r="I252" s="58" t="str">
        <f t="shared" si="77"/>
        <v/>
      </c>
      <c r="J252" s="8" t="str">
        <f t="shared" si="73"/>
        <v/>
      </c>
      <c r="K252" s="8" t="str">
        <f t="shared" si="78"/>
        <v/>
      </c>
      <c r="L252" s="57" t="str">
        <f>IFERROR(VLOOKUP($A252,'1-2-1 绩效数据'!$D:$F,3,0),"")</f>
        <v/>
      </c>
      <c r="M252" s="8" t="str">
        <f t="shared" si="85"/>
        <v>2</v>
      </c>
      <c r="N252" s="8" t="str">
        <f t="shared" si="69"/>
        <v/>
      </c>
      <c r="O252" s="8" t="str">
        <f t="shared" si="70"/>
        <v/>
      </c>
      <c r="P252" s="58" t="str">
        <f t="shared" si="79"/>
        <v/>
      </c>
      <c r="Q252" s="8" t="str">
        <f t="shared" si="74"/>
        <v/>
      </c>
      <c r="R252" s="8" t="str">
        <f t="shared" si="80"/>
        <v/>
      </c>
      <c r="S252" s="57" t="str">
        <f>IFERROR(VLOOKUP(A252,'1-2-1 绩效数据'!$G:$I,3,0),"")</f>
        <v/>
      </c>
      <c r="T252" s="8" t="str">
        <f t="shared" si="81"/>
        <v>2</v>
      </c>
      <c r="U252" s="8" t="str">
        <f t="shared" si="71"/>
        <v/>
      </c>
      <c r="V252" s="8" t="str">
        <f t="shared" si="72"/>
        <v/>
      </c>
      <c r="W252" s="58" t="str">
        <f t="shared" si="82"/>
        <v/>
      </c>
      <c r="X252" s="8" t="str">
        <f t="shared" si="75"/>
        <v/>
      </c>
      <c r="Y252" s="8" t="str">
        <f t="shared" si="83"/>
        <v/>
      </c>
      <c r="Z252" s="57" t="str">
        <f t="shared" si="84"/>
        <v/>
      </c>
    </row>
    <row r="253" spans="1:26" x14ac:dyDescent="0.3">
      <c r="A253" s="8"/>
      <c r="B253" s="70" t="str">
        <f>IFERROR(VLOOKUP('1-2-2 关键绩效'!$A253,'1-1 基本信息'!$A:$K,7,0),"")</f>
        <v/>
      </c>
      <c r="C253" s="8" t="str">
        <f>IFERROR(VLOOKUP($A253,'1-1 基本信息'!$A:$J,10,0),"")</f>
        <v/>
      </c>
      <c r="D253" s="8" t="str">
        <f>IFERROR(VLOOKUP(A253,'1-1 基本信息'!$A:$I,8,0),"")</f>
        <v/>
      </c>
      <c r="E253" s="57" t="str">
        <f>IFERROR(VLOOKUP($A253,'1-2-1 绩效数据'!$A:$C,3,0),"")</f>
        <v/>
      </c>
      <c r="F253" s="8" t="str">
        <f t="shared" si="76"/>
        <v>2</v>
      </c>
      <c r="G253" s="8" t="str">
        <f t="shared" si="67"/>
        <v/>
      </c>
      <c r="H253" s="8" t="str">
        <f t="shared" si="68"/>
        <v/>
      </c>
      <c r="I253" s="58" t="str">
        <f t="shared" si="77"/>
        <v/>
      </c>
      <c r="J253" s="8" t="str">
        <f t="shared" si="73"/>
        <v/>
      </c>
      <c r="K253" s="8" t="str">
        <f t="shared" si="78"/>
        <v/>
      </c>
      <c r="L253" s="57" t="str">
        <f>IFERROR(VLOOKUP($A253,'1-2-1 绩效数据'!$D:$F,3,0),"")</f>
        <v/>
      </c>
      <c r="M253" s="8" t="str">
        <f t="shared" si="85"/>
        <v>2</v>
      </c>
      <c r="N253" s="8" t="str">
        <f t="shared" si="69"/>
        <v/>
      </c>
      <c r="O253" s="8" t="str">
        <f t="shared" si="70"/>
        <v/>
      </c>
      <c r="P253" s="58" t="str">
        <f t="shared" si="79"/>
        <v/>
      </c>
      <c r="Q253" s="8" t="str">
        <f t="shared" si="74"/>
        <v/>
      </c>
      <c r="R253" s="8" t="str">
        <f t="shared" si="80"/>
        <v/>
      </c>
      <c r="S253" s="57" t="str">
        <f>IFERROR(VLOOKUP(A253,'1-2-1 绩效数据'!$G:$I,3,0),"")</f>
        <v/>
      </c>
      <c r="T253" s="8" t="str">
        <f t="shared" si="81"/>
        <v>2</v>
      </c>
      <c r="U253" s="8" t="str">
        <f t="shared" si="71"/>
        <v/>
      </c>
      <c r="V253" s="8" t="str">
        <f t="shared" si="72"/>
        <v/>
      </c>
      <c r="W253" s="58" t="str">
        <f t="shared" si="82"/>
        <v/>
      </c>
      <c r="X253" s="8" t="str">
        <f t="shared" si="75"/>
        <v/>
      </c>
      <c r="Y253" s="8" t="str">
        <f t="shared" si="83"/>
        <v/>
      </c>
      <c r="Z253" s="57" t="str">
        <f t="shared" si="84"/>
        <v/>
      </c>
    </row>
    <row r="254" spans="1:26" x14ac:dyDescent="0.3">
      <c r="A254" s="8"/>
      <c r="B254" s="70" t="str">
        <f>IFERROR(VLOOKUP('1-2-2 关键绩效'!$A254,'1-1 基本信息'!$A:$K,7,0),"")</f>
        <v/>
      </c>
      <c r="C254" s="8" t="str">
        <f>IFERROR(VLOOKUP($A254,'1-1 基本信息'!$A:$J,10,0),"")</f>
        <v/>
      </c>
      <c r="D254" s="8" t="str">
        <f>IFERROR(VLOOKUP(A254,'1-1 基本信息'!$A:$I,8,0),"")</f>
        <v/>
      </c>
      <c r="E254" s="57" t="str">
        <f>IFERROR(VLOOKUP($A254,'1-2-1 绩效数据'!$A:$C,3,0),"")</f>
        <v/>
      </c>
      <c r="F254" s="8" t="str">
        <f t="shared" si="76"/>
        <v>2</v>
      </c>
      <c r="G254" s="8" t="str">
        <f t="shared" si="67"/>
        <v/>
      </c>
      <c r="H254" s="8" t="str">
        <f t="shared" si="68"/>
        <v/>
      </c>
      <c r="I254" s="58" t="str">
        <f t="shared" si="77"/>
        <v/>
      </c>
      <c r="J254" s="8" t="str">
        <f t="shared" si="73"/>
        <v/>
      </c>
      <c r="K254" s="8" t="str">
        <f t="shared" si="78"/>
        <v/>
      </c>
      <c r="L254" s="57" t="str">
        <f>IFERROR(VLOOKUP($A254,'1-2-1 绩效数据'!$D:$F,3,0),"")</f>
        <v/>
      </c>
      <c r="M254" s="8" t="str">
        <f t="shared" si="85"/>
        <v>2</v>
      </c>
      <c r="N254" s="8" t="str">
        <f t="shared" si="69"/>
        <v/>
      </c>
      <c r="O254" s="8" t="str">
        <f t="shared" si="70"/>
        <v/>
      </c>
      <c r="P254" s="58" t="str">
        <f t="shared" si="79"/>
        <v/>
      </c>
      <c r="Q254" s="8" t="str">
        <f t="shared" si="74"/>
        <v/>
      </c>
      <c r="R254" s="8" t="str">
        <f t="shared" si="80"/>
        <v/>
      </c>
      <c r="S254" s="57" t="str">
        <f>IFERROR(VLOOKUP(A254,'1-2-1 绩效数据'!$G:$I,3,0),"")</f>
        <v/>
      </c>
      <c r="T254" s="8" t="str">
        <f t="shared" si="81"/>
        <v>2</v>
      </c>
      <c r="U254" s="8" t="str">
        <f t="shared" si="71"/>
        <v/>
      </c>
      <c r="V254" s="8" t="str">
        <f t="shared" si="72"/>
        <v/>
      </c>
      <c r="W254" s="58" t="str">
        <f t="shared" si="82"/>
        <v/>
      </c>
      <c r="X254" s="8" t="str">
        <f t="shared" si="75"/>
        <v/>
      </c>
      <c r="Y254" s="8" t="str">
        <f t="shared" si="83"/>
        <v/>
      </c>
      <c r="Z254" s="57" t="str">
        <f t="shared" si="84"/>
        <v/>
      </c>
    </row>
    <row r="255" spans="1:26" x14ac:dyDescent="0.3">
      <c r="A255" s="8"/>
      <c r="B255" s="70" t="str">
        <f>IFERROR(VLOOKUP('1-2-2 关键绩效'!$A255,'1-1 基本信息'!$A:$K,7,0),"")</f>
        <v/>
      </c>
      <c r="C255" s="8" t="str">
        <f>IFERROR(VLOOKUP($A255,'1-1 基本信息'!$A:$J,10,0),"")</f>
        <v/>
      </c>
      <c r="D255" s="8" t="str">
        <f>IFERROR(VLOOKUP(A255,'1-1 基本信息'!$A:$I,8,0),"")</f>
        <v/>
      </c>
      <c r="E255" s="57" t="str">
        <f>IFERROR(VLOOKUP($A255,'1-2-1 绩效数据'!$A:$C,3,0),"")</f>
        <v/>
      </c>
      <c r="F255" s="8" t="str">
        <f t="shared" si="76"/>
        <v>2</v>
      </c>
      <c r="G255" s="8" t="str">
        <f t="shared" si="67"/>
        <v/>
      </c>
      <c r="H255" s="8" t="str">
        <f t="shared" si="68"/>
        <v/>
      </c>
      <c r="I255" s="58" t="str">
        <f t="shared" si="77"/>
        <v/>
      </c>
      <c r="J255" s="8" t="str">
        <f t="shared" si="73"/>
        <v/>
      </c>
      <c r="K255" s="8" t="str">
        <f t="shared" si="78"/>
        <v/>
      </c>
      <c r="L255" s="57" t="str">
        <f>IFERROR(VLOOKUP($A255,'1-2-1 绩效数据'!$D:$F,3,0),"")</f>
        <v/>
      </c>
      <c r="M255" s="8" t="str">
        <f t="shared" si="85"/>
        <v>2</v>
      </c>
      <c r="N255" s="8" t="str">
        <f t="shared" si="69"/>
        <v/>
      </c>
      <c r="O255" s="8" t="str">
        <f t="shared" si="70"/>
        <v/>
      </c>
      <c r="P255" s="58" t="str">
        <f t="shared" si="79"/>
        <v/>
      </c>
      <c r="Q255" s="8" t="str">
        <f t="shared" si="74"/>
        <v/>
      </c>
      <c r="R255" s="8" t="str">
        <f t="shared" si="80"/>
        <v/>
      </c>
      <c r="S255" s="57" t="str">
        <f>IFERROR(VLOOKUP(A255,'1-2-1 绩效数据'!$G:$I,3,0),"")</f>
        <v/>
      </c>
      <c r="T255" s="8" t="str">
        <f t="shared" si="81"/>
        <v>2</v>
      </c>
      <c r="U255" s="8" t="str">
        <f t="shared" si="71"/>
        <v/>
      </c>
      <c r="V255" s="8" t="str">
        <f t="shared" si="72"/>
        <v/>
      </c>
      <c r="W255" s="58" t="str">
        <f t="shared" si="82"/>
        <v/>
      </c>
      <c r="X255" s="8" t="str">
        <f t="shared" si="75"/>
        <v/>
      </c>
      <c r="Y255" s="8" t="str">
        <f t="shared" si="83"/>
        <v/>
      </c>
      <c r="Z255" s="57" t="str">
        <f t="shared" si="84"/>
        <v/>
      </c>
    </row>
    <row r="256" spans="1:26" x14ac:dyDescent="0.3">
      <c r="A256" s="8"/>
      <c r="B256" s="70" t="str">
        <f>IFERROR(VLOOKUP('1-2-2 关键绩效'!$A256,'1-1 基本信息'!$A:$K,7,0),"")</f>
        <v/>
      </c>
      <c r="C256" s="8" t="str">
        <f>IFERROR(VLOOKUP($A256,'1-1 基本信息'!$A:$J,10,0),"")</f>
        <v/>
      </c>
      <c r="D256" s="8" t="str">
        <f>IFERROR(VLOOKUP(A256,'1-1 基本信息'!$A:$I,8,0),"")</f>
        <v/>
      </c>
      <c r="E256" s="57" t="str">
        <f>IFERROR(VLOOKUP($A256,'1-2-1 绩效数据'!$A:$C,3,0),"")</f>
        <v/>
      </c>
      <c r="F256" s="8" t="str">
        <f t="shared" si="76"/>
        <v>2</v>
      </c>
      <c r="G256" s="8" t="str">
        <f t="shared" si="67"/>
        <v/>
      </c>
      <c r="H256" s="8" t="str">
        <f t="shared" si="68"/>
        <v/>
      </c>
      <c r="I256" s="58" t="str">
        <f t="shared" si="77"/>
        <v/>
      </c>
      <c r="J256" s="8" t="str">
        <f t="shared" si="73"/>
        <v/>
      </c>
      <c r="K256" s="8" t="str">
        <f t="shared" si="78"/>
        <v/>
      </c>
      <c r="L256" s="57" t="str">
        <f>IFERROR(VLOOKUP($A256,'1-2-1 绩效数据'!$D:$F,3,0),"")</f>
        <v/>
      </c>
      <c r="M256" s="8" t="str">
        <f t="shared" si="85"/>
        <v>2</v>
      </c>
      <c r="N256" s="8" t="str">
        <f t="shared" si="69"/>
        <v/>
      </c>
      <c r="O256" s="8" t="str">
        <f t="shared" si="70"/>
        <v/>
      </c>
      <c r="P256" s="58" t="str">
        <f t="shared" si="79"/>
        <v/>
      </c>
      <c r="Q256" s="8" t="str">
        <f t="shared" si="74"/>
        <v/>
      </c>
      <c r="R256" s="8" t="str">
        <f t="shared" si="80"/>
        <v/>
      </c>
      <c r="S256" s="57" t="str">
        <f>IFERROR(VLOOKUP(A256,'1-2-1 绩效数据'!$G:$I,3,0),"")</f>
        <v/>
      </c>
      <c r="T256" s="8" t="str">
        <f t="shared" si="81"/>
        <v>2</v>
      </c>
      <c r="U256" s="8" t="str">
        <f t="shared" si="71"/>
        <v/>
      </c>
      <c r="V256" s="8" t="str">
        <f t="shared" si="72"/>
        <v/>
      </c>
      <c r="W256" s="58" t="str">
        <f t="shared" si="82"/>
        <v/>
      </c>
      <c r="X256" s="8" t="str">
        <f t="shared" si="75"/>
        <v/>
      </c>
      <c r="Y256" s="8" t="str">
        <f t="shared" si="83"/>
        <v/>
      </c>
      <c r="Z256" s="57" t="str">
        <f t="shared" si="84"/>
        <v/>
      </c>
    </row>
    <row r="257" spans="1:26" x14ac:dyDescent="0.3">
      <c r="A257" s="8"/>
      <c r="B257" s="70" t="str">
        <f>IFERROR(VLOOKUP('1-2-2 关键绩效'!$A257,'1-1 基本信息'!$A:$K,7,0),"")</f>
        <v/>
      </c>
      <c r="C257" s="8" t="str">
        <f>IFERROR(VLOOKUP($A257,'1-1 基本信息'!$A:$J,10,0),"")</f>
        <v/>
      </c>
      <c r="D257" s="8" t="str">
        <f>IFERROR(VLOOKUP(A257,'1-1 基本信息'!$A:$I,8,0),"")</f>
        <v/>
      </c>
      <c r="E257" s="57" t="str">
        <f>IFERROR(VLOOKUP($A257,'1-2-1 绩效数据'!$A:$C,3,0),"")</f>
        <v/>
      </c>
      <c r="F257" s="8" t="str">
        <f t="shared" si="76"/>
        <v>2</v>
      </c>
      <c r="G257" s="8" t="str">
        <f t="shared" si="67"/>
        <v/>
      </c>
      <c r="H257" s="8" t="str">
        <f t="shared" si="68"/>
        <v/>
      </c>
      <c r="I257" s="58" t="str">
        <f t="shared" si="77"/>
        <v/>
      </c>
      <c r="J257" s="8" t="str">
        <f t="shared" si="73"/>
        <v/>
      </c>
      <c r="K257" s="8" t="str">
        <f t="shared" si="78"/>
        <v/>
      </c>
      <c r="L257" s="57" t="str">
        <f>IFERROR(VLOOKUP($A257,'1-2-1 绩效数据'!$D:$F,3,0),"")</f>
        <v/>
      </c>
      <c r="M257" s="8" t="str">
        <f t="shared" si="85"/>
        <v>2</v>
      </c>
      <c r="N257" s="8" t="str">
        <f t="shared" si="69"/>
        <v/>
      </c>
      <c r="O257" s="8" t="str">
        <f t="shared" si="70"/>
        <v/>
      </c>
      <c r="P257" s="58" t="str">
        <f t="shared" si="79"/>
        <v/>
      </c>
      <c r="Q257" s="8" t="str">
        <f t="shared" si="74"/>
        <v/>
      </c>
      <c r="R257" s="8" t="str">
        <f t="shared" si="80"/>
        <v/>
      </c>
      <c r="S257" s="57" t="str">
        <f>IFERROR(VLOOKUP(A257,'1-2-1 绩效数据'!$G:$I,3,0),"")</f>
        <v/>
      </c>
      <c r="T257" s="8" t="str">
        <f t="shared" si="81"/>
        <v>2</v>
      </c>
      <c r="U257" s="8" t="str">
        <f t="shared" si="71"/>
        <v/>
      </c>
      <c r="V257" s="8" t="str">
        <f t="shared" si="72"/>
        <v/>
      </c>
      <c r="W257" s="58" t="str">
        <f t="shared" si="82"/>
        <v/>
      </c>
      <c r="X257" s="8" t="str">
        <f t="shared" si="75"/>
        <v/>
      </c>
      <c r="Y257" s="8" t="str">
        <f t="shared" si="83"/>
        <v/>
      </c>
      <c r="Z257" s="57" t="str">
        <f t="shared" si="84"/>
        <v/>
      </c>
    </row>
    <row r="258" spans="1:26" x14ac:dyDescent="0.3">
      <c r="A258" s="8"/>
      <c r="B258" s="70" t="str">
        <f>IFERROR(VLOOKUP('1-2-2 关键绩效'!$A258,'1-1 基本信息'!$A:$K,7,0),"")</f>
        <v/>
      </c>
      <c r="C258" s="8" t="str">
        <f>IFERROR(VLOOKUP($A258,'1-1 基本信息'!$A:$J,10,0),"")</f>
        <v/>
      </c>
      <c r="D258" s="8" t="str">
        <f>IFERROR(VLOOKUP(A258,'1-1 基本信息'!$A:$I,8,0),"")</f>
        <v/>
      </c>
      <c r="E258" s="57" t="str">
        <f>IFERROR(VLOOKUP($A258,'1-2-1 绩效数据'!$A:$C,3,0),"")</f>
        <v/>
      </c>
      <c r="F258" s="8" t="str">
        <f t="shared" si="76"/>
        <v>2</v>
      </c>
      <c r="G258" s="8" t="str">
        <f t="shared" si="67"/>
        <v/>
      </c>
      <c r="H258" s="8" t="str">
        <f t="shared" si="68"/>
        <v/>
      </c>
      <c r="I258" s="58" t="str">
        <f t="shared" si="77"/>
        <v/>
      </c>
      <c r="J258" s="8" t="str">
        <f t="shared" si="73"/>
        <v/>
      </c>
      <c r="K258" s="8" t="str">
        <f t="shared" si="78"/>
        <v/>
      </c>
      <c r="L258" s="57" t="str">
        <f>IFERROR(VLOOKUP($A258,'1-2-1 绩效数据'!$D:$F,3,0),"")</f>
        <v/>
      </c>
      <c r="M258" s="8" t="str">
        <f t="shared" si="85"/>
        <v>2</v>
      </c>
      <c r="N258" s="8" t="str">
        <f t="shared" si="69"/>
        <v/>
      </c>
      <c r="O258" s="8" t="str">
        <f t="shared" si="70"/>
        <v/>
      </c>
      <c r="P258" s="58" t="str">
        <f t="shared" si="79"/>
        <v/>
      </c>
      <c r="Q258" s="8" t="str">
        <f t="shared" si="74"/>
        <v/>
      </c>
      <c r="R258" s="8" t="str">
        <f t="shared" si="80"/>
        <v/>
      </c>
      <c r="S258" s="57" t="str">
        <f>IFERROR(VLOOKUP(A258,'1-2-1 绩效数据'!$G:$I,3,0),"")</f>
        <v/>
      </c>
      <c r="T258" s="8" t="str">
        <f t="shared" si="81"/>
        <v>2</v>
      </c>
      <c r="U258" s="8" t="str">
        <f t="shared" si="71"/>
        <v/>
      </c>
      <c r="V258" s="8" t="str">
        <f t="shared" si="72"/>
        <v/>
      </c>
      <c r="W258" s="58" t="str">
        <f t="shared" si="82"/>
        <v/>
      </c>
      <c r="X258" s="8" t="str">
        <f t="shared" si="75"/>
        <v/>
      </c>
      <c r="Y258" s="8" t="str">
        <f t="shared" si="83"/>
        <v/>
      </c>
      <c r="Z258" s="57" t="str">
        <f t="shared" si="84"/>
        <v/>
      </c>
    </row>
    <row r="259" spans="1:26" x14ac:dyDescent="0.3">
      <c r="A259" s="8"/>
      <c r="B259" s="70" t="str">
        <f>IFERROR(VLOOKUP('1-2-2 关键绩效'!$A259,'1-1 基本信息'!$A:$K,7,0),"")</f>
        <v/>
      </c>
      <c r="C259" s="8" t="str">
        <f>IFERROR(VLOOKUP($A259,'1-1 基本信息'!$A:$J,10,0),"")</f>
        <v/>
      </c>
      <c r="D259" s="8" t="str">
        <f>IFERROR(VLOOKUP(A259,'1-1 基本信息'!$A:$I,8,0),"")</f>
        <v/>
      </c>
      <c r="E259" s="57" t="str">
        <f>IFERROR(VLOOKUP($A259,'1-2-1 绩效数据'!$A:$C,3,0),"")</f>
        <v/>
      </c>
      <c r="F259" s="8" t="str">
        <f t="shared" si="76"/>
        <v>2</v>
      </c>
      <c r="G259" s="8" t="str">
        <f t="shared" ref="G259:G322" si="86">IF(E259&lt;&gt;"",COUNTIFS($C:$C,$C259,F:F,"1"),"")</f>
        <v/>
      </c>
      <c r="H259" s="8" t="str">
        <f t="shared" ref="H259:H322" si="87">IF(E259&lt;&gt;"",COUNTIFS($C:$C,$C259,E:E,"&gt;"&amp;E259)+1,"")</f>
        <v/>
      </c>
      <c r="I259" s="58" t="str">
        <f t="shared" si="77"/>
        <v/>
      </c>
      <c r="J259" s="8" t="str">
        <f t="shared" si="73"/>
        <v/>
      </c>
      <c r="K259" s="8" t="str">
        <f t="shared" si="78"/>
        <v/>
      </c>
      <c r="L259" s="57" t="str">
        <f>IFERROR(VLOOKUP($A259,'1-2-1 绩效数据'!$D:$F,3,0),"")</f>
        <v/>
      </c>
      <c r="M259" s="8" t="str">
        <f t="shared" si="85"/>
        <v>2</v>
      </c>
      <c r="N259" s="8" t="str">
        <f t="shared" ref="N259:N322" si="88">IF(L259&lt;&gt;"",COUNTIFS($C:$C,$C259,M:M,"1"),"")</f>
        <v/>
      </c>
      <c r="O259" s="8" t="str">
        <f t="shared" ref="O259:O322" si="89">IF(L259&lt;&gt;"",COUNTIFS($C:$C,$C259,L:L,"&gt;"&amp;L259)+1,"")</f>
        <v/>
      </c>
      <c r="P259" s="58" t="str">
        <f t="shared" si="79"/>
        <v/>
      </c>
      <c r="Q259" s="8" t="str">
        <f t="shared" si="74"/>
        <v/>
      </c>
      <c r="R259" s="8" t="str">
        <f t="shared" si="80"/>
        <v/>
      </c>
      <c r="S259" s="57" t="str">
        <f>IFERROR(VLOOKUP(A259,'1-2-1 绩效数据'!$G:$I,3,0),"")</f>
        <v/>
      </c>
      <c r="T259" s="8" t="str">
        <f t="shared" si="81"/>
        <v>2</v>
      </c>
      <c r="U259" s="8" t="str">
        <f t="shared" ref="U259:U322" si="90">IF(S259&lt;&gt;"",COUNTIFS($C:$C,$C259,T:T,"1"),"")</f>
        <v/>
      </c>
      <c r="V259" s="8" t="str">
        <f t="shared" ref="V259:V322" si="91">IF(S259&lt;&gt;"",COUNTIFS($C:$C,$C259,S:S,"&gt;"&amp;S259)+1,"")</f>
        <v/>
      </c>
      <c r="W259" s="58" t="str">
        <f t="shared" si="82"/>
        <v/>
      </c>
      <c r="X259" s="8" t="str">
        <f t="shared" si="75"/>
        <v/>
      </c>
      <c r="Y259" s="8" t="str">
        <f t="shared" si="83"/>
        <v/>
      </c>
      <c r="Z259" s="57" t="str">
        <f t="shared" si="84"/>
        <v/>
      </c>
    </row>
    <row r="260" spans="1:26" x14ac:dyDescent="0.3">
      <c r="A260" s="8"/>
      <c r="B260" s="70" t="str">
        <f>IFERROR(VLOOKUP('1-2-2 关键绩效'!$A260,'1-1 基本信息'!$A:$K,7,0),"")</f>
        <v/>
      </c>
      <c r="C260" s="8" t="str">
        <f>IFERROR(VLOOKUP($A260,'1-1 基本信息'!$A:$J,10,0),"")</f>
        <v/>
      </c>
      <c r="D260" s="8" t="str">
        <f>IFERROR(VLOOKUP(A260,'1-1 基本信息'!$A:$I,8,0),"")</f>
        <v/>
      </c>
      <c r="E260" s="57" t="str">
        <f>IFERROR(VLOOKUP($A260,'1-2-1 绩效数据'!$A:$C,3,0),"")</f>
        <v/>
      </c>
      <c r="F260" s="8" t="str">
        <f t="shared" si="76"/>
        <v>2</v>
      </c>
      <c r="G260" s="8" t="str">
        <f t="shared" si="86"/>
        <v/>
      </c>
      <c r="H260" s="8" t="str">
        <f t="shared" si="87"/>
        <v/>
      </c>
      <c r="I260" s="58" t="str">
        <f t="shared" si="77"/>
        <v/>
      </c>
      <c r="J260" s="8" t="str">
        <f t="shared" ref="J260:J323" si="92">IF(I260&lt;&gt;"",IF(G260&gt;=10,IF(I260&lt;=10%,1,IF(I260&lt;=20%,2,IF(I260&lt;=80%,3,IF(I260&lt;=90%,4,5)))),IF(G260=8,IF(I260=1,1,IF(I260=2,2,IF(I260=3,3,IF(I260=4,3,IF(I260=5,4,IF(I260=6,4,IF(I260=7,5,5))))))),IF(G260=7,IF(I260=1,1,IF(I260=2,2,IF(I260=3,3,IF(I260=4,4,IF(I260=5,4,IF(I260=6,5,5)))))),IF(G260=6,IF(I260=1,1,IF(I260=2,2,IF(I260=3,3,IF(I260=4,4,IF(I260=5,5,5))))),IF(G260=5,IF(I260=1,1,IF(I260=2,2,IF(I260=3,3,IF(I260=4,4,5)))),IF(G260=4,IF(I260=1,1,IF(I260=2,2,IF(I260=3,3,4))),IF(G260=3,IF(I260=1,1,IF(I260=2,2,3)),IF(G260=2,IF(I260=1,1,2),IF(G260=1,IF(I260=1,1,"")))))))))),"")</f>
        <v/>
      </c>
      <c r="K260" s="8" t="str">
        <f t="shared" si="78"/>
        <v/>
      </c>
      <c r="L260" s="57" t="str">
        <f>IFERROR(VLOOKUP($A260,'1-2-1 绩效数据'!$D:$F,3,0),"")</f>
        <v/>
      </c>
      <c r="M260" s="8" t="str">
        <f t="shared" si="85"/>
        <v>2</v>
      </c>
      <c r="N260" s="8" t="str">
        <f t="shared" si="88"/>
        <v/>
      </c>
      <c r="O260" s="8" t="str">
        <f t="shared" si="89"/>
        <v/>
      </c>
      <c r="P260" s="58" t="str">
        <f t="shared" si="79"/>
        <v/>
      </c>
      <c r="Q260" s="8" t="str">
        <f t="shared" ref="Q260:Q323" si="93">IF(P260&lt;&gt;"",IF(N260&gt;=10,IF(P260&lt;=10%,1,IF(P260&lt;=20%,2,IF(P260&lt;=80%,3,IF(P260&lt;=90%,4,5)))),IF(N260=8,IF(P260=1,1,IF(P260=2,2,IF(P260=3,3,IF(P260=4,3,IF(P260=5,4,IF(P260=6,4,IF(P260=7,5,5))))))),IF(N260=7,IF(P260=1,1,IF(P260=2,2,IF(P260=3,3,IF(P260=4,4,IF(P260=5,4,IF(P260=6,5,5)))))),IF(N260=6,IF(P260=1,1,IF(P260=2,2,IF(P260=3,3,IF(P260=4,4,IF(P260=5,5,5))))),IF(N260=5,IF(P260=1,1,IF(P260=2,2,IF(P260=3,3,IF(P260=4,4,5)))),IF(N260=4,IF(P260=1,1,IF(P260=2,2,IF(P260=3,3,4))),IF(N260=3,IF(P260=1,1,IF(P260=2,2,3)),IF(N260=2,IF(P260=1,1,2),IF(N260=1,IF(P260=1,1,"")))))))))),"")</f>
        <v/>
      </c>
      <c r="R260" s="8" t="str">
        <f t="shared" si="80"/>
        <v/>
      </c>
      <c r="S260" s="57" t="str">
        <f>IFERROR(VLOOKUP(A260,'1-2-1 绩效数据'!$G:$I,3,0),"")</f>
        <v/>
      </c>
      <c r="T260" s="8" t="str">
        <f t="shared" si="81"/>
        <v>2</v>
      </c>
      <c r="U260" s="8" t="str">
        <f t="shared" si="90"/>
        <v/>
      </c>
      <c r="V260" s="8" t="str">
        <f t="shared" si="91"/>
        <v/>
      </c>
      <c r="W260" s="58" t="str">
        <f t="shared" si="82"/>
        <v/>
      </c>
      <c r="X260" s="8" t="str">
        <f t="shared" ref="X260:X323" si="94">IF(W260&lt;&gt;"",IF(U260&gt;=10,IF(W260&lt;=10%,1,IF(W260&lt;=20%,2,IF(W260&lt;=80%,3,IF(W260&lt;=90%,4,5)))),IF(U260=8,IF(W260=1,1,IF(W260=2,2,IF(W260=3,3,IF(W260=4,3,IF(W260=5,4,IF(W260=6,4,IF(W260=7,5,5))))))),IF(U260=7,IF(W260=1,1,IF(W260=2,2,IF(W260=3,3,IF(W260=4,4,IF(W260=5,4,IF(W260=6,5,5)))))),IF(U260=6,IF(W260=1,1,IF(W260=2,2,IF(W260=3,3,IF(W260=4,4,IF(W260=5,5,5))))),IF(U260=5,IF(W260=1,1,IF(W260=2,2,IF(W260=3,3,IF(W260=4,4,5)))),IF(U260=4,IF(W260=1,1,IF(W260=2,2,IF(W260=3,3,4))),IF(U260=3,IF(W260=1,1,IF(W260=2,2,3)),IF(U260=2,IF(W260=1,1,2),IF(U260=1,IF(W260=1,1,"")))))))))),"")</f>
        <v/>
      </c>
      <c r="Y260" s="8" t="str">
        <f t="shared" si="83"/>
        <v/>
      </c>
      <c r="Z260" s="57" t="str">
        <f t="shared" si="84"/>
        <v/>
      </c>
    </row>
    <row r="261" spans="1:26" x14ac:dyDescent="0.3">
      <c r="A261" s="8"/>
      <c r="B261" s="70" t="str">
        <f>IFERROR(VLOOKUP('1-2-2 关键绩效'!$A261,'1-1 基本信息'!$A:$K,7,0),"")</f>
        <v/>
      </c>
      <c r="C261" s="8" t="str">
        <f>IFERROR(VLOOKUP($A261,'1-1 基本信息'!$A:$J,10,0),"")</f>
        <v/>
      </c>
      <c r="D261" s="8" t="str">
        <f>IFERROR(VLOOKUP(A261,'1-1 基本信息'!$A:$I,8,0),"")</f>
        <v/>
      </c>
      <c r="E261" s="57" t="str">
        <f>IFERROR(VLOOKUP($A261,'1-2-1 绩效数据'!$A:$C,3,0),"")</f>
        <v/>
      </c>
      <c r="F261" s="8" t="str">
        <f t="shared" si="76"/>
        <v>2</v>
      </c>
      <c r="G261" s="8" t="str">
        <f t="shared" si="86"/>
        <v/>
      </c>
      <c r="H261" s="8" t="str">
        <f t="shared" si="87"/>
        <v/>
      </c>
      <c r="I261" s="58" t="str">
        <f t="shared" si="77"/>
        <v/>
      </c>
      <c r="J261" s="8" t="str">
        <f t="shared" si="92"/>
        <v/>
      </c>
      <c r="K261" s="8" t="str">
        <f t="shared" si="78"/>
        <v/>
      </c>
      <c r="L261" s="57" t="str">
        <f>IFERROR(VLOOKUP($A261,'1-2-1 绩效数据'!$D:$F,3,0),"")</f>
        <v/>
      </c>
      <c r="M261" s="8" t="str">
        <f t="shared" si="85"/>
        <v>2</v>
      </c>
      <c r="N261" s="8" t="str">
        <f t="shared" si="88"/>
        <v/>
      </c>
      <c r="O261" s="8" t="str">
        <f t="shared" si="89"/>
        <v/>
      </c>
      <c r="P261" s="58" t="str">
        <f t="shared" si="79"/>
        <v/>
      </c>
      <c r="Q261" s="8" t="str">
        <f t="shared" si="93"/>
        <v/>
      </c>
      <c r="R261" s="8" t="str">
        <f t="shared" si="80"/>
        <v/>
      </c>
      <c r="S261" s="57" t="str">
        <f>IFERROR(VLOOKUP(A261,'1-2-1 绩效数据'!$G:$I,3,0),"")</f>
        <v/>
      </c>
      <c r="T261" s="8" t="str">
        <f t="shared" si="81"/>
        <v>2</v>
      </c>
      <c r="U261" s="8" t="str">
        <f t="shared" si="90"/>
        <v/>
      </c>
      <c r="V261" s="8" t="str">
        <f t="shared" si="91"/>
        <v/>
      </c>
      <c r="W261" s="58" t="str">
        <f t="shared" si="82"/>
        <v/>
      </c>
      <c r="X261" s="8" t="str">
        <f t="shared" si="94"/>
        <v/>
      </c>
      <c r="Y261" s="8" t="str">
        <f t="shared" si="83"/>
        <v/>
      </c>
      <c r="Z261" s="57" t="str">
        <f t="shared" si="84"/>
        <v/>
      </c>
    </row>
    <row r="262" spans="1:26" x14ac:dyDescent="0.3">
      <c r="A262" s="8"/>
      <c r="B262" s="70" t="str">
        <f>IFERROR(VLOOKUP('1-2-2 关键绩效'!$A262,'1-1 基本信息'!$A:$K,7,0),"")</f>
        <v/>
      </c>
      <c r="C262" s="8" t="str">
        <f>IFERROR(VLOOKUP($A262,'1-1 基本信息'!$A:$J,10,0),"")</f>
        <v/>
      </c>
      <c r="D262" s="8" t="str">
        <f>IFERROR(VLOOKUP(A262,'1-1 基本信息'!$A:$I,8,0),"")</f>
        <v/>
      </c>
      <c r="E262" s="57" t="str">
        <f>IFERROR(VLOOKUP($A262,'1-2-1 绩效数据'!$A:$C,3,0),"")</f>
        <v/>
      </c>
      <c r="F262" s="8" t="str">
        <f t="shared" ref="F262:F325" si="95">IF(E262&lt;&gt;"","1","2")</f>
        <v>2</v>
      </c>
      <c r="G262" s="8" t="str">
        <f t="shared" si="86"/>
        <v/>
      </c>
      <c r="H262" s="8" t="str">
        <f t="shared" si="87"/>
        <v/>
      </c>
      <c r="I262" s="58" t="str">
        <f t="shared" ref="I262:I325" si="96">IFERROR(H262/G262,"")</f>
        <v/>
      </c>
      <c r="J262" s="8" t="str">
        <f t="shared" si="92"/>
        <v/>
      </c>
      <c r="K262" s="8" t="str">
        <f t="shared" ref="K262:K325" si="97">IF(J262&lt;&gt;"",IF(J262=1,100,IF(J262=2,90,IF(J262=3,80,IF(J262=4,70,IF(J262=5,60))))),"")</f>
        <v/>
      </c>
      <c r="L262" s="57" t="str">
        <f>IFERROR(VLOOKUP($A262,'1-2-1 绩效数据'!$D:$F,3,0),"")</f>
        <v/>
      </c>
      <c r="M262" s="8" t="str">
        <f t="shared" si="85"/>
        <v>2</v>
      </c>
      <c r="N262" s="8" t="str">
        <f t="shared" si="88"/>
        <v/>
      </c>
      <c r="O262" s="8" t="str">
        <f t="shared" si="89"/>
        <v/>
      </c>
      <c r="P262" s="58" t="str">
        <f t="shared" ref="P262:P325" si="98">IFERROR(O262/N262,"")</f>
        <v/>
      </c>
      <c r="Q262" s="8" t="str">
        <f t="shared" si="93"/>
        <v/>
      </c>
      <c r="R262" s="8" t="str">
        <f t="shared" ref="R262:R325" si="99">IF(Q262&lt;&gt;"",IF(Q262=1,100,IF(Q262=2,90,IF(Q262=3,80,IF(Q262=4,70,IF(Q262=5,60))))),"")</f>
        <v/>
      </c>
      <c r="S262" s="57" t="str">
        <f>IFERROR(VLOOKUP(A262,'1-2-1 绩效数据'!$G:$I,3,0),"")</f>
        <v/>
      </c>
      <c r="T262" s="8" t="str">
        <f t="shared" ref="T262:T325" si="100">IF(S262&lt;&gt;"","1","2")</f>
        <v>2</v>
      </c>
      <c r="U262" s="8" t="str">
        <f t="shared" si="90"/>
        <v/>
      </c>
      <c r="V262" s="8" t="str">
        <f t="shared" si="91"/>
        <v/>
      </c>
      <c r="W262" s="58" t="str">
        <f t="shared" ref="W262:W325" si="101">IFERROR(V262/U262,"")</f>
        <v/>
      </c>
      <c r="X262" s="8" t="str">
        <f t="shared" si="94"/>
        <v/>
      </c>
      <c r="Y262" s="8" t="str">
        <f t="shared" ref="Y262:Y325" si="102">IF(X262&lt;&gt;"",IF(X262=1,100,IF(X262=2,90,IF(X262=3,80,IF(X262=4,70,IF(X262=5,60))))),"")</f>
        <v/>
      </c>
      <c r="Z262" s="57" t="str">
        <f t="shared" ref="Z262:Z325" si="103">IFERROR(AVERAGE(K262,R262,Y262),"")</f>
        <v/>
      </c>
    </row>
    <row r="263" spans="1:26" x14ac:dyDescent="0.3">
      <c r="A263" s="8"/>
      <c r="B263" s="70" t="str">
        <f>IFERROR(VLOOKUP('1-2-2 关键绩效'!$A263,'1-1 基本信息'!$A:$K,7,0),"")</f>
        <v/>
      </c>
      <c r="C263" s="8" t="str">
        <f>IFERROR(VLOOKUP($A263,'1-1 基本信息'!$A:$J,10,0),"")</f>
        <v/>
      </c>
      <c r="D263" s="8" t="str">
        <f>IFERROR(VLOOKUP(A263,'1-1 基本信息'!$A:$I,8,0),"")</f>
        <v/>
      </c>
      <c r="E263" s="57" t="str">
        <f>IFERROR(VLOOKUP($A263,'1-2-1 绩效数据'!$A:$C,3,0),"")</f>
        <v/>
      </c>
      <c r="F263" s="8" t="str">
        <f t="shared" si="95"/>
        <v>2</v>
      </c>
      <c r="G263" s="8" t="str">
        <f t="shared" si="86"/>
        <v/>
      </c>
      <c r="H263" s="8" t="str">
        <f t="shared" si="87"/>
        <v/>
      </c>
      <c r="I263" s="58" t="str">
        <f t="shared" si="96"/>
        <v/>
      </c>
      <c r="J263" s="8" t="str">
        <f t="shared" si="92"/>
        <v/>
      </c>
      <c r="K263" s="8" t="str">
        <f t="shared" si="97"/>
        <v/>
      </c>
      <c r="L263" s="57" t="str">
        <f>IFERROR(VLOOKUP($A263,'1-2-1 绩效数据'!$D:$F,3,0),"")</f>
        <v/>
      </c>
      <c r="M263" s="8" t="str">
        <f t="shared" ref="M263:M326" si="104">IF($L263&lt;&gt;"","1","2")</f>
        <v>2</v>
      </c>
      <c r="N263" s="8" t="str">
        <f t="shared" si="88"/>
        <v/>
      </c>
      <c r="O263" s="8" t="str">
        <f t="shared" si="89"/>
        <v/>
      </c>
      <c r="P263" s="58" t="str">
        <f t="shared" si="98"/>
        <v/>
      </c>
      <c r="Q263" s="8" t="str">
        <f t="shared" si="93"/>
        <v/>
      </c>
      <c r="R263" s="8" t="str">
        <f t="shared" si="99"/>
        <v/>
      </c>
      <c r="S263" s="57" t="str">
        <f>IFERROR(VLOOKUP(A263,'1-2-1 绩效数据'!$G:$I,3,0),"")</f>
        <v/>
      </c>
      <c r="T263" s="8" t="str">
        <f t="shared" si="100"/>
        <v>2</v>
      </c>
      <c r="U263" s="8" t="str">
        <f t="shared" si="90"/>
        <v/>
      </c>
      <c r="V263" s="8" t="str">
        <f t="shared" si="91"/>
        <v/>
      </c>
      <c r="W263" s="58" t="str">
        <f t="shared" si="101"/>
        <v/>
      </c>
      <c r="X263" s="8" t="str">
        <f t="shared" si="94"/>
        <v/>
      </c>
      <c r="Y263" s="8" t="str">
        <f t="shared" si="102"/>
        <v/>
      </c>
      <c r="Z263" s="57" t="str">
        <f t="shared" si="103"/>
        <v/>
      </c>
    </row>
    <row r="264" spans="1:26" x14ac:dyDescent="0.3">
      <c r="A264" s="8"/>
      <c r="B264" s="70" t="str">
        <f>IFERROR(VLOOKUP('1-2-2 关键绩效'!$A264,'1-1 基本信息'!$A:$K,7,0),"")</f>
        <v/>
      </c>
      <c r="C264" s="8" t="str">
        <f>IFERROR(VLOOKUP($A264,'1-1 基本信息'!$A:$J,10,0),"")</f>
        <v/>
      </c>
      <c r="D264" s="8" t="str">
        <f>IFERROR(VLOOKUP(A264,'1-1 基本信息'!$A:$I,8,0),"")</f>
        <v/>
      </c>
      <c r="E264" s="57" t="str">
        <f>IFERROR(VLOOKUP($A264,'1-2-1 绩效数据'!$A:$C,3,0),"")</f>
        <v/>
      </c>
      <c r="F264" s="8" t="str">
        <f t="shared" si="95"/>
        <v>2</v>
      </c>
      <c r="G264" s="8" t="str">
        <f t="shared" si="86"/>
        <v/>
      </c>
      <c r="H264" s="8" t="str">
        <f t="shared" si="87"/>
        <v/>
      </c>
      <c r="I264" s="58" t="str">
        <f t="shared" si="96"/>
        <v/>
      </c>
      <c r="J264" s="8" t="str">
        <f t="shared" si="92"/>
        <v/>
      </c>
      <c r="K264" s="8" t="str">
        <f t="shared" si="97"/>
        <v/>
      </c>
      <c r="L264" s="57" t="str">
        <f>IFERROR(VLOOKUP($A264,'1-2-1 绩效数据'!$D:$F,3,0),"")</f>
        <v/>
      </c>
      <c r="M264" s="8" t="str">
        <f t="shared" si="104"/>
        <v>2</v>
      </c>
      <c r="N264" s="8" t="str">
        <f t="shared" si="88"/>
        <v/>
      </c>
      <c r="O264" s="8" t="str">
        <f t="shared" si="89"/>
        <v/>
      </c>
      <c r="P264" s="58" t="str">
        <f t="shared" si="98"/>
        <v/>
      </c>
      <c r="Q264" s="8" t="str">
        <f t="shared" si="93"/>
        <v/>
      </c>
      <c r="R264" s="8" t="str">
        <f t="shared" si="99"/>
        <v/>
      </c>
      <c r="S264" s="57" t="str">
        <f>IFERROR(VLOOKUP(A264,'1-2-1 绩效数据'!$G:$I,3,0),"")</f>
        <v/>
      </c>
      <c r="T264" s="8" t="str">
        <f t="shared" si="100"/>
        <v>2</v>
      </c>
      <c r="U264" s="8" t="str">
        <f t="shared" si="90"/>
        <v/>
      </c>
      <c r="V264" s="8" t="str">
        <f t="shared" si="91"/>
        <v/>
      </c>
      <c r="W264" s="58" t="str">
        <f t="shared" si="101"/>
        <v/>
      </c>
      <c r="X264" s="8" t="str">
        <f t="shared" si="94"/>
        <v/>
      </c>
      <c r="Y264" s="8" t="str">
        <f t="shared" si="102"/>
        <v/>
      </c>
      <c r="Z264" s="57" t="str">
        <f t="shared" si="103"/>
        <v/>
      </c>
    </row>
    <row r="265" spans="1:26" x14ac:dyDescent="0.3">
      <c r="A265" s="8"/>
      <c r="B265" s="70" t="str">
        <f>IFERROR(VLOOKUP('1-2-2 关键绩效'!$A265,'1-1 基本信息'!$A:$K,7,0),"")</f>
        <v/>
      </c>
      <c r="C265" s="8" t="str">
        <f>IFERROR(VLOOKUP($A265,'1-1 基本信息'!$A:$J,10,0),"")</f>
        <v/>
      </c>
      <c r="D265" s="8" t="str">
        <f>IFERROR(VLOOKUP(A265,'1-1 基本信息'!$A:$I,8,0),"")</f>
        <v/>
      </c>
      <c r="E265" s="57" t="str">
        <f>IFERROR(VLOOKUP($A265,'1-2-1 绩效数据'!$A:$C,3,0),"")</f>
        <v/>
      </c>
      <c r="F265" s="8" t="str">
        <f t="shared" si="95"/>
        <v>2</v>
      </c>
      <c r="G265" s="8" t="str">
        <f t="shared" si="86"/>
        <v/>
      </c>
      <c r="H265" s="8" t="str">
        <f t="shared" si="87"/>
        <v/>
      </c>
      <c r="I265" s="58" t="str">
        <f t="shared" si="96"/>
        <v/>
      </c>
      <c r="J265" s="8" t="str">
        <f t="shared" si="92"/>
        <v/>
      </c>
      <c r="K265" s="8" t="str">
        <f t="shared" si="97"/>
        <v/>
      </c>
      <c r="L265" s="57" t="str">
        <f>IFERROR(VLOOKUP($A265,'1-2-1 绩效数据'!$D:$F,3,0),"")</f>
        <v/>
      </c>
      <c r="M265" s="8" t="str">
        <f t="shared" si="104"/>
        <v>2</v>
      </c>
      <c r="N265" s="8" t="str">
        <f t="shared" si="88"/>
        <v/>
      </c>
      <c r="O265" s="8" t="str">
        <f t="shared" si="89"/>
        <v/>
      </c>
      <c r="P265" s="58" t="str">
        <f t="shared" si="98"/>
        <v/>
      </c>
      <c r="Q265" s="8" t="str">
        <f t="shared" si="93"/>
        <v/>
      </c>
      <c r="R265" s="8" t="str">
        <f t="shared" si="99"/>
        <v/>
      </c>
      <c r="S265" s="57" t="str">
        <f>IFERROR(VLOOKUP(A265,'1-2-1 绩效数据'!$G:$I,3,0),"")</f>
        <v/>
      </c>
      <c r="T265" s="8" t="str">
        <f t="shared" si="100"/>
        <v>2</v>
      </c>
      <c r="U265" s="8" t="str">
        <f t="shared" si="90"/>
        <v/>
      </c>
      <c r="V265" s="8" t="str">
        <f t="shared" si="91"/>
        <v/>
      </c>
      <c r="W265" s="58" t="str">
        <f t="shared" si="101"/>
        <v/>
      </c>
      <c r="X265" s="8" t="str">
        <f t="shared" si="94"/>
        <v/>
      </c>
      <c r="Y265" s="8" t="str">
        <f t="shared" si="102"/>
        <v/>
      </c>
      <c r="Z265" s="57" t="str">
        <f t="shared" si="103"/>
        <v/>
      </c>
    </row>
    <row r="266" spans="1:26" x14ac:dyDescent="0.3">
      <c r="A266" s="8"/>
      <c r="B266" s="70" t="str">
        <f>IFERROR(VLOOKUP('1-2-2 关键绩效'!$A266,'1-1 基本信息'!$A:$K,7,0),"")</f>
        <v/>
      </c>
      <c r="C266" s="8" t="str">
        <f>IFERROR(VLOOKUP($A266,'1-1 基本信息'!$A:$J,10,0),"")</f>
        <v/>
      </c>
      <c r="D266" s="8" t="str">
        <f>IFERROR(VLOOKUP(A266,'1-1 基本信息'!$A:$I,8,0),"")</f>
        <v/>
      </c>
      <c r="E266" s="57" t="str">
        <f>IFERROR(VLOOKUP($A266,'1-2-1 绩效数据'!$A:$C,3,0),"")</f>
        <v/>
      </c>
      <c r="F266" s="8" t="str">
        <f t="shared" si="95"/>
        <v>2</v>
      </c>
      <c r="G266" s="8" t="str">
        <f t="shared" si="86"/>
        <v/>
      </c>
      <c r="H266" s="8" t="str">
        <f t="shared" si="87"/>
        <v/>
      </c>
      <c r="I266" s="58" t="str">
        <f t="shared" si="96"/>
        <v/>
      </c>
      <c r="J266" s="8" t="str">
        <f t="shared" si="92"/>
        <v/>
      </c>
      <c r="K266" s="8" t="str">
        <f t="shared" si="97"/>
        <v/>
      </c>
      <c r="L266" s="57" t="str">
        <f>IFERROR(VLOOKUP($A266,'1-2-1 绩效数据'!$D:$F,3,0),"")</f>
        <v/>
      </c>
      <c r="M266" s="8" t="str">
        <f t="shared" si="104"/>
        <v>2</v>
      </c>
      <c r="N266" s="8" t="str">
        <f t="shared" si="88"/>
        <v/>
      </c>
      <c r="O266" s="8" t="str">
        <f t="shared" si="89"/>
        <v/>
      </c>
      <c r="P266" s="58" t="str">
        <f t="shared" si="98"/>
        <v/>
      </c>
      <c r="Q266" s="8" t="str">
        <f t="shared" si="93"/>
        <v/>
      </c>
      <c r="R266" s="8" t="str">
        <f t="shared" si="99"/>
        <v/>
      </c>
      <c r="S266" s="57" t="str">
        <f>IFERROR(VLOOKUP(A266,'1-2-1 绩效数据'!$G:$I,3,0),"")</f>
        <v/>
      </c>
      <c r="T266" s="8" t="str">
        <f t="shared" si="100"/>
        <v>2</v>
      </c>
      <c r="U266" s="8" t="str">
        <f t="shared" si="90"/>
        <v/>
      </c>
      <c r="V266" s="8" t="str">
        <f t="shared" si="91"/>
        <v/>
      </c>
      <c r="W266" s="58" t="str">
        <f t="shared" si="101"/>
        <v/>
      </c>
      <c r="X266" s="8" t="str">
        <f t="shared" si="94"/>
        <v/>
      </c>
      <c r="Y266" s="8" t="str">
        <f t="shared" si="102"/>
        <v/>
      </c>
      <c r="Z266" s="57" t="str">
        <f t="shared" si="103"/>
        <v/>
      </c>
    </row>
    <row r="267" spans="1:26" x14ac:dyDescent="0.3">
      <c r="A267" s="8"/>
      <c r="B267" s="70" t="str">
        <f>IFERROR(VLOOKUP('1-2-2 关键绩效'!$A267,'1-1 基本信息'!$A:$K,7,0),"")</f>
        <v/>
      </c>
      <c r="C267" s="8" t="str">
        <f>IFERROR(VLOOKUP($A267,'1-1 基本信息'!$A:$J,10,0),"")</f>
        <v/>
      </c>
      <c r="D267" s="8" t="str">
        <f>IFERROR(VLOOKUP(A267,'1-1 基本信息'!$A:$I,8,0),"")</f>
        <v/>
      </c>
      <c r="E267" s="57" t="str">
        <f>IFERROR(VLOOKUP($A267,'1-2-1 绩效数据'!$A:$C,3,0),"")</f>
        <v/>
      </c>
      <c r="F267" s="8" t="str">
        <f t="shared" si="95"/>
        <v>2</v>
      </c>
      <c r="G267" s="8" t="str">
        <f t="shared" si="86"/>
        <v/>
      </c>
      <c r="H267" s="8" t="str">
        <f t="shared" si="87"/>
        <v/>
      </c>
      <c r="I267" s="58" t="str">
        <f t="shared" si="96"/>
        <v/>
      </c>
      <c r="J267" s="8" t="str">
        <f t="shared" si="92"/>
        <v/>
      </c>
      <c r="K267" s="8" t="str">
        <f t="shared" si="97"/>
        <v/>
      </c>
      <c r="L267" s="57" t="str">
        <f>IFERROR(VLOOKUP($A267,'1-2-1 绩效数据'!$D:$F,3,0),"")</f>
        <v/>
      </c>
      <c r="M267" s="8" t="str">
        <f t="shared" si="104"/>
        <v>2</v>
      </c>
      <c r="N267" s="8" t="str">
        <f t="shared" si="88"/>
        <v/>
      </c>
      <c r="O267" s="8" t="str">
        <f t="shared" si="89"/>
        <v/>
      </c>
      <c r="P267" s="58" t="str">
        <f t="shared" si="98"/>
        <v/>
      </c>
      <c r="Q267" s="8" t="str">
        <f t="shared" si="93"/>
        <v/>
      </c>
      <c r="R267" s="8" t="str">
        <f t="shared" si="99"/>
        <v/>
      </c>
      <c r="S267" s="57" t="str">
        <f>IFERROR(VLOOKUP(A267,'1-2-1 绩效数据'!$G:$I,3,0),"")</f>
        <v/>
      </c>
      <c r="T267" s="8" t="str">
        <f t="shared" si="100"/>
        <v>2</v>
      </c>
      <c r="U267" s="8" t="str">
        <f t="shared" si="90"/>
        <v/>
      </c>
      <c r="V267" s="8" t="str">
        <f t="shared" si="91"/>
        <v/>
      </c>
      <c r="W267" s="58" t="str">
        <f t="shared" si="101"/>
        <v/>
      </c>
      <c r="X267" s="8" t="str">
        <f t="shared" si="94"/>
        <v/>
      </c>
      <c r="Y267" s="8" t="str">
        <f t="shared" si="102"/>
        <v/>
      </c>
      <c r="Z267" s="57" t="str">
        <f t="shared" si="103"/>
        <v/>
      </c>
    </row>
    <row r="268" spans="1:26" x14ac:dyDescent="0.3">
      <c r="A268" s="8"/>
      <c r="B268" s="70" t="str">
        <f>IFERROR(VLOOKUP('1-2-2 关键绩效'!$A268,'1-1 基本信息'!$A:$K,7,0),"")</f>
        <v/>
      </c>
      <c r="C268" s="8" t="str">
        <f>IFERROR(VLOOKUP($A268,'1-1 基本信息'!$A:$J,10,0),"")</f>
        <v/>
      </c>
      <c r="D268" s="8" t="str">
        <f>IFERROR(VLOOKUP(A268,'1-1 基本信息'!$A:$I,8,0),"")</f>
        <v/>
      </c>
      <c r="E268" s="57" t="str">
        <f>IFERROR(VLOOKUP($A268,'1-2-1 绩效数据'!$A:$C,3,0),"")</f>
        <v/>
      </c>
      <c r="F268" s="8" t="str">
        <f t="shared" si="95"/>
        <v>2</v>
      </c>
      <c r="G268" s="8" t="str">
        <f t="shared" si="86"/>
        <v/>
      </c>
      <c r="H268" s="8" t="str">
        <f t="shared" si="87"/>
        <v/>
      </c>
      <c r="I268" s="58" t="str">
        <f t="shared" si="96"/>
        <v/>
      </c>
      <c r="J268" s="8" t="str">
        <f t="shared" si="92"/>
        <v/>
      </c>
      <c r="K268" s="8" t="str">
        <f t="shared" si="97"/>
        <v/>
      </c>
      <c r="L268" s="57" t="str">
        <f>IFERROR(VLOOKUP($A268,'1-2-1 绩效数据'!$D:$F,3,0),"")</f>
        <v/>
      </c>
      <c r="M268" s="8" t="str">
        <f t="shared" si="104"/>
        <v>2</v>
      </c>
      <c r="N268" s="8" t="str">
        <f t="shared" si="88"/>
        <v/>
      </c>
      <c r="O268" s="8" t="str">
        <f t="shared" si="89"/>
        <v/>
      </c>
      <c r="P268" s="58" t="str">
        <f t="shared" si="98"/>
        <v/>
      </c>
      <c r="Q268" s="8" t="str">
        <f t="shared" si="93"/>
        <v/>
      </c>
      <c r="R268" s="8" t="str">
        <f t="shared" si="99"/>
        <v/>
      </c>
      <c r="S268" s="57" t="str">
        <f>IFERROR(VLOOKUP(A268,'1-2-1 绩效数据'!$G:$I,3,0),"")</f>
        <v/>
      </c>
      <c r="T268" s="8" t="str">
        <f t="shared" si="100"/>
        <v>2</v>
      </c>
      <c r="U268" s="8" t="str">
        <f t="shared" si="90"/>
        <v/>
      </c>
      <c r="V268" s="8" t="str">
        <f t="shared" si="91"/>
        <v/>
      </c>
      <c r="W268" s="58" t="str">
        <f t="shared" si="101"/>
        <v/>
      </c>
      <c r="X268" s="8" t="str">
        <f t="shared" si="94"/>
        <v/>
      </c>
      <c r="Y268" s="8" t="str">
        <f t="shared" si="102"/>
        <v/>
      </c>
      <c r="Z268" s="57" t="str">
        <f t="shared" si="103"/>
        <v/>
      </c>
    </row>
    <row r="269" spans="1:26" x14ac:dyDescent="0.3">
      <c r="A269" s="8"/>
      <c r="B269" s="70" t="str">
        <f>IFERROR(VLOOKUP('1-2-2 关键绩效'!$A269,'1-1 基本信息'!$A:$K,7,0),"")</f>
        <v/>
      </c>
      <c r="C269" s="8" t="str">
        <f>IFERROR(VLOOKUP($A269,'1-1 基本信息'!$A:$J,10,0),"")</f>
        <v/>
      </c>
      <c r="D269" s="8" t="str">
        <f>IFERROR(VLOOKUP(A269,'1-1 基本信息'!$A:$I,8,0),"")</f>
        <v/>
      </c>
      <c r="E269" s="57" t="str">
        <f>IFERROR(VLOOKUP($A269,'1-2-1 绩效数据'!$A:$C,3,0),"")</f>
        <v/>
      </c>
      <c r="F269" s="8" t="str">
        <f t="shared" si="95"/>
        <v>2</v>
      </c>
      <c r="G269" s="8" t="str">
        <f t="shared" si="86"/>
        <v/>
      </c>
      <c r="H269" s="8" t="str">
        <f t="shared" si="87"/>
        <v/>
      </c>
      <c r="I269" s="58" t="str">
        <f t="shared" si="96"/>
        <v/>
      </c>
      <c r="J269" s="8" t="str">
        <f t="shared" si="92"/>
        <v/>
      </c>
      <c r="K269" s="8" t="str">
        <f t="shared" si="97"/>
        <v/>
      </c>
      <c r="L269" s="57" t="str">
        <f>IFERROR(VLOOKUP($A269,'1-2-1 绩效数据'!$D:$F,3,0),"")</f>
        <v/>
      </c>
      <c r="M269" s="8" t="str">
        <f t="shared" si="104"/>
        <v>2</v>
      </c>
      <c r="N269" s="8" t="str">
        <f t="shared" si="88"/>
        <v/>
      </c>
      <c r="O269" s="8" t="str">
        <f t="shared" si="89"/>
        <v/>
      </c>
      <c r="P269" s="58" t="str">
        <f t="shared" si="98"/>
        <v/>
      </c>
      <c r="Q269" s="8" t="str">
        <f t="shared" si="93"/>
        <v/>
      </c>
      <c r="R269" s="8" t="str">
        <f t="shared" si="99"/>
        <v/>
      </c>
      <c r="S269" s="57" t="str">
        <f>IFERROR(VLOOKUP(A269,'1-2-1 绩效数据'!$G:$I,3,0),"")</f>
        <v/>
      </c>
      <c r="T269" s="8" t="str">
        <f t="shared" si="100"/>
        <v>2</v>
      </c>
      <c r="U269" s="8" t="str">
        <f t="shared" si="90"/>
        <v/>
      </c>
      <c r="V269" s="8" t="str">
        <f t="shared" si="91"/>
        <v/>
      </c>
      <c r="W269" s="58" t="str">
        <f t="shared" si="101"/>
        <v/>
      </c>
      <c r="X269" s="8" t="str">
        <f t="shared" si="94"/>
        <v/>
      </c>
      <c r="Y269" s="8" t="str">
        <f t="shared" si="102"/>
        <v/>
      </c>
      <c r="Z269" s="57" t="str">
        <f t="shared" si="103"/>
        <v/>
      </c>
    </row>
    <row r="270" spans="1:26" x14ac:dyDescent="0.3">
      <c r="A270" s="8"/>
      <c r="B270" s="70" t="str">
        <f>IFERROR(VLOOKUP('1-2-2 关键绩效'!$A270,'1-1 基本信息'!$A:$K,7,0),"")</f>
        <v/>
      </c>
      <c r="C270" s="8" t="str">
        <f>IFERROR(VLOOKUP($A270,'1-1 基本信息'!$A:$J,10,0),"")</f>
        <v/>
      </c>
      <c r="D270" s="8" t="str">
        <f>IFERROR(VLOOKUP(A270,'1-1 基本信息'!$A:$I,8,0),"")</f>
        <v/>
      </c>
      <c r="E270" s="57" t="str">
        <f>IFERROR(VLOOKUP($A270,'1-2-1 绩效数据'!$A:$C,3,0),"")</f>
        <v/>
      </c>
      <c r="F270" s="8" t="str">
        <f t="shared" si="95"/>
        <v>2</v>
      </c>
      <c r="G270" s="8" t="str">
        <f t="shared" si="86"/>
        <v/>
      </c>
      <c r="H270" s="8" t="str">
        <f t="shared" si="87"/>
        <v/>
      </c>
      <c r="I270" s="58" t="str">
        <f t="shared" si="96"/>
        <v/>
      </c>
      <c r="J270" s="8" t="str">
        <f t="shared" si="92"/>
        <v/>
      </c>
      <c r="K270" s="8" t="str">
        <f t="shared" si="97"/>
        <v/>
      </c>
      <c r="L270" s="57" t="str">
        <f>IFERROR(VLOOKUP($A270,'1-2-1 绩效数据'!$D:$F,3,0),"")</f>
        <v/>
      </c>
      <c r="M270" s="8" t="str">
        <f t="shared" si="104"/>
        <v>2</v>
      </c>
      <c r="N270" s="8" t="str">
        <f t="shared" si="88"/>
        <v/>
      </c>
      <c r="O270" s="8" t="str">
        <f t="shared" si="89"/>
        <v/>
      </c>
      <c r="P270" s="58" t="str">
        <f t="shared" si="98"/>
        <v/>
      </c>
      <c r="Q270" s="8" t="str">
        <f t="shared" si="93"/>
        <v/>
      </c>
      <c r="R270" s="8" t="str">
        <f t="shared" si="99"/>
        <v/>
      </c>
      <c r="S270" s="57" t="str">
        <f>IFERROR(VLOOKUP(A270,'1-2-1 绩效数据'!$G:$I,3,0),"")</f>
        <v/>
      </c>
      <c r="T270" s="8" t="str">
        <f t="shared" si="100"/>
        <v>2</v>
      </c>
      <c r="U270" s="8" t="str">
        <f t="shared" si="90"/>
        <v/>
      </c>
      <c r="V270" s="8" t="str">
        <f t="shared" si="91"/>
        <v/>
      </c>
      <c r="W270" s="58" t="str">
        <f t="shared" si="101"/>
        <v/>
      </c>
      <c r="X270" s="8" t="str">
        <f t="shared" si="94"/>
        <v/>
      </c>
      <c r="Y270" s="8" t="str">
        <f t="shared" si="102"/>
        <v/>
      </c>
      <c r="Z270" s="57" t="str">
        <f t="shared" si="103"/>
        <v/>
      </c>
    </row>
    <row r="271" spans="1:26" x14ac:dyDescent="0.3">
      <c r="A271" s="8"/>
      <c r="B271" s="70" t="str">
        <f>IFERROR(VLOOKUP('1-2-2 关键绩效'!$A271,'1-1 基本信息'!$A:$K,7,0),"")</f>
        <v/>
      </c>
      <c r="C271" s="8" t="str">
        <f>IFERROR(VLOOKUP($A271,'1-1 基本信息'!$A:$J,10,0),"")</f>
        <v/>
      </c>
      <c r="D271" s="8" t="str">
        <f>IFERROR(VLOOKUP(A271,'1-1 基本信息'!$A:$I,8,0),"")</f>
        <v/>
      </c>
      <c r="E271" s="57" t="str">
        <f>IFERROR(VLOOKUP($A271,'1-2-1 绩效数据'!$A:$C,3,0),"")</f>
        <v/>
      </c>
      <c r="F271" s="8" t="str">
        <f t="shared" si="95"/>
        <v>2</v>
      </c>
      <c r="G271" s="8" t="str">
        <f t="shared" si="86"/>
        <v/>
      </c>
      <c r="H271" s="8" t="str">
        <f t="shared" si="87"/>
        <v/>
      </c>
      <c r="I271" s="58" t="str">
        <f t="shared" si="96"/>
        <v/>
      </c>
      <c r="J271" s="8" t="str">
        <f t="shared" si="92"/>
        <v/>
      </c>
      <c r="K271" s="8" t="str">
        <f t="shared" si="97"/>
        <v/>
      </c>
      <c r="L271" s="57" t="str">
        <f>IFERROR(VLOOKUP($A271,'1-2-1 绩效数据'!$D:$F,3,0),"")</f>
        <v/>
      </c>
      <c r="M271" s="8" t="str">
        <f t="shared" si="104"/>
        <v>2</v>
      </c>
      <c r="N271" s="8" t="str">
        <f t="shared" si="88"/>
        <v/>
      </c>
      <c r="O271" s="8" t="str">
        <f t="shared" si="89"/>
        <v/>
      </c>
      <c r="P271" s="58" t="str">
        <f t="shared" si="98"/>
        <v/>
      </c>
      <c r="Q271" s="8" t="str">
        <f t="shared" si="93"/>
        <v/>
      </c>
      <c r="R271" s="8" t="str">
        <f t="shared" si="99"/>
        <v/>
      </c>
      <c r="S271" s="57" t="str">
        <f>IFERROR(VLOOKUP(A271,'1-2-1 绩效数据'!$G:$I,3,0),"")</f>
        <v/>
      </c>
      <c r="T271" s="8" t="str">
        <f t="shared" si="100"/>
        <v>2</v>
      </c>
      <c r="U271" s="8" t="str">
        <f t="shared" si="90"/>
        <v/>
      </c>
      <c r="V271" s="8" t="str">
        <f t="shared" si="91"/>
        <v/>
      </c>
      <c r="W271" s="58" t="str">
        <f t="shared" si="101"/>
        <v/>
      </c>
      <c r="X271" s="8" t="str">
        <f t="shared" si="94"/>
        <v/>
      </c>
      <c r="Y271" s="8" t="str">
        <f t="shared" si="102"/>
        <v/>
      </c>
      <c r="Z271" s="57" t="str">
        <f t="shared" si="103"/>
        <v/>
      </c>
    </row>
    <row r="272" spans="1:26" x14ac:dyDescent="0.3">
      <c r="A272" s="8"/>
      <c r="B272" s="70" t="str">
        <f>IFERROR(VLOOKUP('1-2-2 关键绩效'!$A272,'1-1 基本信息'!$A:$K,7,0),"")</f>
        <v/>
      </c>
      <c r="C272" s="8" t="str">
        <f>IFERROR(VLOOKUP($A272,'1-1 基本信息'!$A:$J,10,0),"")</f>
        <v/>
      </c>
      <c r="D272" s="8" t="str">
        <f>IFERROR(VLOOKUP(A272,'1-1 基本信息'!$A:$I,8,0),"")</f>
        <v/>
      </c>
      <c r="E272" s="57" t="str">
        <f>IFERROR(VLOOKUP($A272,'1-2-1 绩效数据'!$A:$C,3,0),"")</f>
        <v/>
      </c>
      <c r="F272" s="8" t="str">
        <f t="shared" si="95"/>
        <v>2</v>
      </c>
      <c r="G272" s="8" t="str">
        <f t="shared" si="86"/>
        <v/>
      </c>
      <c r="H272" s="8" t="str">
        <f t="shared" si="87"/>
        <v/>
      </c>
      <c r="I272" s="58" t="str">
        <f t="shared" si="96"/>
        <v/>
      </c>
      <c r="J272" s="8" t="str">
        <f t="shared" si="92"/>
        <v/>
      </c>
      <c r="K272" s="8" t="str">
        <f t="shared" si="97"/>
        <v/>
      </c>
      <c r="L272" s="57" t="str">
        <f>IFERROR(VLOOKUP($A272,'1-2-1 绩效数据'!$D:$F,3,0),"")</f>
        <v/>
      </c>
      <c r="M272" s="8" t="str">
        <f t="shared" si="104"/>
        <v>2</v>
      </c>
      <c r="N272" s="8" t="str">
        <f t="shared" si="88"/>
        <v/>
      </c>
      <c r="O272" s="8" t="str">
        <f t="shared" si="89"/>
        <v/>
      </c>
      <c r="P272" s="58" t="str">
        <f t="shared" si="98"/>
        <v/>
      </c>
      <c r="Q272" s="8" t="str">
        <f t="shared" si="93"/>
        <v/>
      </c>
      <c r="R272" s="8" t="str">
        <f t="shared" si="99"/>
        <v/>
      </c>
      <c r="S272" s="57" t="str">
        <f>IFERROR(VLOOKUP(A272,'1-2-1 绩效数据'!$G:$I,3,0),"")</f>
        <v/>
      </c>
      <c r="T272" s="8" t="str">
        <f t="shared" si="100"/>
        <v>2</v>
      </c>
      <c r="U272" s="8" t="str">
        <f t="shared" si="90"/>
        <v/>
      </c>
      <c r="V272" s="8" t="str">
        <f t="shared" si="91"/>
        <v/>
      </c>
      <c r="W272" s="58" t="str">
        <f t="shared" si="101"/>
        <v/>
      </c>
      <c r="X272" s="8" t="str">
        <f t="shared" si="94"/>
        <v/>
      </c>
      <c r="Y272" s="8" t="str">
        <f t="shared" si="102"/>
        <v/>
      </c>
      <c r="Z272" s="57" t="str">
        <f t="shared" si="103"/>
        <v/>
      </c>
    </row>
    <row r="273" spans="1:26" x14ac:dyDescent="0.3">
      <c r="A273" s="8"/>
      <c r="B273" s="70" t="str">
        <f>IFERROR(VLOOKUP('1-2-2 关键绩效'!$A273,'1-1 基本信息'!$A:$K,7,0),"")</f>
        <v/>
      </c>
      <c r="C273" s="8" t="str">
        <f>IFERROR(VLOOKUP($A273,'1-1 基本信息'!$A:$J,10,0),"")</f>
        <v/>
      </c>
      <c r="D273" s="8" t="str">
        <f>IFERROR(VLOOKUP(A273,'1-1 基本信息'!$A:$I,8,0),"")</f>
        <v/>
      </c>
      <c r="E273" s="57" t="str">
        <f>IFERROR(VLOOKUP($A273,'1-2-1 绩效数据'!$A:$C,3,0),"")</f>
        <v/>
      </c>
      <c r="F273" s="8" t="str">
        <f t="shared" si="95"/>
        <v>2</v>
      </c>
      <c r="G273" s="8" t="str">
        <f t="shared" si="86"/>
        <v/>
      </c>
      <c r="H273" s="8" t="str">
        <f t="shared" si="87"/>
        <v/>
      </c>
      <c r="I273" s="58" t="str">
        <f t="shared" si="96"/>
        <v/>
      </c>
      <c r="J273" s="8" t="str">
        <f t="shared" si="92"/>
        <v/>
      </c>
      <c r="K273" s="8" t="str">
        <f t="shared" si="97"/>
        <v/>
      </c>
      <c r="L273" s="57" t="str">
        <f>IFERROR(VLOOKUP($A273,'1-2-1 绩效数据'!$D:$F,3,0),"")</f>
        <v/>
      </c>
      <c r="M273" s="8" t="str">
        <f t="shared" si="104"/>
        <v>2</v>
      </c>
      <c r="N273" s="8" t="str">
        <f t="shared" si="88"/>
        <v/>
      </c>
      <c r="O273" s="8" t="str">
        <f t="shared" si="89"/>
        <v/>
      </c>
      <c r="P273" s="58" t="str">
        <f t="shared" si="98"/>
        <v/>
      </c>
      <c r="Q273" s="8" t="str">
        <f t="shared" si="93"/>
        <v/>
      </c>
      <c r="R273" s="8" t="str">
        <f t="shared" si="99"/>
        <v/>
      </c>
      <c r="S273" s="57" t="str">
        <f>IFERROR(VLOOKUP(A273,'1-2-1 绩效数据'!$G:$I,3,0),"")</f>
        <v/>
      </c>
      <c r="T273" s="8" t="str">
        <f t="shared" si="100"/>
        <v>2</v>
      </c>
      <c r="U273" s="8" t="str">
        <f t="shared" si="90"/>
        <v/>
      </c>
      <c r="V273" s="8" t="str">
        <f t="shared" si="91"/>
        <v/>
      </c>
      <c r="W273" s="58" t="str">
        <f t="shared" si="101"/>
        <v/>
      </c>
      <c r="X273" s="8" t="str">
        <f t="shared" si="94"/>
        <v/>
      </c>
      <c r="Y273" s="8" t="str">
        <f t="shared" si="102"/>
        <v/>
      </c>
      <c r="Z273" s="57" t="str">
        <f t="shared" si="103"/>
        <v/>
      </c>
    </row>
    <row r="274" spans="1:26" x14ac:dyDescent="0.3">
      <c r="A274" s="8"/>
      <c r="B274" s="70" t="str">
        <f>IFERROR(VLOOKUP('1-2-2 关键绩效'!$A274,'1-1 基本信息'!$A:$K,7,0),"")</f>
        <v/>
      </c>
      <c r="C274" s="8" t="str">
        <f>IFERROR(VLOOKUP($A274,'1-1 基本信息'!$A:$J,10,0),"")</f>
        <v/>
      </c>
      <c r="D274" s="8" t="str">
        <f>IFERROR(VLOOKUP(A274,'1-1 基本信息'!$A:$I,8,0),"")</f>
        <v/>
      </c>
      <c r="E274" s="57" t="str">
        <f>IFERROR(VLOOKUP($A274,'1-2-1 绩效数据'!$A:$C,3,0),"")</f>
        <v/>
      </c>
      <c r="F274" s="8" t="str">
        <f t="shared" si="95"/>
        <v>2</v>
      </c>
      <c r="G274" s="8" t="str">
        <f t="shared" si="86"/>
        <v/>
      </c>
      <c r="H274" s="8" t="str">
        <f t="shared" si="87"/>
        <v/>
      </c>
      <c r="I274" s="58" t="str">
        <f t="shared" si="96"/>
        <v/>
      </c>
      <c r="J274" s="8" t="str">
        <f t="shared" si="92"/>
        <v/>
      </c>
      <c r="K274" s="8" t="str">
        <f t="shared" si="97"/>
        <v/>
      </c>
      <c r="L274" s="57" t="str">
        <f>IFERROR(VLOOKUP($A274,'1-2-1 绩效数据'!$D:$F,3,0),"")</f>
        <v/>
      </c>
      <c r="M274" s="8" t="str">
        <f t="shared" si="104"/>
        <v>2</v>
      </c>
      <c r="N274" s="8" t="str">
        <f t="shared" si="88"/>
        <v/>
      </c>
      <c r="O274" s="8" t="str">
        <f t="shared" si="89"/>
        <v/>
      </c>
      <c r="P274" s="58" t="str">
        <f t="shared" si="98"/>
        <v/>
      </c>
      <c r="Q274" s="8" t="str">
        <f t="shared" si="93"/>
        <v/>
      </c>
      <c r="R274" s="8" t="str">
        <f t="shared" si="99"/>
        <v/>
      </c>
      <c r="S274" s="57" t="str">
        <f>IFERROR(VLOOKUP(A274,'1-2-1 绩效数据'!$G:$I,3,0),"")</f>
        <v/>
      </c>
      <c r="T274" s="8" t="str">
        <f t="shared" si="100"/>
        <v>2</v>
      </c>
      <c r="U274" s="8" t="str">
        <f t="shared" si="90"/>
        <v/>
      </c>
      <c r="V274" s="8" t="str">
        <f t="shared" si="91"/>
        <v/>
      </c>
      <c r="W274" s="58" t="str">
        <f t="shared" si="101"/>
        <v/>
      </c>
      <c r="X274" s="8" t="str">
        <f t="shared" si="94"/>
        <v/>
      </c>
      <c r="Y274" s="8" t="str">
        <f t="shared" si="102"/>
        <v/>
      </c>
      <c r="Z274" s="57" t="str">
        <f t="shared" si="103"/>
        <v/>
      </c>
    </row>
    <row r="275" spans="1:26" x14ac:dyDescent="0.3">
      <c r="A275" s="8"/>
      <c r="B275" s="70" t="str">
        <f>IFERROR(VLOOKUP('1-2-2 关键绩效'!$A275,'1-1 基本信息'!$A:$K,7,0),"")</f>
        <v/>
      </c>
      <c r="C275" s="8" t="str">
        <f>IFERROR(VLOOKUP($A275,'1-1 基本信息'!$A:$J,10,0),"")</f>
        <v/>
      </c>
      <c r="D275" s="8" t="str">
        <f>IFERROR(VLOOKUP(A275,'1-1 基本信息'!$A:$I,8,0),"")</f>
        <v/>
      </c>
      <c r="E275" s="57" t="str">
        <f>IFERROR(VLOOKUP($A275,'1-2-1 绩效数据'!$A:$C,3,0),"")</f>
        <v/>
      </c>
      <c r="F275" s="8" t="str">
        <f t="shared" si="95"/>
        <v>2</v>
      </c>
      <c r="G275" s="8" t="str">
        <f t="shared" si="86"/>
        <v/>
      </c>
      <c r="H275" s="8" t="str">
        <f t="shared" si="87"/>
        <v/>
      </c>
      <c r="I275" s="58" t="str">
        <f t="shared" si="96"/>
        <v/>
      </c>
      <c r="J275" s="8" t="str">
        <f t="shared" si="92"/>
        <v/>
      </c>
      <c r="K275" s="8" t="str">
        <f t="shared" si="97"/>
        <v/>
      </c>
      <c r="L275" s="57" t="str">
        <f>IFERROR(VLOOKUP($A275,'1-2-1 绩效数据'!$D:$F,3,0),"")</f>
        <v/>
      </c>
      <c r="M275" s="8" t="str">
        <f t="shared" si="104"/>
        <v>2</v>
      </c>
      <c r="N275" s="8" t="str">
        <f t="shared" si="88"/>
        <v/>
      </c>
      <c r="O275" s="8" t="str">
        <f t="shared" si="89"/>
        <v/>
      </c>
      <c r="P275" s="58" t="str">
        <f t="shared" si="98"/>
        <v/>
      </c>
      <c r="Q275" s="8" t="str">
        <f t="shared" si="93"/>
        <v/>
      </c>
      <c r="R275" s="8" t="str">
        <f t="shared" si="99"/>
        <v/>
      </c>
      <c r="S275" s="57" t="str">
        <f>IFERROR(VLOOKUP(A275,'1-2-1 绩效数据'!$G:$I,3,0),"")</f>
        <v/>
      </c>
      <c r="T275" s="8" t="str">
        <f t="shared" si="100"/>
        <v>2</v>
      </c>
      <c r="U275" s="8" t="str">
        <f t="shared" si="90"/>
        <v/>
      </c>
      <c r="V275" s="8" t="str">
        <f t="shared" si="91"/>
        <v/>
      </c>
      <c r="W275" s="58" t="str">
        <f t="shared" si="101"/>
        <v/>
      </c>
      <c r="X275" s="8" t="str">
        <f t="shared" si="94"/>
        <v/>
      </c>
      <c r="Y275" s="8" t="str">
        <f t="shared" si="102"/>
        <v/>
      </c>
      <c r="Z275" s="57" t="str">
        <f t="shared" si="103"/>
        <v/>
      </c>
    </row>
    <row r="276" spans="1:26" x14ac:dyDescent="0.3">
      <c r="A276" s="8"/>
      <c r="B276" s="70" t="str">
        <f>IFERROR(VLOOKUP('1-2-2 关键绩效'!$A276,'1-1 基本信息'!$A:$K,7,0),"")</f>
        <v/>
      </c>
      <c r="C276" s="8" t="str">
        <f>IFERROR(VLOOKUP($A276,'1-1 基本信息'!$A:$J,10,0),"")</f>
        <v/>
      </c>
      <c r="D276" s="8" t="str">
        <f>IFERROR(VLOOKUP(A276,'1-1 基本信息'!$A:$I,8,0),"")</f>
        <v/>
      </c>
      <c r="E276" s="57" t="str">
        <f>IFERROR(VLOOKUP($A276,'1-2-1 绩效数据'!$A:$C,3,0),"")</f>
        <v/>
      </c>
      <c r="F276" s="8" t="str">
        <f t="shared" si="95"/>
        <v>2</v>
      </c>
      <c r="G276" s="8" t="str">
        <f t="shared" si="86"/>
        <v/>
      </c>
      <c r="H276" s="8" t="str">
        <f t="shared" si="87"/>
        <v/>
      </c>
      <c r="I276" s="58" t="str">
        <f t="shared" si="96"/>
        <v/>
      </c>
      <c r="J276" s="8" t="str">
        <f t="shared" si="92"/>
        <v/>
      </c>
      <c r="K276" s="8" t="str">
        <f t="shared" si="97"/>
        <v/>
      </c>
      <c r="L276" s="57" t="str">
        <f>IFERROR(VLOOKUP($A276,'1-2-1 绩效数据'!$D:$F,3,0),"")</f>
        <v/>
      </c>
      <c r="M276" s="8" t="str">
        <f t="shared" si="104"/>
        <v>2</v>
      </c>
      <c r="N276" s="8" t="str">
        <f t="shared" si="88"/>
        <v/>
      </c>
      <c r="O276" s="8" t="str">
        <f t="shared" si="89"/>
        <v/>
      </c>
      <c r="P276" s="58" t="str">
        <f t="shared" si="98"/>
        <v/>
      </c>
      <c r="Q276" s="8" t="str">
        <f t="shared" si="93"/>
        <v/>
      </c>
      <c r="R276" s="8" t="str">
        <f t="shared" si="99"/>
        <v/>
      </c>
      <c r="S276" s="57" t="str">
        <f>IFERROR(VLOOKUP(A276,'1-2-1 绩效数据'!$G:$I,3,0),"")</f>
        <v/>
      </c>
      <c r="T276" s="8" t="str">
        <f t="shared" si="100"/>
        <v>2</v>
      </c>
      <c r="U276" s="8" t="str">
        <f t="shared" si="90"/>
        <v/>
      </c>
      <c r="V276" s="8" t="str">
        <f t="shared" si="91"/>
        <v/>
      </c>
      <c r="W276" s="58" t="str">
        <f t="shared" si="101"/>
        <v/>
      </c>
      <c r="X276" s="8" t="str">
        <f t="shared" si="94"/>
        <v/>
      </c>
      <c r="Y276" s="8" t="str">
        <f t="shared" si="102"/>
        <v/>
      </c>
      <c r="Z276" s="57" t="str">
        <f t="shared" si="103"/>
        <v/>
      </c>
    </row>
    <row r="277" spans="1:26" x14ac:dyDescent="0.3">
      <c r="A277" s="8"/>
      <c r="B277" s="70" t="str">
        <f>IFERROR(VLOOKUP('1-2-2 关键绩效'!$A277,'1-1 基本信息'!$A:$K,7,0),"")</f>
        <v/>
      </c>
      <c r="C277" s="8" t="str">
        <f>IFERROR(VLOOKUP($A277,'1-1 基本信息'!$A:$J,10,0),"")</f>
        <v/>
      </c>
      <c r="D277" s="8" t="str">
        <f>IFERROR(VLOOKUP(A277,'1-1 基本信息'!$A:$I,8,0),"")</f>
        <v/>
      </c>
      <c r="E277" s="57" t="str">
        <f>IFERROR(VLOOKUP($A277,'1-2-1 绩效数据'!$A:$C,3,0),"")</f>
        <v/>
      </c>
      <c r="F277" s="8" t="str">
        <f t="shared" si="95"/>
        <v>2</v>
      </c>
      <c r="G277" s="8" t="str">
        <f t="shared" si="86"/>
        <v/>
      </c>
      <c r="H277" s="8" t="str">
        <f t="shared" si="87"/>
        <v/>
      </c>
      <c r="I277" s="58" t="str">
        <f t="shared" si="96"/>
        <v/>
      </c>
      <c r="J277" s="8" t="str">
        <f t="shared" si="92"/>
        <v/>
      </c>
      <c r="K277" s="8" t="str">
        <f t="shared" si="97"/>
        <v/>
      </c>
      <c r="L277" s="57" t="str">
        <f>IFERROR(VLOOKUP($A277,'1-2-1 绩效数据'!$D:$F,3,0),"")</f>
        <v/>
      </c>
      <c r="M277" s="8" t="str">
        <f t="shared" si="104"/>
        <v>2</v>
      </c>
      <c r="N277" s="8" t="str">
        <f t="shared" si="88"/>
        <v/>
      </c>
      <c r="O277" s="8" t="str">
        <f t="shared" si="89"/>
        <v/>
      </c>
      <c r="P277" s="58" t="str">
        <f t="shared" si="98"/>
        <v/>
      </c>
      <c r="Q277" s="8" t="str">
        <f t="shared" si="93"/>
        <v/>
      </c>
      <c r="R277" s="8" t="str">
        <f t="shared" si="99"/>
        <v/>
      </c>
      <c r="S277" s="57" t="str">
        <f>IFERROR(VLOOKUP(A277,'1-2-1 绩效数据'!$G:$I,3,0),"")</f>
        <v/>
      </c>
      <c r="T277" s="8" t="str">
        <f t="shared" si="100"/>
        <v>2</v>
      </c>
      <c r="U277" s="8" t="str">
        <f t="shared" si="90"/>
        <v/>
      </c>
      <c r="V277" s="8" t="str">
        <f t="shared" si="91"/>
        <v/>
      </c>
      <c r="W277" s="58" t="str">
        <f t="shared" si="101"/>
        <v/>
      </c>
      <c r="X277" s="8" t="str">
        <f t="shared" si="94"/>
        <v/>
      </c>
      <c r="Y277" s="8" t="str">
        <f t="shared" si="102"/>
        <v/>
      </c>
      <c r="Z277" s="57" t="str">
        <f t="shared" si="103"/>
        <v/>
      </c>
    </row>
    <row r="278" spans="1:26" x14ac:dyDescent="0.3">
      <c r="A278" s="8"/>
      <c r="B278" s="70" t="str">
        <f>IFERROR(VLOOKUP('1-2-2 关键绩效'!$A278,'1-1 基本信息'!$A:$K,7,0),"")</f>
        <v/>
      </c>
      <c r="C278" s="8" t="str">
        <f>IFERROR(VLOOKUP($A278,'1-1 基本信息'!$A:$J,10,0),"")</f>
        <v/>
      </c>
      <c r="D278" s="8" t="str">
        <f>IFERROR(VLOOKUP(A278,'1-1 基本信息'!$A:$I,8,0),"")</f>
        <v/>
      </c>
      <c r="E278" s="57" t="str">
        <f>IFERROR(VLOOKUP($A278,'1-2-1 绩效数据'!$A:$C,3,0),"")</f>
        <v/>
      </c>
      <c r="F278" s="8" t="str">
        <f t="shared" si="95"/>
        <v>2</v>
      </c>
      <c r="G278" s="8" t="str">
        <f t="shared" si="86"/>
        <v/>
      </c>
      <c r="H278" s="8" t="str">
        <f t="shared" si="87"/>
        <v/>
      </c>
      <c r="I278" s="58" t="str">
        <f t="shared" si="96"/>
        <v/>
      </c>
      <c r="J278" s="8" t="str">
        <f t="shared" si="92"/>
        <v/>
      </c>
      <c r="K278" s="8" t="str">
        <f t="shared" si="97"/>
        <v/>
      </c>
      <c r="L278" s="57" t="str">
        <f>IFERROR(VLOOKUP($A278,'1-2-1 绩效数据'!$D:$F,3,0),"")</f>
        <v/>
      </c>
      <c r="M278" s="8" t="str">
        <f t="shared" si="104"/>
        <v>2</v>
      </c>
      <c r="N278" s="8" t="str">
        <f t="shared" si="88"/>
        <v/>
      </c>
      <c r="O278" s="8" t="str">
        <f t="shared" si="89"/>
        <v/>
      </c>
      <c r="P278" s="58" t="str">
        <f t="shared" si="98"/>
        <v/>
      </c>
      <c r="Q278" s="8" t="str">
        <f t="shared" si="93"/>
        <v/>
      </c>
      <c r="R278" s="8" t="str">
        <f t="shared" si="99"/>
        <v/>
      </c>
      <c r="S278" s="57" t="str">
        <f>IFERROR(VLOOKUP(A278,'1-2-1 绩效数据'!$G:$I,3,0),"")</f>
        <v/>
      </c>
      <c r="T278" s="8" t="str">
        <f t="shared" si="100"/>
        <v>2</v>
      </c>
      <c r="U278" s="8" t="str">
        <f t="shared" si="90"/>
        <v/>
      </c>
      <c r="V278" s="8" t="str">
        <f t="shared" si="91"/>
        <v/>
      </c>
      <c r="W278" s="58" t="str">
        <f t="shared" si="101"/>
        <v/>
      </c>
      <c r="X278" s="8" t="str">
        <f t="shared" si="94"/>
        <v/>
      </c>
      <c r="Y278" s="8" t="str">
        <f t="shared" si="102"/>
        <v/>
      </c>
      <c r="Z278" s="57" t="str">
        <f t="shared" si="103"/>
        <v/>
      </c>
    </row>
    <row r="279" spans="1:26" x14ac:dyDescent="0.3">
      <c r="A279" s="8"/>
      <c r="B279" s="70" t="str">
        <f>IFERROR(VLOOKUP('1-2-2 关键绩效'!$A279,'1-1 基本信息'!$A:$K,7,0),"")</f>
        <v/>
      </c>
      <c r="C279" s="8" t="str">
        <f>IFERROR(VLOOKUP($A279,'1-1 基本信息'!$A:$J,10,0),"")</f>
        <v/>
      </c>
      <c r="D279" s="8" t="str">
        <f>IFERROR(VLOOKUP(A279,'1-1 基本信息'!$A:$I,8,0),"")</f>
        <v/>
      </c>
      <c r="E279" s="57" t="str">
        <f>IFERROR(VLOOKUP($A279,'1-2-1 绩效数据'!$A:$C,3,0),"")</f>
        <v/>
      </c>
      <c r="F279" s="8" t="str">
        <f t="shared" si="95"/>
        <v>2</v>
      </c>
      <c r="G279" s="8" t="str">
        <f t="shared" si="86"/>
        <v/>
      </c>
      <c r="H279" s="8" t="str">
        <f t="shared" si="87"/>
        <v/>
      </c>
      <c r="I279" s="58" t="str">
        <f t="shared" si="96"/>
        <v/>
      </c>
      <c r="J279" s="8" t="str">
        <f t="shared" si="92"/>
        <v/>
      </c>
      <c r="K279" s="8" t="str">
        <f t="shared" si="97"/>
        <v/>
      </c>
      <c r="L279" s="57" t="str">
        <f>IFERROR(VLOOKUP($A279,'1-2-1 绩效数据'!$D:$F,3,0),"")</f>
        <v/>
      </c>
      <c r="M279" s="8" t="str">
        <f t="shared" si="104"/>
        <v>2</v>
      </c>
      <c r="N279" s="8" t="str">
        <f t="shared" si="88"/>
        <v/>
      </c>
      <c r="O279" s="8" t="str">
        <f t="shared" si="89"/>
        <v/>
      </c>
      <c r="P279" s="58" t="str">
        <f t="shared" si="98"/>
        <v/>
      </c>
      <c r="Q279" s="8" t="str">
        <f t="shared" si="93"/>
        <v/>
      </c>
      <c r="R279" s="8" t="str">
        <f t="shared" si="99"/>
        <v/>
      </c>
      <c r="S279" s="57" t="str">
        <f>IFERROR(VLOOKUP(A279,'1-2-1 绩效数据'!$G:$I,3,0),"")</f>
        <v/>
      </c>
      <c r="T279" s="8" t="str">
        <f t="shared" si="100"/>
        <v>2</v>
      </c>
      <c r="U279" s="8" t="str">
        <f t="shared" si="90"/>
        <v/>
      </c>
      <c r="V279" s="8" t="str">
        <f t="shared" si="91"/>
        <v/>
      </c>
      <c r="W279" s="58" t="str">
        <f t="shared" si="101"/>
        <v/>
      </c>
      <c r="X279" s="8" t="str">
        <f t="shared" si="94"/>
        <v/>
      </c>
      <c r="Y279" s="8" t="str">
        <f t="shared" si="102"/>
        <v/>
      </c>
      <c r="Z279" s="57" t="str">
        <f t="shared" si="103"/>
        <v/>
      </c>
    </row>
    <row r="280" spans="1:26" x14ac:dyDescent="0.3">
      <c r="A280" s="8"/>
      <c r="B280" s="70" t="str">
        <f>IFERROR(VLOOKUP('1-2-2 关键绩效'!$A280,'1-1 基本信息'!$A:$K,7,0),"")</f>
        <v/>
      </c>
      <c r="C280" s="8" t="str">
        <f>IFERROR(VLOOKUP($A280,'1-1 基本信息'!$A:$J,10,0),"")</f>
        <v/>
      </c>
      <c r="D280" s="8" t="str">
        <f>IFERROR(VLOOKUP(A280,'1-1 基本信息'!$A:$I,8,0),"")</f>
        <v/>
      </c>
      <c r="E280" s="57" t="str">
        <f>IFERROR(VLOOKUP($A280,'1-2-1 绩效数据'!$A:$C,3,0),"")</f>
        <v/>
      </c>
      <c r="F280" s="8" t="str">
        <f t="shared" si="95"/>
        <v>2</v>
      </c>
      <c r="G280" s="8" t="str">
        <f t="shared" si="86"/>
        <v/>
      </c>
      <c r="H280" s="8" t="str">
        <f t="shared" si="87"/>
        <v/>
      </c>
      <c r="I280" s="58" t="str">
        <f t="shared" si="96"/>
        <v/>
      </c>
      <c r="J280" s="8" t="str">
        <f t="shared" si="92"/>
        <v/>
      </c>
      <c r="K280" s="8" t="str">
        <f t="shared" si="97"/>
        <v/>
      </c>
      <c r="L280" s="57" t="str">
        <f>IFERROR(VLOOKUP($A280,'1-2-1 绩效数据'!$D:$F,3,0),"")</f>
        <v/>
      </c>
      <c r="M280" s="8" t="str">
        <f t="shared" si="104"/>
        <v>2</v>
      </c>
      <c r="N280" s="8" t="str">
        <f t="shared" si="88"/>
        <v/>
      </c>
      <c r="O280" s="8" t="str">
        <f t="shared" si="89"/>
        <v/>
      </c>
      <c r="P280" s="58" t="str">
        <f t="shared" si="98"/>
        <v/>
      </c>
      <c r="Q280" s="8" t="str">
        <f t="shared" si="93"/>
        <v/>
      </c>
      <c r="R280" s="8" t="str">
        <f t="shared" si="99"/>
        <v/>
      </c>
      <c r="S280" s="57" t="str">
        <f>IFERROR(VLOOKUP(A280,'1-2-1 绩效数据'!$G:$I,3,0),"")</f>
        <v/>
      </c>
      <c r="T280" s="8" t="str">
        <f t="shared" si="100"/>
        <v>2</v>
      </c>
      <c r="U280" s="8" t="str">
        <f t="shared" si="90"/>
        <v/>
      </c>
      <c r="V280" s="8" t="str">
        <f t="shared" si="91"/>
        <v/>
      </c>
      <c r="W280" s="58" t="str">
        <f t="shared" si="101"/>
        <v/>
      </c>
      <c r="X280" s="8" t="str">
        <f t="shared" si="94"/>
        <v/>
      </c>
      <c r="Y280" s="8" t="str">
        <f t="shared" si="102"/>
        <v/>
      </c>
      <c r="Z280" s="57" t="str">
        <f t="shared" si="103"/>
        <v/>
      </c>
    </row>
    <row r="281" spans="1:26" x14ac:dyDescent="0.3">
      <c r="A281" s="8"/>
      <c r="B281" s="70" t="str">
        <f>IFERROR(VLOOKUP('1-2-2 关键绩效'!$A281,'1-1 基本信息'!$A:$K,7,0),"")</f>
        <v/>
      </c>
      <c r="C281" s="8" t="str">
        <f>IFERROR(VLOOKUP($A281,'1-1 基本信息'!$A:$J,10,0),"")</f>
        <v/>
      </c>
      <c r="D281" s="8" t="str">
        <f>IFERROR(VLOOKUP(A281,'1-1 基本信息'!$A:$I,8,0),"")</f>
        <v/>
      </c>
      <c r="E281" s="57" t="str">
        <f>IFERROR(VLOOKUP($A281,'1-2-1 绩效数据'!$A:$C,3,0),"")</f>
        <v/>
      </c>
      <c r="F281" s="8" t="str">
        <f t="shared" si="95"/>
        <v>2</v>
      </c>
      <c r="G281" s="8" t="str">
        <f t="shared" si="86"/>
        <v/>
      </c>
      <c r="H281" s="8" t="str">
        <f t="shared" si="87"/>
        <v/>
      </c>
      <c r="I281" s="58" t="str">
        <f t="shared" si="96"/>
        <v/>
      </c>
      <c r="J281" s="8" t="str">
        <f t="shared" si="92"/>
        <v/>
      </c>
      <c r="K281" s="8" t="str">
        <f t="shared" si="97"/>
        <v/>
      </c>
      <c r="L281" s="57" t="str">
        <f>IFERROR(VLOOKUP($A281,'1-2-1 绩效数据'!$D:$F,3,0),"")</f>
        <v/>
      </c>
      <c r="M281" s="8" t="str">
        <f t="shared" si="104"/>
        <v>2</v>
      </c>
      <c r="N281" s="8" t="str">
        <f t="shared" si="88"/>
        <v/>
      </c>
      <c r="O281" s="8" t="str">
        <f t="shared" si="89"/>
        <v/>
      </c>
      <c r="P281" s="58" t="str">
        <f t="shared" si="98"/>
        <v/>
      </c>
      <c r="Q281" s="8" t="str">
        <f t="shared" si="93"/>
        <v/>
      </c>
      <c r="R281" s="8" t="str">
        <f t="shared" si="99"/>
        <v/>
      </c>
      <c r="S281" s="57" t="str">
        <f>IFERROR(VLOOKUP(A281,'1-2-1 绩效数据'!$G:$I,3,0),"")</f>
        <v/>
      </c>
      <c r="T281" s="8" t="str">
        <f t="shared" si="100"/>
        <v>2</v>
      </c>
      <c r="U281" s="8" t="str">
        <f t="shared" si="90"/>
        <v/>
      </c>
      <c r="V281" s="8" t="str">
        <f t="shared" si="91"/>
        <v/>
      </c>
      <c r="W281" s="58" t="str">
        <f t="shared" si="101"/>
        <v/>
      </c>
      <c r="X281" s="8" t="str">
        <f t="shared" si="94"/>
        <v/>
      </c>
      <c r="Y281" s="8" t="str">
        <f t="shared" si="102"/>
        <v/>
      </c>
      <c r="Z281" s="57" t="str">
        <f t="shared" si="103"/>
        <v/>
      </c>
    </row>
    <row r="282" spans="1:26" x14ac:dyDescent="0.3">
      <c r="A282" s="8"/>
      <c r="B282" s="70" t="str">
        <f>IFERROR(VLOOKUP('1-2-2 关键绩效'!$A282,'1-1 基本信息'!$A:$K,7,0),"")</f>
        <v/>
      </c>
      <c r="C282" s="8" t="str">
        <f>IFERROR(VLOOKUP($A282,'1-1 基本信息'!$A:$J,10,0),"")</f>
        <v/>
      </c>
      <c r="D282" s="8" t="str">
        <f>IFERROR(VLOOKUP(A282,'1-1 基本信息'!$A:$I,8,0),"")</f>
        <v/>
      </c>
      <c r="E282" s="57" t="str">
        <f>IFERROR(VLOOKUP($A282,'1-2-1 绩效数据'!$A:$C,3,0),"")</f>
        <v/>
      </c>
      <c r="F282" s="8" t="str">
        <f t="shared" si="95"/>
        <v>2</v>
      </c>
      <c r="G282" s="8" t="str">
        <f t="shared" si="86"/>
        <v/>
      </c>
      <c r="H282" s="8" t="str">
        <f t="shared" si="87"/>
        <v/>
      </c>
      <c r="I282" s="58" t="str">
        <f t="shared" si="96"/>
        <v/>
      </c>
      <c r="J282" s="8" t="str">
        <f t="shared" si="92"/>
        <v/>
      </c>
      <c r="K282" s="8" t="str">
        <f t="shared" si="97"/>
        <v/>
      </c>
      <c r="L282" s="57" t="str">
        <f>IFERROR(VLOOKUP($A282,'1-2-1 绩效数据'!$D:$F,3,0),"")</f>
        <v/>
      </c>
      <c r="M282" s="8" t="str">
        <f t="shared" si="104"/>
        <v>2</v>
      </c>
      <c r="N282" s="8" t="str">
        <f t="shared" si="88"/>
        <v/>
      </c>
      <c r="O282" s="8" t="str">
        <f t="shared" si="89"/>
        <v/>
      </c>
      <c r="P282" s="58" t="str">
        <f t="shared" si="98"/>
        <v/>
      </c>
      <c r="Q282" s="8" t="str">
        <f t="shared" si="93"/>
        <v/>
      </c>
      <c r="R282" s="8" t="str">
        <f t="shared" si="99"/>
        <v/>
      </c>
      <c r="S282" s="57" t="str">
        <f>IFERROR(VLOOKUP(A282,'1-2-1 绩效数据'!$G:$I,3,0),"")</f>
        <v/>
      </c>
      <c r="T282" s="8" t="str">
        <f t="shared" si="100"/>
        <v>2</v>
      </c>
      <c r="U282" s="8" t="str">
        <f t="shared" si="90"/>
        <v/>
      </c>
      <c r="V282" s="8" t="str">
        <f t="shared" si="91"/>
        <v/>
      </c>
      <c r="W282" s="58" t="str">
        <f t="shared" si="101"/>
        <v/>
      </c>
      <c r="X282" s="8" t="str">
        <f t="shared" si="94"/>
        <v/>
      </c>
      <c r="Y282" s="8" t="str">
        <f t="shared" si="102"/>
        <v/>
      </c>
      <c r="Z282" s="57" t="str">
        <f t="shared" si="103"/>
        <v/>
      </c>
    </row>
    <row r="283" spans="1:26" x14ac:dyDescent="0.3">
      <c r="A283" s="8"/>
      <c r="B283" s="70" t="str">
        <f>IFERROR(VLOOKUP('1-2-2 关键绩效'!$A283,'1-1 基本信息'!$A:$K,7,0),"")</f>
        <v/>
      </c>
      <c r="C283" s="8" t="str">
        <f>IFERROR(VLOOKUP($A283,'1-1 基本信息'!$A:$J,10,0),"")</f>
        <v/>
      </c>
      <c r="D283" s="8" t="str">
        <f>IFERROR(VLOOKUP(A283,'1-1 基本信息'!$A:$I,8,0),"")</f>
        <v/>
      </c>
      <c r="E283" s="57" t="str">
        <f>IFERROR(VLOOKUP($A283,'1-2-1 绩效数据'!$A:$C,3,0),"")</f>
        <v/>
      </c>
      <c r="F283" s="8" t="str">
        <f t="shared" si="95"/>
        <v>2</v>
      </c>
      <c r="G283" s="8" t="str">
        <f t="shared" si="86"/>
        <v/>
      </c>
      <c r="H283" s="8" t="str">
        <f t="shared" si="87"/>
        <v/>
      </c>
      <c r="I283" s="58" t="str">
        <f t="shared" si="96"/>
        <v/>
      </c>
      <c r="J283" s="8" t="str">
        <f t="shared" si="92"/>
        <v/>
      </c>
      <c r="K283" s="8" t="str">
        <f t="shared" si="97"/>
        <v/>
      </c>
      <c r="L283" s="57" t="str">
        <f>IFERROR(VLOOKUP($A283,'1-2-1 绩效数据'!$D:$F,3,0),"")</f>
        <v/>
      </c>
      <c r="M283" s="8" t="str">
        <f t="shared" si="104"/>
        <v>2</v>
      </c>
      <c r="N283" s="8" t="str">
        <f t="shared" si="88"/>
        <v/>
      </c>
      <c r="O283" s="8" t="str">
        <f t="shared" si="89"/>
        <v/>
      </c>
      <c r="P283" s="58" t="str">
        <f t="shared" si="98"/>
        <v/>
      </c>
      <c r="Q283" s="8" t="str">
        <f t="shared" si="93"/>
        <v/>
      </c>
      <c r="R283" s="8" t="str">
        <f t="shared" si="99"/>
        <v/>
      </c>
      <c r="S283" s="57" t="str">
        <f>IFERROR(VLOOKUP(A283,'1-2-1 绩效数据'!$G:$I,3,0),"")</f>
        <v/>
      </c>
      <c r="T283" s="8" t="str">
        <f t="shared" si="100"/>
        <v>2</v>
      </c>
      <c r="U283" s="8" t="str">
        <f t="shared" si="90"/>
        <v/>
      </c>
      <c r="V283" s="8" t="str">
        <f t="shared" si="91"/>
        <v/>
      </c>
      <c r="W283" s="58" t="str">
        <f t="shared" si="101"/>
        <v/>
      </c>
      <c r="X283" s="8" t="str">
        <f t="shared" si="94"/>
        <v/>
      </c>
      <c r="Y283" s="8" t="str">
        <f t="shared" si="102"/>
        <v/>
      </c>
      <c r="Z283" s="57" t="str">
        <f t="shared" si="103"/>
        <v/>
      </c>
    </row>
    <row r="284" spans="1:26" x14ac:dyDescent="0.3">
      <c r="A284" s="8"/>
      <c r="B284" s="70" t="str">
        <f>IFERROR(VLOOKUP('1-2-2 关键绩效'!$A284,'1-1 基本信息'!$A:$K,7,0),"")</f>
        <v/>
      </c>
      <c r="C284" s="8" t="str">
        <f>IFERROR(VLOOKUP($A284,'1-1 基本信息'!$A:$J,10,0),"")</f>
        <v/>
      </c>
      <c r="D284" s="8" t="str">
        <f>IFERROR(VLOOKUP(A284,'1-1 基本信息'!$A:$I,8,0),"")</f>
        <v/>
      </c>
      <c r="E284" s="57" t="str">
        <f>IFERROR(VLOOKUP($A284,'1-2-1 绩效数据'!$A:$C,3,0),"")</f>
        <v/>
      </c>
      <c r="F284" s="8" t="str">
        <f t="shared" si="95"/>
        <v>2</v>
      </c>
      <c r="G284" s="8" t="str">
        <f t="shared" si="86"/>
        <v/>
      </c>
      <c r="H284" s="8" t="str">
        <f t="shared" si="87"/>
        <v/>
      </c>
      <c r="I284" s="58" t="str">
        <f t="shared" si="96"/>
        <v/>
      </c>
      <c r="J284" s="8" t="str">
        <f t="shared" si="92"/>
        <v/>
      </c>
      <c r="K284" s="8" t="str">
        <f t="shared" si="97"/>
        <v/>
      </c>
      <c r="L284" s="57" t="str">
        <f>IFERROR(VLOOKUP($A284,'1-2-1 绩效数据'!$D:$F,3,0),"")</f>
        <v/>
      </c>
      <c r="M284" s="8" t="str">
        <f t="shared" si="104"/>
        <v>2</v>
      </c>
      <c r="N284" s="8" t="str">
        <f t="shared" si="88"/>
        <v/>
      </c>
      <c r="O284" s="8" t="str">
        <f t="shared" si="89"/>
        <v/>
      </c>
      <c r="P284" s="58" t="str">
        <f t="shared" si="98"/>
        <v/>
      </c>
      <c r="Q284" s="8" t="str">
        <f t="shared" si="93"/>
        <v/>
      </c>
      <c r="R284" s="8" t="str">
        <f t="shared" si="99"/>
        <v/>
      </c>
      <c r="S284" s="57" t="str">
        <f>IFERROR(VLOOKUP(A284,'1-2-1 绩效数据'!$G:$I,3,0),"")</f>
        <v/>
      </c>
      <c r="T284" s="8" t="str">
        <f t="shared" si="100"/>
        <v>2</v>
      </c>
      <c r="U284" s="8" t="str">
        <f t="shared" si="90"/>
        <v/>
      </c>
      <c r="V284" s="8" t="str">
        <f t="shared" si="91"/>
        <v/>
      </c>
      <c r="W284" s="58" t="str">
        <f t="shared" si="101"/>
        <v/>
      </c>
      <c r="X284" s="8" t="str">
        <f t="shared" si="94"/>
        <v/>
      </c>
      <c r="Y284" s="8" t="str">
        <f t="shared" si="102"/>
        <v/>
      </c>
      <c r="Z284" s="57" t="str">
        <f t="shared" si="103"/>
        <v/>
      </c>
    </row>
    <row r="285" spans="1:26" x14ac:dyDescent="0.3">
      <c r="A285" s="8"/>
      <c r="B285" s="70" t="str">
        <f>IFERROR(VLOOKUP('1-2-2 关键绩效'!$A285,'1-1 基本信息'!$A:$K,7,0),"")</f>
        <v/>
      </c>
      <c r="C285" s="8" t="str">
        <f>IFERROR(VLOOKUP($A285,'1-1 基本信息'!$A:$J,10,0),"")</f>
        <v/>
      </c>
      <c r="D285" s="8" t="str">
        <f>IFERROR(VLOOKUP(A285,'1-1 基本信息'!$A:$I,8,0),"")</f>
        <v/>
      </c>
      <c r="E285" s="57" t="str">
        <f>IFERROR(VLOOKUP($A285,'1-2-1 绩效数据'!$A:$C,3,0),"")</f>
        <v/>
      </c>
      <c r="F285" s="8" t="str">
        <f t="shared" si="95"/>
        <v>2</v>
      </c>
      <c r="G285" s="8" t="str">
        <f t="shared" si="86"/>
        <v/>
      </c>
      <c r="H285" s="8" t="str">
        <f t="shared" si="87"/>
        <v/>
      </c>
      <c r="I285" s="58" t="str">
        <f t="shared" si="96"/>
        <v/>
      </c>
      <c r="J285" s="8" t="str">
        <f t="shared" si="92"/>
        <v/>
      </c>
      <c r="K285" s="8" t="str">
        <f t="shared" si="97"/>
        <v/>
      </c>
      <c r="L285" s="57" t="str">
        <f>IFERROR(VLOOKUP($A285,'1-2-1 绩效数据'!$D:$F,3,0),"")</f>
        <v/>
      </c>
      <c r="M285" s="8" t="str">
        <f t="shared" si="104"/>
        <v>2</v>
      </c>
      <c r="N285" s="8" t="str">
        <f t="shared" si="88"/>
        <v/>
      </c>
      <c r="O285" s="8" t="str">
        <f t="shared" si="89"/>
        <v/>
      </c>
      <c r="P285" s="58" t="str">
        <f t="shared" si="98"/>
        <v/>
      </c>
      <c r="Q285" s="8" t="str">
        <f t="shared" si="93"/>
        <v/>
      </c>
      <c r="R285" s="8" t="str">
        <f t="shared" si="99"/>
        <v/>
      </c>
      <c r="S285" s="57" t="str">
        <f>IFERROR(VLOOKUP(A285,'1-2-1 绩效数据'!$G:$I,3,0),"")</f>
        <v/>
      </c>
      <c r="T285" s="8" t="str">
        <f t="shared" si="100"/>
        <v>2</v>
      </c>
      <c r="U285" s="8" t="str">
        <f t="shared" si="90"/>
        <v/>
      </c>
      <c r="V285" s="8" t="str">
        <f t="shared" si="91"/>
        <v/>
      </c>
      <c r="W285" s="58" t="str">
        <f t="shared" si="101"/>
        <v/>
      </c>
      <c r="X285" s="8" t="str">
        <f t="shared" si="94"/>
        <v/>
      </c>
      <c r="Y285" s="8" t="str">
        <f t="shared" si="102"/>
        <v/>
      </c>
      <c r="Z285" s="57" t="str">
        <f t="shared" si="103"/>
        <v/>
      </c>
    </row>
    <row r="286" spans="1:26" x14ac:dyDescent="0.3">
      <c r="A286" s="8"/>
      <c r="B286" s="70" t="str">
        <f>IFERROR(VLOOKUP('1-2-2 关键绩效'!$A286,'1-1 基本信息'!$A:$K,7,0),"")</f>
        <v/>
      </c>
      <c r="C286" s="8" t="str">
        <f>IFERROR(VLOOKUP($A286,'1-1 基本信息'!$A:$J,10,0),"")</f>
        <v/>
      </c>
      <c r="D286" s="8" t="str">
        <f>IFERROR(VLOOKUP(A286,'1-1 基本信息'!$A:$I,8,0),"")</f>
        <v/>
      </c>
      <c r="E286" s="57" t="str">
        <f>IFERROR(VLOOKUP($A286,'1-2-1 绩效数据'!$A:$C,3,0),"")</f>
        <v/>
      </c>
      <c r="F286" s="8" t="str">
        <f t="shared" si="95"/>
        <v>2</v>
      </c>
      <c r="G286" s="8" t="str">
        <f t="shared" si="86"/>
        <v/>
      </c>
      <c r="H286" s="8" t="str">
        <f t="shared" si="87"/>
        <v/>
      </c>
      <c r="I286" s="58" t="str">
        <f t="shared" si="96"/>
        <v/>
      </c>
      <c r="J286" s="8" t="str">
        <f t="shared" si="92"/>
        <v/>
      </c>
      <c r="K286" s="8" t="str">
        <f t="shared" si="97"/>
        <v/>
      </c>
      <c r="L286" s="57" t="str">
        <f>IFERROR(VLOOKUP($A286,'1-2-1 绩效数据'!$D:$F,3,0),"")</f>
        <v/>
      </c>
      <c r="M286" s="8" t="str">
        <f t="shared" si="104"/>
        <v>2</v>
      </c>
      <c r="N286" s="8" t="str">
        <f t="shared" si="88"/>
        <v/>
      </c>
      <c r="O286" s="8" t="str">
        <f t="shared" si="89"/>
        <v/>
      </c>
      <c r="P286" s="58" t="str">
        <f t="shared" si="98"/>
        <v/>
      </c>
      <c r="Q286" s="8" t="str">
        <f t="shared" si="93"/>
        <v/>
      </c>
      <c r="R286" s="8" t="str">
        <f t="shared" si="99"/>
        <v/>
      </c>
      <c r="S286" s="57" t="str">
        <f>IFERROR(VLOOKUP(A286,'1-2-1 绩效数据'!$G:$I,3,0),"")</f>
        <v/>
      </c>
      <c r="T286" s="8" t="str">
        <f t="shared" si="100"/>
        <v>2</v>
      </c>
      <c r="U286" s="8" t="str">
        <f t="shared" si="90"/>
        <v/>
      </c>
      <c r="V286" s="8" t="str">
        <f t="shared" si="91"/>
        <v/>
      </c>
      <c r="W286" s="58" t="str">
        <f t="shared" si="101"/>
        <v/>
      </c>
      <c r="X286" s="8" t="str">
        <f t="shared" si="94"/>
        <v/>
      </c>
      <c r="Y286" s="8" t="str">
        <f t="shared" si="102"/>
        <v/>
      </c>
      <c r="Z286" s="57" t="str">
        <f t="shared" si="103"/>
        <v/>
      </c>
    </row>
    <row r="287" spans="1:26" x14ac:dyDescent="0.3">
      <c r="A287" s="8"/>
      <c r="B287" s="70" t="str">
        <f>IFERROR(VLOOKUP('1-2-2 关键绩效'!$A287,'1-1 基本信息'!$A:$K,7,0),"")</f>
        <v/>
      </c>
      <c r="C287" s="8" t="str">
        <f>IFERROR(VLOOKUP($A287,'1-1 基本信息'!$A:$J,10,0),"")</f>
        <v/>
      </c>
      <c r="D287" s="8" t="str">
        <f>IFERROR(VLOOKUP(A287,'1-1 基本信息'!$A:$I,8,0),"")</f>
        <v/>
      </c>
      <c r="E287" s="57" t="str">
        <f>IFERROR(VLOOKUP($A287,'1-2-1 绩效数据'!$A:$C,3,0),"")</f>
        <v/>
      </c>
      <c r="F287" s="8" t="str">
        <f t="shared" si="95"/>
        <v>2</v>
      </c>
      <c r="G287" s="8" t="str">
        <f t="shared" si="86"/>
        <v/>
      </c>
      <c r="H287" s="8" t="str">
        <f t="shared" si="87"/>
        <v/>
      </c>
      <c r="I287" s="58" t="str">
        <f t="shared" si="96"/>
        <v/>
      </c>
      <c r="J287" s="8" t="str">
        <f t="shared" si="92"/>
        <v/>
      </c>
      <c r="K287" s="8" t="str">
        <f t="shared" si="97"/>
        <v/>
      </c>
      <c r="L287" s="57" t="str">
        <f>IFERROR(VLOOKUP($A287,'1-2-1 绩效数据'!$D:$F,3,0),"")</f>
        <v/>
      </c>
      <c r="M287" s="8" t="str">
        <f t="shared" si="104"/>
        <v>2</v>
      </c>
      <c r="N287" s="8" t="str">
        <f t="shared" si="88"/>
        <v/>
      </c>
      <c r="O287" s="8" t="str">
        <f t="shared" si="89"/>
        <v/>
      </c>
      <c r="P287" s="58" t="str">
        <f t="shared" si="98"/>
        <v/>
      </c>
      <c r="Q287" s="8" t="str">
        <f t="shared" si="93"/>
        <v/>
      </c>
      <c r="R287" s="8" t="str">
        <f t="shared" si="99"/>
        <v/>
      </c>
      <c r="S287" s="57" t="str">
        <f>IFERROR(VLOOKUP(A287,'1-2-1 绩效数据'!$G:$I,3,0),"")</f>
        <v/>
      </c>
      <c r="T287" s="8" t="str">
        <f t="shared" si="100"/>
        <v>2</v>
      </c>
      <c r="U287" s="8" t="str">
        <f t="shared" si="90"/>
        <v/>
      </c>
      <c r="V287" s="8" t="str">
        <f t="shared" si="91"/>
        <v/>
      </c>
      <c r="W287" s="58" t="str">
        <f t="shared" si="101"/>
        <v/>
      </c>
      <c r="X287" s="8" t="str">
        <f t="shared" si="94"/>
        <v/>
      </c>
      <c r="Y287" s="8" t="str">
        <f t="shared" si="102"/>
        <v/>
      </c>
      <c r="Z287" s="57" t="str">
        <f t="shared" si="103"/>
        <v/>
      </c>
    </row>
    <row r="288" spans="1:26" x14ac:dyDescent="0.3">
      <c r="A288" s="8"/>
      <c r="B288" s="70" t="str">
        <f>IFERROR(VLOOKUP('1-2-2 关键绩效'!$A288,'1-1 基本信息'!$A:$K,7,0),"")</f>
        <v/>
      </c>
      <c r="C288" s="8" t="str">
        <f>IFERROR(VLOOKUP($A288,'1-1 基本信息'!$A:$J,10,0),"")</f>
        <v/>
      </c>
      <c r="D288" s="8" t="str">
        <f>IFERROR(VLOOKUP(A288,'1-1 基本信息'!$A:$I,8,0),"")</f>
        <v/>
      </c>
      <c r="E288" s="57" t="str">
        <f>IFERROR(VLOOKUP($A288,'1-2-1 绩效数据'!$A:$C,3,0),"")</f>
        <v/>
      </c>
      <c r="F288" s="8" t="str">
        <f t="shared" si="95"/>
        <v>2</v>
      </c>
      <c r="G288" s="8" t="str">
        <f t="shared" si="86"/>
        <v/>
      </c>
      <c r="H288" s="8" t="str">
        <f t="shared" si="87"/>
        <v/>
      </c>
      <c r="I288" s="58" t="str">
        <f t="shared" si="96"/>
        <v/>
      </c>
      <c r="J288" s="8" t="str">
        <f t="shared" si="92"/>
        <v/>
      </c>
      <c r="K288" s="8" t="str">
        <f t="shared" si="97"/>
        <v/>
      </c>
      <c r="L288" s="57" t="str">
        <f>IFERROR(VLOOKUP($A288,'1-2-1 绩效数据'!$D:$F,3,0),"")</f>
        <v/>
      </c>
      <c r="M288" s="8" t="str">
        <f t="shared" si="104"/>
        <v>2</v>
      </c>
      <c r="N288" s="8" t="str">
        <f t="shared" si="88"/>
        <v/>
      </c>
      <c r="O288" s="8" t="str">
        <f t="shared" si="89"/>
        <v/>
      </c>
      <c r="P288" s="58" t="str">
        <f t="shared" si="98"/>
        <v/>
      </c>
      <c r="Q288" s="8" t="str">
        <f t="shared" si="93"/>
        <v/>
      </c>
      <c r="R288" s="8" t="str">
        <f t="shared" si="99"/>
        <v/>
      </c>
      <c r="S288" s="57" t="str">
        <f>IFERROR(VLOOKUP(A288,'1-2-1 绩效数据'!$G:$I,3,0),"")</f>
        <v/>
      </c>
      <c r="T288" s="8" t="str">
        <f t="shared" si="100"/>
        <v>2</v>
      </c>
      <c r="U288" s="8" t="str">
        <f t="shared" si="90"/>
        <v/>
      </c>
      <c r="V288" s="8" t="str">
        <f t="shared" si="91"/>
        <v/>
      </c>
      <c r="W288" s="58" t="str">
        <f t="shared" si="101"/>
        <v/>
      </c>
      <c r="X288" s="8" t="str">
        <f t="shared" si="94"/>
        <v/>
      </c>
      <c r="Y288" s="8" t="str">
        <f t="shared" si="102"/>
        <v/>
      </c>
      <c r="Z288" s="57" t="str">
        <f t="shared" si="103"/>
        <v/>
      </c>
    </row>
    <row r="289" spans="1:26" x14ac:dyDescent="0.3">
      <c r="A289" s="8"/>
      <c r="B289" s="70" t="str">
        <f>IFERROR(VLOOKUP('1-2-2 关键绩效'!$A289,'1-1 基本信息'!$A:$K,7,0),"")</f>
        <v/>
      </c>
      <c r="C289" s="8" t="str">
        <f>IFERROR(VLOOKUP($A289,'1-1 基本信息'!$A:$J,10,0),"")</f>
        <v/>
      </c>
      <c r="D289" s="8" t="str">
        <f>IFERROR(VLOOKUP(A289,'1-1 基本信息'!$A:$I,8,0),"")</f>
        <v/>
      </c>
      <c r="E289" s="57" t="str">
        <f>IFERROR(VLOOKUP($A289,'1-2-1 绩效数据'!$A:$C,3,0),"")</f>
        <v/>
      </c>
      <c r="F289" s="8" t="str">
        <f t="shared" si="95"/>
        <v>2</v>
      </c>
      <c r="G289" s="8" t="str">
        <f t="shared" si="86"/>
        <v/>
      </c>
      <c r="H289" s="8" t="str">
        <f t="shared" si="87"/>
        <v/>
      </c>
      <c r="I289" s="58" t="str">
        <f t="shared" si="96"/>
        <v/>
      </c>
      <c r="J289" s="8" t="str">
        <f t="shared" si="92"/>
        <v/>
      </c>
      <c r="K289" s="8" t="str">
        <f t="shared" si="97"/>
        <v/>
      </c>
      <c r="L289" s="57" t="str">
        <f>IFERROR(VLOOKUP($A289,'1-2-1 绩效数据'!$D:$F,3,0),"")</f>
        <v/>
      </c>
      <c r="M289" s="8" t="str">
        <f t="shared" si="104"/>
        <v>2</v>
      </c>
      <c r="N289" s="8" t="str">
        <f t="shared" si="88"/>
        <v/>
      </c>
      <c r="O289" s="8" t="str">
        <f t="shared" si="89"/>
        <v/>
      </c>
      <c r="P289" s="58" t="str">
        <f t="shared" si="98"/>
        <v/>
      </c>
      <c r="Q289" s="8" t="str">
        <f t="shared" si="93"/>
        <v/>
      </c>
      <c r="R289" s="8" t="str">
        <f t="shared" si="99"/>
        <v/>
      </c>
      <c r="S289" s="57" t="str">
        <f>IFERROR(VLOOKUP(A289,'1-2-1 绩效数据'!$G:$I,3,0),"")</f>
        <v/>
      </c>
      <c r="T289" s="8" t="str">
        <f t="shared" si="100"/>
        <v>2</v>
      </c>
      <c r="U289" s="8" t="str">
        <f t="shared" si="90"/>
        <v/>
      </c>
      <c r="V289" s="8" t="str">
        <f t="shared" si="91"/>
        <v/>
      </c>
      <c r="W289" s="58" t="str">
        <f t="shared" si="101"/>
        <v/>
      </c>
      <c r="X289" s="8" t="str">
        <f t="shared" si="94"/>
        <v/>
      </c>
      <c r="Y289" s="8" t="str">
        <f t="shared" si="102"/>
        <v/>
      </c>
      <c r="Z289" s="57" t="str">
        <f t="shared" si="103"/>
        <v/>
      </c>
    </row>
    <row r="290" spans="1:26" x14ac:dyDescent="0.3">
      <c r="A290" s="8"/>
      <c r="B290" s="70" t="str">
        <f>IFERROR(VLOOKUP('1-2-2 关键绩效'!$A290,'1-1 基本信息'!$A:$K,7,0),"")</f>
        <v/>
      </c>
      <c r="C290" s="8" t="str">
        <f>IFERROR(VLOOKUP($A290,'1-1 基本信息'!$A:$J,10,0),"")</f>
        <v/>
      </c>
      <c r="D290" s="8" t="str">
        <f>IFERROR(VLOOKUP(A290,'1-1 基本信息'!$A:$I,8,0),"")</f>
        <v/>
      </c>
      <c r="E290" s="57" t="str">
        <f>IFERROR(VLOOKUP($A290,'1-2-1 绩效数据'!$A:$C,3,0),"")</f>
        <v/>
      </c>
      <c r="F290" s="8" t="str">
        <f t="shared" si="95"/>
        <v>2</v>
      </c>
      <c r="G290" s="8" t="str">
        <f t="shared" si="86"/>
        <v/>
      </c>
      <c r="H290" s="8" t="str">
        <f t="shared" si="87"/>
        <v/>
      </c>
      <c r="I290" s="58" t="str">
        <f t="shared" si="96"/>
        <v/>
      </c>
      <c r="J290" s="8" t="str">
        <f t="shared" si="92"/>
        <v/>
      </c>
      <c r="K290" s="8" t="str">
        <f t="shared" si="97"/>
        <v/>
      </c>
      <c r="L290" s="57" t="str">
        <f>IFERROR(VLOOKUP($A290,'1-2-1 绩效数据'!$D:$F,3,0),"")</f>
        <v/>
      </c>
      <c r="M290" s="8" t="str">
        <f t="shared" si="104"/>
        <v>2</v>
      </c>
      <c r="N290" s="8" t="str">
        <f t="shared" si="88"/>
        <v/>
      </c>
      <c r="O290" s="8" t="str">
        <f t="shared" si="89"/>
        <v/>
      </c>
      <c r="P290" s="58" t="str">
        <f t="shared" si="98"/>
        <v/>
      </c>
      <c r="Q290" s="8" t="str">
        <f t="shared" si="93"/>
        <v/>
      </c>
      <c r="R290" s="8" t="str">
        <f t="shared" si="99"/>
        <v/>
      </c>
      <c r="S290" s="57" t="str">
        <f>IFERROR(VLOOKUP(A290,'1-2-1 绩效数据'!$G:$I,3,0),"")</f>
        <v/>
      </c>
      <c r="T290" s="8" t="str">
        <f t="shared" si="100"/>
        <v>2</v>
      </c>
      <c r="U290" s="8" t="str">
        <f t="shared" si="90"/>
        <v/>
      </c>
      <c r="V290" s="8" t="str">
        <f t="shared" si="91"/>
        <v/>
      </c>
      <c r="W290" s="58" t="str">
        <f t="shared" si="101"/>
        <v/>
      </c>
      <c r="X290" s="8" t="str">
        <f t="shared" si="94"/>
        <v/>
      </c>
      <c r="Y290" s="8" t="str">
        <f t="shared" si="102"/>
        <v/>
      </c>
      <c r="Z290" s="57" t="str">
        <f t="shared" si="103"/>
        <v/>
      </c>
    </row>
    <row r="291" spans="1:26" x14ac:dyDescent="0.3">
      <c r="A291" s="8"/>
      <c r="B291" s="70" t="str">
        <f>IFERROR(VLOOKUP('1-2-2 关键绩效'!$A291,'1-1 基本信息'!$A:$K,7,0),"")</f>
        <v/>
      </c>
      <c r="C291" s="8" t="str">
        <f>IFERROR(VLOOKUP($A291,'1-1 基本信息'!$A:$J,10,0),"")</f>
        <v/>
      </c>
      <c r="D291" s="8" t="str">
        <f>IFERROR(VLOOKUP(A291,'1-1 基本信息'!$A:$I,8,0),"")</f>
        <v/>
      </c>
      <c r="E291" s="57" t="str">
        <f>IFERROR(VLOOKUP($A291,'1-2-1 绩效数据'!$A:$C,3,0),"")</f>
        <v/>
      </c>
      <c r="F291" s="8" t="str">
        <f t="shared" si="95"/>
        <v>2</v>
      </c>
      <c r="G291" s="8" t="str">
        <f t="shared" si="86"/>
        <v/>
      </c>
      <c r="H291" s="8" t="str">
        <f t="shared" si="87"/>
        <v/>
      </c>
      <c r="I291" s="58" t="str">
        <f t="shared" si="96"/>
        <v/>
      </c>
      <c r="J291" s="8" t="str">
        <f t="shared" si="92"/>
        <v/>
      </c>
      <c r="K291" s="8" t="str">
        <f t="shared" si="97"/>
        <v/>
      </c>
      <c r="L291" s="57" t="str">
        <f>IFERROR(VLOOKUP($A291,'1-2-1 绩效数据'!$D:$F,3,0),"")</f>
        <v/>
      </c>
      <c r="M291" s="8" t="str">
        <f t="shared" si="104"/>
        <v>2</v>
      </c>
      <c r="N291" s="8" t="str">
        <f t="shared" si="88"/>
        <v/>
      </c>
      <c r="O291" s="8" t="str">
        <f t="shared" si="89"/>
        <v/>
      </c>
      <c r="P291" s="58" t="str">
        <f t="shared" si="98"/>
        <v/>
      </c>
      <c r="Q291" s="8" t="str">
        <f t="shared" si="93"/>
        <v/>
      </c>
      <c r="R291" s="8" t="str">
        <f t="shared" si="99"/>
        <v/>
      </c>
      <c r="S291" s="57" t="str">
        <f>IFERROR(VLOOKUP(A291,'1-2-1 绩效数据'!$G:$I,3,0),"")</f>
        <v/>
      </c>
      <c r="T291" s="8" t="str">
        <f t="shared" si="100"/>
        <v>2</v>
      </c>
      <c r="U291" s="8" t="str">
        <f t="shared" si="90"/>
        <v/>
      </c>
      <c r="V291" s="8" t="str">
        <f t="shared" si="91"/>
        <v/>
      </c>
      <c r="W291" s="58" t="str">
        <f t="shared" si="101"/>
        <v/>
      </c>
      <c r="X291" s="8" t="str">
        <f t="shared" si="94"/>
        <v/>
      </c>
      <c r="Y291" s="8" t="str">
        <f t="shared" si="102"/>
        <v/>
      </c>
      <c r="Z291" s="57" t="str">
        <f t="shared" si="103"/>
        <v/>
      </c>
    </row>
    <row r="292" spans="1:26" x14ac:dyDescent="0.3">
      <c r="A292" s="8"/>
      <c r="B292" s="70" t="str">
        <f>IFERROR(VLOOKUP('1-2-2 关键绩效'!$A292,'1-1 基本信息'!$A:$K,7,0),"")</f>
        <v/>
      </c>
      <c r="C292" s="8" t="str">
        <f>IFERROR(VLOOKUP($A292,'1-1 基本信息'!$A:$J,10,0),"")</f>
        <v/>
      </c>
      <c r="D292" s="8" t="str">
        <f>IFERROR(VLOOKUP(A292,'1-1 基本信息'!$A:$I,8,0),"")</f>
        <v/>
      </c>
      <c r="E292" s="57" t="str">
        <f>IFERROR(VLOOKUP($A292,'1-2-1 绩效数据'!$A:$C,3,0),"")</f>
        <v/>
      </c>
      <c r="F292" s="8" t="str">
        <f t="shared" si="95"/>
        <v>2</v>
      </c>
      <c r="G292" s="8" t="str">
        <f t="shared" si="86"/>
        <v/>
      </c>
      <c r="H292" s="8" t="str">
        <f t="shared" si="87"/>
        <v/>
      </c>
      <c r="I292" s="58" t="str">
        <f t="shared" si="96"/>
        <v/>
      </c>
      <c r="J292" s="8" t="str">
        <f t="shared" si="92"/>
        <v/>
      </c>
      <c r="K292" s="8" t="str">
        <f t="shared" si="97"/>
        <v/>
      </c>
      <c r="L292" s="57" t="str">
        <f>IFERROR(VLOOKUP($A292,'1-2-1 绩效数据'!$D:$F,3,0),"")</f>
        <v/>
      </c>
      <c r="M292" s="8" t="str">
        <f t="shared" si="104"/>
        <v>2</v>
      </c>
      <c r="N292" s="8" t="str">
        <f t="shared" si="88"/>
        <v/>
      </c>
      <c r="O292" s="8" t="str">
        <f t="shared" si="89"/>
        <v/>
      </c>
      <c r="P292" s="58" t="str">
        <f t="shared" si="98"/>
        <v/>
      </c>
      <c r="Q292" s="8" t="str">
        <f t="shared" si="93"/>
        <v/>
      </c>
      <c r="R292" s="8" t="str">
        <f t="shared" si="99"/>
        <v/>
      </c>
      <c r="S292" s="57" t="str">
        <f>IFERROR(VLOOKUP(A292,'1-2-1 绩效数据'!$G:$I,3,0),"")</f>
        <v/>
      </c>
      <c r="T292" s="8" t="str">
        <f t="shared" si="100"/>
        <v>2</v>
      </c>
      <c r="U292" s="8" t="str">
        <f t="shared" si="90"/>
        <v/>
      </c>
      <c r="V292" s="8" t="str">
        <f t="shared" si="91"/>
        <v/>
      </c>
      <c r="W292" s="58" t="str">
        <f t="shared" si="101"/>
        <v/>
      </c>
      <c r="X292" s="8" t="str">
        <f t="shared" si="94"/>
        <v/>
      </c>
      <c r="Y292" s="8" t="str">
        <f t="shared" si="102"/>
        <v/>
      </c>
      <c r="Z292" s="57" t="str">
        <f t="shared" si="103"/>
        <v/>
      </c>
    </row>
    <row r="293" spans="1:26" x14ac:dyDescent="0.3">
      <c r="A293" s="8"/>
      <c r="B293" s="70" t="str">
        <f>IFERROR(VLOOKUP('1-2-2 关键绩效'!$A293,'1-1 基本信息'!$A:$K,7,0),"")</f>
        <v/>
      </c>
      <c r="C293" s="8" t="str">
        <f>IFERROR(VLOOKUP($A293,'1-1 基本信息'!$A:$J,10,0),"")</f>
        <v/>
      </c>
      <c r="D293" s="8" t="str">
        <f>IFERROR(VLOOKUP(A293,'1-1 基本信息'!$A:$I,8,0),"")</f>
        <v/>
      </c>
      <c r="E293" s="57" t="str">
        <f>IFERROR(VLOOKUP($A293,'1-2-1 绩效数据'!$A:$C,3,0),"")</f>
        <v/>
      </c>
      <c r="F293" s="8" t="str">
        <f t="shared" si="95"/>
        <v>2</v>
      </c>
      <c r="G293" s="8" t="str">
        <f t="shared" si="86"/>
        <v/>
      </c>
      <c r="H293" s="8" t="str">
        <f t="shared" si="87"/>
        <v/>
      </c>
      <c r="I293" s="58" t="str">
        <f t="shared" si="96"/>
        <v/>
      </c>
      <c r="J293" s="8" t="str">
        <f t="shared" si="92"/>
        <v/>
      </c>
      <c r="K293" s="8" t="str">
        <f t="shared" si="97"/>
        <v/>
      </c>
      <c r="L293" s="57" t="str">
        <f>IFERROR(VLOOKUP($A293,'1-2-1 绩效数据'!$D:$F,3,0),"")</f>
        <v/>
      </c>
      <c r="M293" s="8" t="str">
        <f t="shared" si="104"/>
        <v>2</v>
      </c>
      <c r="N293" s="8" t="str">
        <f t="shared" si="88"/>
        <v/>
      </c>
      <c r="O293" s="8" t="str">
        <f t="shared" si="89"/>
        <v/>
      </c>
      <c r="P293" s="58" t="str">
        <f t="shared" si="98"/>
        <v/>
      </c>
      <c r="Q293" s="8" t="str">
        <f t="shared" si="93"/>
        <v/>
      </c>
      <c r="R293" s="8" t="str">
        <f t="shared" si="99"/>
        <v/>
      </c>
      <c r="S293" s="57" t="str">
        <f>IFERROR(VLOOKUP(A293,'1-2-1 绩效数据'!$G:$I,3,0),"")</f>
        <v/>
      </c>
      <c r="T293" s="8" t="str">
        <f t="shared" si="100"/>
        <v>2</v>
      </c>
      <c r="U293" s="8" t="str">
        <f t="shared" si="90"/>
        <v/>
      </c>
      <c r="V293" s="8" t="str">
        <f t="shared" si="91"/>
        <v/>
      </c>
      <c r="W293" s="58" t="str">
        <f t="shared" si="101"/>
        <v/>
      </c>
      <c r="X293" s="8" t="str">
        <f t="shared" si="94"/>
        <v/>
      </c>
      <c r="Y293" s="8" t="str">
        <f t="shared" si="102"/>
        <v/>
      </c>
      <c r="Z293" s="57" t="str">
        <f t="shared" si="103"/>
        <v/>
      </c>
    </row>
    <row r="294" spans="1:26" x14ac:dyDescent="0.3">
      <c r="A294" s="8"/>
      <c r="B294" s="70" t="str">
        <f>IFERROR(VLOOKUP('1-2-2 关键绩效'!$A294,'1-1 基本信息'!$A:$K,7,0),"")</f>
        <v/>
      </c>
      <c r="C294" s="8" t="str">
        <f>IFERROR(VLOOKUP($A294,'1-1 基本信息'!$A:$J,10,0),"")</f>
        <v/>
      </c>
      <c r="D294" s="8" t="str">
        <f>IFERROR(VLOOKUP(A294,'1-1 基本信息'!$A:$I,8,0),"")</f>
        <v/>
      </c>
      <c r="E294" s="57" t="str">
        <f>IFERROR(VLOOKUP($A294,'1-2-1 绩效数据'!$A:$C,3,0),"")</f>
        <v/>
      </c>
      <c r="F294" s="8" t="str">
        <f t="shared" si="95"/>
        <v>2</v>
      </c>
      <c r="G294" s="8" t="str">
        <f t="shared" si="86"/>
        <v/>
      </c>
      <c r="H294" s="8" t="str">
        <f t="shared" si="87"/>
        <v/>
      </c>
      <c r="I294" s="58" t="str">
        <f t="shared" si="96"/>
        <v/>
      </c>
      <c r="J294" s="8" t="str">
        <f t="shared" si="92"/>
        <v/>
      </c>
      <c r="K294" s="8" t="str">
        <f t="shared" si="97"/>
        <v/>
      </c>
      <c r="L294" s="57" t="str">
        <f>IFERROR(VLOOKUP($A294,'1-2-1 绩效数据'!$D:$F,3,0),"")</f>
        <v/>
      </c>
      <c r="M294" s="8" t="str">
        <f t="shared" si="104"/>
        <v>2</v>
      </c>
      <c r="N294" s="8" t="str">
        <f t="shared" si="88"/>
        <v/>
      </c>
      <c r="O294" s="8" t="str">
        <f t="shared" si="89"/>
        <v/>
      </c>
      <c r="P294" s="58" t="str">
        <f t="shared" si="98"/>
        <v/>
      </c>
      <c r="Q294" s="8" t="str">
        <f t="shared" si="93"/>
        <v/>
      </c>
      <c r="R294" s="8" t="str">
        <f t="shared" si="99"/>
        <v/>
      </c>
      <c r="S294" s="57" t="str">
        <f>IFERROR(VLOOKUP(A294,'1-2-1 绩效数据'!$G:$I,3,0),"")</f>
        <v/>
      </c>
      <c r="T294" s="8" t="str">
        <f t="shared" si="100"/>
        <v>2</v>
      </c>
      <c r="U294" s="8" t="str">
        <f t="shared" si="90"/>
        <v/>
      </c>
      <c r="V294" s="8" t="str">
        <f t="shared" si="91"/>
        <v/>
      </c>
      <c r="W294" s="58" t="str">
        <f t="shared" si="101"/>
        <v/>
      </c>
      <c r="X294" s="8" t="str">
        <f t="shared" si="94"/>
        <v/>
      </c>
      <c r="Y294" s="8" t="str">
        <f t="shared" si="102"/>
        <v/>
      </c>
      <c r="Z294" s="57" t="str">
        <f t="shared" si="103"/>
        <v/>
      </c>
    </row>
    <row r="295" spans="1:26" x14ac:dyDescent="0.3">
      <c r="A295" s="8"/>
      <c r="B295" s="70" t="str">
        <f>IFERROR(VLOOKUP('1-2-2 关键绩效'!$A295,'1-1 基本信息'!$A:$K,7,0),"")</f>
        <v/>
      </c>
      <c r="C295" s="8" t="str">
        <f>IFERROR(VLOOKUP($A295,'1-1 基本信息'!$A:$J,10,0),"")</f>
        <v/>
      </c>
      <c r="D295" s="8" t="str">
        <f>IFERROR(VLOOKUP(A295,'1-1 基本信息'!$A:$I,8,0),"")</f>
        <v/>
      </c>
      <c r="E295" s="57" t="str">
        <f>IFERROR(VLOOKUP($A295,'1-2-1 绩效数据'!$A:$C,3,0),"")</f>
        <v/>
      </c>
      <c r="F295" s="8" t="str">
        <f t="shared" si="95"/>
        <v>2</v>
      </c>
      <c r="G295" s="8" t="str">
        <f t="shared" si="86"/>
        <v/>
      </c>
      <c r="H295" s="8" t="str">
        <f t="shared" si="87"/>
        <v/>
      </c>
      <c r="I295" s="58" t="str">
        <f t="shared" si="96"/>
        <v/>
      </c>
      <c r="J295" s="8" t="str">
        <f t="shared" si="92"/>
        <v/>
      </c>
      <c r="K295" s="8" t="str">
        <f t="shared" si="97"/>
        <v/>
      </c>
      <c r="L295" s="57" t="str">
        <f>IFERROR(VLOOKUP($A295,'1-2-1 绩效数据'!$D:$F,3,0),"")</f>
        <v/>
      </c>
      <c r="M295" s="8" t="str">
        <f t="shared" si="104"/>
        <v>2</v>
      </c>
      <c r="N295" s="8" t="str">
        <f t="shared" si="88"/>
        <v/>
      </c>
      <c r="O295" s="8" t="str">
        <f t="shared" si="89"/>
        <v/>
      </c>
      <c r="P295" s="58" t="str">
        <f t="shared" si="98"/>
        <v/>
      </c>
      <c r="Q295" s="8" t="str">
        <f t="shared" si="93"/>
        <v/>
      </c>
      <c r="R295" s="8" t="str">
        <f t="shared" si="99"/>
        <v/>
      </c>
      <c r="S295" s="57" t="str">
        <f>IFERROR(VLOOKUP(A295,'1-2-1 绩效数据'!$G:$I,3,0),"")</f>
        <v/>
      </c>
      <c r="T295" s="8" t="str">
        <f t="shared" si="100"/>
        <v>2</v>
      </c>
      <c r="U295" s="8" t="str">
        <f t="shared" si="90"/>
        <v/>
      </c>
      <c r="V295" s="8" t="str">
        <f t="shared" si="91"/>
        <v/>
      </c>
      <c r="W295" s="58" t="str">
        <f t="shared" si="101"/>
        <v/>
      </c>
      <c r="X295" s="8" t="str">
        <f t="shared" si="94"/>
        <v/>
      </c>
      <c r="Y295" s="8" t="str">
        <f t="shared" si="102"/>
        <v/>
      </c>
      <c r="Z295" s="57" t="str">
        <f t="shared" si="103"/>
        <v/>
      </c>
    </row>
    <row r="296" spans="1:26" x14ac:dyDescent="0.3">
      <c r="A296" s="8"/>
      <c r="B296" s="70" t="str">
        <f>IFERROR(VLOOKUP('1-2-2 关键绩效'!$A296,'1-1 基本信息'!$A:$K,7,0),"")</f>
        <v/>
      </c>
      <c r="C296" s="8" t="str">
        <f>IFERROR(VLOOKUP($A296,'1-1 基本信息'!$A:$J,10,0),"")</f>
        <v/>
      </c>
      <c r="D296" s="8" t="str">
        <f>IFERROR(VLOOKUP(A296,'1-1 基本信息'!$A:$I,8,0),"")</f>
        <v/>
      </c>
      <c r="E296" s="57" t="str">
        <f>IFERROR(VLOOKUP($A296,'1-2-1 绩效数据'!$A:$C,3,0),"")</f>
        <v/>
      </c>
      <c r="F296" s="8" t="str">
        <f t="shared" si="95"/>
        <v>2</v>
      </c>
      <c r="G296" s="8" t="str">
        <f t="shared" si="86"/>
        <v/>
      </c>
      <c r="H296" s="8" t="str">
        <f t="shared" si="87"/>
        <v/>
      </c>
      <c r="I296" s="58" t="str">
        <f t="shared" si="96"/>
        <v/>
      </c>
      <c r="J296" s="8" t="str">
        <f t="shared" si="92"/>
        <v/>
      </c>
      <c r="K296" s="8" t="str">
        <f t="shared" si="97"/>
        <v/>
      </c>
      <c r="L296" s="57" t="str">
        <f>IFERROR(VLOOKUP($A296,'1-2-1 绩效数据'!$D:$F,3,0),"")</f>
        <v/>
      </c>
      <c r="M296" s="8" t="str">
        <f t="shared" si="104"/>
        <v>2</v>
      </c>
      <c r="N296" s="8" t="str">
        <f t="shared" si="88"/>
        <v/>
      </c>
      <c r="O296" s="8" t="str">
        <f t="shared" si="89"/>
        <v/>
      </c>
      <c r="P296" s="58" t="str">
        <f t="shared" si="98"/>
        <v/>
      </c>
      <c r="Q296" s="8" t="str">
        <f t="shared" si="93"/>
        <v/>
      </c>
      <c r="R296" s="8" t="str">
        <f t="shared" si="99"/>
        <v/>
      </c>
      <c r="S296" s="57" t="str">
        <f>IFERROR(VLOOKUP(A296,'1-2-1 绩效数据'!$G:$I,3,0),"")</f>
        <v/>
      </c>
      <c r="T296" s="8" t="str">
        <f t="shared" si="100"/>
        <v>2</v>
      </c>
      <c r="U296" s="8" t="str">
        <f t="shared" si="90"/>
        <v/>
      </c>
      <c r="V296" s="8" t="str">
        <f t="shared" si="91"/>
        <v/>
      </c>
      <c r="W296" s="58" t="str">
        <f t="shared" si="101"/>
        <v/>
      </c>
      <c r="X296" s="8" t="str">
        <f t="shared" si="94"/>
        <v/>
      </c>
      <c r="Y296" s="8" t="str">
        <f t="shared" si="102"/>
        <v/>
      </c>
      <c r="Z296" s="57" t="str">
        <f t="shared" si="103"/>
        <v/>
      </c>
    </row>
    <row r="297" spans="1:26" x14ac:dyDescent="0.3">
      <c r="A297" s="8"/>
      <c r="B297" s="70" t="str">
        <f>IFERROR(VLOOKUP('1-2-2 关键绩效'!$A297,'1-1 基本信息'!$A:$K,7,0),"")</f>
        <v/>
      </c>
      <c r="C297" s="8" t="str">
        <f>IFERROR(VLOOKUP($A297,'1-1 基本信息'!$A:$J,10,0),"")</f>
        <v/>
      </c>
      <c r="D297" s="8" t="str">
        <f>IFERROR(VLOOKUP(A297,'1-1 基本信息'!$A:$I,8,0),"")</f>
        <v/>
      </c>
      <c r="E297" s="57" t="str">
        <f>IFERROR(VLOOKUP($A297,'1-2-1 绩效数据'!$A:$C,3,0),"")</f>
        <v/>
      </c>
      <c r="F297" s="8" t="str">
        <f t="shared" si="95"/>
        <v>2</v>
      </c>
      <c r="G297" s="8" t="str">
        <f t="shared" si="86"/>
        <v/>
      </c>
      <c r="H297" s="8" t="str">
        <f t="shared" si="87"/>
        <v/>
      </c>
      <c r="I297" s="58" t="str">
        <f t="shared" si="96"/>
        <v/>
      </c>
      <c r="J297" s="8" t="str">
        <f t="shared" si="92"/>
        <v/>
      </c>
      <c r="K297" s="8" t="str">
        <f t="shared" si="97"/>
        <v/>
      </c>
      <c r="L297" s="57" t="str">
        <f>IFERROR(VLOOKUP($A297,'1-2-1 绩效数据'!$D:$F,3,0),"")</f>
        <v/>
      </c>
      <c r="M297" s="8" t="str">
        <f t="shared" si="104"/>
        <v>2</v>
      </c>
      <c r="N297" s="8" t="str">
        <f t="shared" si="88"/>
        <v/>
      </c>
      <c r="O297" s="8" t="str">
        <f t="shared" si="89"/>
        <v/>
      </c>
      <c r="P297" s="58" t="str">
        <f t="shared" si="98"/>
        <v/>
      </c>
      <c r="Q297" s="8" t="str">
        <f t="shared" si="93"/>
        <v/>
      </c>
      <c r="R297" s="8" t="str">
        <f t="shared" si="99"/>
        <v/>
      </c>
      <c r="S297" s="57" t="str">
        <f>IFERROR(VLOOKUP(A297,'1-2-1 绩效数据'!$G:$I,3,0),"")</f>
        <v/>
      </c>
      <c r="T297" s="8" t="str">
        <f t="shared" si="100"/>
        <v>2</v>
      </c>
      <c r="U297" s="8" t="str">
        <f t="shared" si="90"/>
        <v/>
      </c>
      <c r="V297" s="8" t="str">
        <f t="shared" si="91"/>
        <v/>
      </c>
      <c r="W297" s="58" t="str">
        <f t="shared" si="101"/>
        <v/>
      </c>
      <c r="X297" s="8" t="str">
        <f t="shared" si="94"/>
        <v/>
      </c>
      <c r="Y297" s="8" t="str">
        <f t="shared" si="102"/>
        <v/>
      </c>
      <c r="Z297" s="57" t="str">
        <f t="shared" si="103"/>
        <v/>
      </c>
    </row>
    <row r="298" spans="1:26" x14ac:dyDescent="0.3">
      <c r="A298" s="8"/>
      <c r="B298" s="70" t="str">
        <f>IFERROR(VLOOKUP('1-2-2 关键绩效'!$A298,'1-1 基本信息'!$A:$K,7,0),"")</f>
        <v/>
      </c>
      <c r="C298" s="8" t="str">
        <f>IFERROR(VLOOKUP($A298,'1-1 基本信息'!$A:$J,10,0),"")</f>
        <v/>
      </c>
      <c r="D298" s="8" t="str">
        <f>IFERROR(VLOOKUP(A298,'1-1 基本信息'!$A:$I,8,0),"")</f>
        <v/>
      </c>
      <c r="E298" s="57" t="str">
        <f>IFERROR(VLOOKUP($A298,'1-2-1 绩效数据'!$A:$C,3,0),"")</f>
        <v/>
      </c>
      <c r="F298" s="8" t="str">
        <f t="shared" si="95"/>
        <v>2</v>
      </c>
      <c r="G298" s="8" t="str">
        <f t="shared" si="86"/>
        <v/>
      </c>
      <c r="H298" s="8" t="str">
        <f t="shared" si="87"/>
        <v/>
      </c>
      <c r="I298" s="58" t="str">
        <f t="shared" si="96"/>
        <v/>
      </c>
      <c r="J298" s="8" t="str">
        <f t="shared" si="92"/>
        <v/>
      </c>
      <c r="K298" s="8" t="str">
        <f t="shared" si="97"/>
        <v/>
      </c>
      <c r="L298" s="57" t="str">
        <f>IFERROR(VLOOKUP($A298,'1-2-1 绩效数据'!$D:$F,3,0),"")</f>
        <v/>
      </c>
      <c r="M298" s="8" t="str">
        <f t="shared" si="104"/>
        <v>2</v>
      </c>
      <c r="N298" s="8" t="str">
        <f t="shared" si="88"/>
        <v/>
      </c>
      <c r="O298" s="8" t="str">
        <f t="shared" si="89"/>
        <v/>
      </c>
      <c r="P298" s="58" t="str">
        <f t="shared" si="98"/>
        <v/>
      </c>
      <c r="Q298" s="8" t="str">
        <f t="shared" si="93"/>
        <v/>
      </c>
      <c r="R298" s="8" t="str">
        <f t="shared" si="99"/>
        <v/>
      </c>
      <c r="S298" s="57" t="str">
        <f>IFERROR(VLOOKUP(A298,'1-2-1 绩效数据'!$G:$I,3,0),"")</f>
        <v/>
      </c>
      <c r="T298" s="8" t="str">
        <f t="shared" si="100"/>
        <v>2</v>
      </c>
      <c r="U298" s="8" t="str">
        <f t="shared" si="90"/>
        <v/>
      </c>
      <c r="V298" s="8" t="str">
        <f t="shared" si="91"/>
        <v/>
      </c>
      <c r="W298" s="58" t="str">
        <f t="shared" si="101"/>
        <v/>
      </c>
      <c r="X298" s="8" t="str">
        <f t="shared" si="94"/>
        <v/>
      </c>
      <c r="Y298" s="8" t="str">
        <f t="shared" si="102"/>
        <v/>
      </c>
      <c r="Z298" s="57" t="str">
        <f t="shared" si="103"/>
        <v/>
      </c>
    </row>
    <row r="299" spans="1:26" x14ac:dyDescent="0.3">
      <c r="A299" s="8"/>
      <c r="B299" s="70" t="str">
        <f>IFERROR(VLOOKUP('1-2-2 关键绩效'!$A299,'1-1 基本信息'!$A:$K,7,0),"")</f>
        <v/>
      </c>
      <c r="C299" s="8" t="str">
        <f>IFERROR(VLOOKUP($A299,'1-1 基本信息'!$A:$J,10,0),"")</f>
        <v/>
      </c>
      <c r="D299" s="8" t="str">
        <f>IFERROR(VLOOKUP(A299,'1-1 基本信息'!$A:$I,8,0),"")</f>
        <v/>
      </c>
      <c r="E299" s="57" t="str">
        <f>IFERROR(VLOOKUP($A299,'1-2-1 绩效数据'!$A:$C,3,0),"")</f>
        <v/>
      </c>
      <c r="F299" s="8" t="str">
        <f t="shared" si="95"/>
        <v>2</v>
      </c>
      <c r="G299" s="8" t="str">
        <f t="shared" si="86"/>
        <v/>
      </c>
      <c r="H299" s="8" t="str">
        <f t="shared" si="87"/>
        <v/>
      </c>
      <c r="I299" s="58" t="str">
        <f t="shared" si="96"/>
        <v/>
      </c>
      <c r="J299" s="8" t="str">
        <f t="shared" si="92"/>
        <v/>
      </c>
      <c r="K299" s="8" t="str">
        <f t="shared" si="97"/>
        <v/>
      </c>
      <c r="L299" s="57" t="str">
        <f>IFERROR(VLOOKUP($A299,'1-2-1 绩效数据'!$D:$F,3,0),"")</f>
        <v/>
      </c>
      <c r="M299" s="8" t="str">
        <f t="shared" si="104"/>
        <v>2</v>
      </c>
      <c r="N299" s="8" t="str">
        <f t="shared" si="88"/>
        <v/>
      </c>
      <c r="O299" s="8" t="str">
        <f t="shared" si="89"/>
        <v/>
      </c>
      <c r="P299" s="58" t="str">
        <f t="shared" si="98"/>
        <v/>
      </c>
      <c r="Q299" s="8" t="str">
        <f t="shared" si="93"/>
        <v/>
      </c>
      <c r="R299" s="8" t="str">
        <f t="shared" si="99"/>
        <v/>
      </c>
      <c r="S299" s="57" t="str">
        <f>IFERROR(VLOOKUP(A299,'1-2-1 绩效数据'!$G:$I,3,0),"")</f>
        <v/>
      </c>
      <c r="T299" s="8" t="str">
        <f t="shared" si="100"/>
        <v>2</v>
      </c>
      <c r="U299" s="8" t="str">
        <f t="shared" si="90"/>
        <v/>
      </c>
      <c r="V299" s="8" t="str">
        <f t="shared" si="91"/>
        <v/>
      </c>
      <c r="W299" s="58" t="str">
        <f t="shared" si="101"/>
        <v/>
      </c>
      <c r="X299" s="8" t="str">
        <f t="shared" si="94"/>
        <v/>
      </c>
      <c r="Y299" s="8" t="str">
        <f t="shared" si="102"/>
        <v/>
      </c>
      <c r="Z299" s="57" t="str">
        <f t="shared" si="103"/>
        <v/>
      </c>
    </row>
    <row r="300" spans="1:26" x14ac:dyDescent="0.3">
      <c r="A300" s="8"/>
      <c r="B300" s="70" t="str">
        <f>IFERROR(VLOOKUP('1-2-2 关键绩效'!$A300,'1-1 基本信息'!$A:$K,7,0),"")</f>
        <v/>
      </c>
      <c r="C300" s="8" t="str">
        <f>IFERROR(VLOOKUP($A300,'1-1 基本信息'!$A:$J,10,0),"")</f>
        <v/>
      </c>
      <c r="D300" s="8" t="str">
        <f>IFERROR(VLOOKUP(A300,'1-1 基本信息'!$A:$I,8,0),"")</f>
        <v/>
      </c>
      <c r="E300" s="57" t="str">
        <f>IFERROR(VLOOKUP($A300,'1-2-1 绩效数据'!$A:$C,3,0),"")</f>
        <v/>
      </c>
      <c r="F300" s="8" t="str">
        <f t="shared" si="95"/>
        <v>2</v>
      </c>
      <c r="G300" s="8" t="str">
        <f t="shared" si="86"/>
        <v/>
      </c>
      <c r="H300" s="8" t="str">
        <f t="shared" si="87"/>
        <v/>
      </c>
      <c r="I300" s="58" t="str">
        <f t="shared" si="96"/>
        <v/>
      </c>
      <c r="J300" s="8" t="str">
        <f t="shared" si="92"/>
        <v/>
      </c>
      <c r="K300" s="8" t="str">
        <f t="shared" si="97"/>
        <v/>
      </c>
      <c r="L300" s="57" t="str">
        <f>IFERROR(VLOOKUP($A300,'1-2-1 绩效数据'!$D:$F,3,0),"")</f>
        <v/>
      </c>
      <c r="M300" s="8" t="str">
        <f t="shared" si="104"/>
        <v>2</v>
      </c>
      <c r="N300" s="8" t="str">
        <f t="shared" si="88"/>
        <v/>
      </c>
      <c r="O300" s="8" t="str">
        <f t="shared" si="89"/>
        <v/>
      </c>
      <c r="P300" s="58" t="str">
        <f t="shared" si="98"/>
        <v/>
      </c>
      <c r="Q300" s="8" t="str">
        <f t="shared" si="93"/>
        <v/>
      </c>
      <c r="R300" s="8" t="str">
        <f t="shared" si="99"/>
        <v/>
      </c>
      <c r="S300" s="57" t="str">
        <f>IFERROR(VLOOKUP(A300,'1-2-1 绩效数据'!$G:$I,3,0),"")</f>
        <v/>
      </c>
      <c r="T300" s="8" t="str">
        <f t="shared" si="100"/>
        <v>2</v>
      </c>
      <c r="U300" s="8" t="str">
        <f t="shared" si="90"/>
        <v/>
      </c>
      <c r="V300" s="8" t="str">
        <f t="shared" si="91"/>
        <v/>
      </c>
      <c r="W300" s="58" t="str">
        <f t="shared" si="101"/>
        <v/>
      </c>
      <c r="X300" s="8" t="str">
        <f t="shared" si="94"/>
        <v/>
      </c>
      <c r="Y300" s="8" t="str">
        <f t="shared" si="102"/>
        <v/>
      </c>
      <c r="Z300" s="57" t="str">
        <f t="shared" si="103"/>
        <v/>
      </c>
    </row>
    <row r="301" spans="1:26" x14ac:dyDescent="0.3">
      <c r="A301" s="8"/>
      <c r="B301" s="70" t="str">
        <f>IFERROR(VLOOKUP('1-2-2 关键绩效'!$A301,'1-1 基本信息'!$A:$K,7,0),"")</f>
        <v/>
      </c>
      <c r="C301" s="8" t="str">
        <f>IFERROR(VLOOKUP($A301,'1-1 基本信息'!$A:$J,10,0),"")</f>
        <v/>
      </c>
      <c r="D301" s="8" t="str">
        <f>IFERROR(VLOOKUP(A301,'1-1 基本信息'!$A:$I,8,0),"")</f>
        <v/>
      </c>
      <c r="E301" s="57" t="str">
        <f>IFERROR(VLOOKUP($A301,'1-2-1 绩效数据'!$A:$C,3,0),"")</f>
        <v/>
      </c>
      <c r="F301" s="8" t="str">
        <f t="shared" si="95"/>
        <v>2</v>
      </c>
      <c r="G301" s="8" t="str">
        <f t="shared" si="86"/>
        <v/>
      </c>
      <c r="H301" s="8" t="str">
        <f t="shared" si="87"/>
        <v/>
      </c>
      <c r="I301" s="58" t="str">
        <f t="shared" si="96"/>
        <v/>
      </c>
      <c r="J301" s="8" t="str">
        <f t="shared" si="92"/>
        <v/>
      </c>
      <c r="K301" s="8" t="str">
        <f t="shared" si="97"/>
        <v/>
      </c>
      <c r="L301" s="57" t="str">
        <f>IFERROR(VLOOKUP($A301,'1-2-1 绩效数据'!$D:$F,3,0),"")</f>
        <v/>
      </c>
      <c r="M301" s="8" t="str">
        <f t="shared" si="104"/>
        <v>2</v>
      </c>
      <c r="N301" s="8" t="str">
        <f t="shared" si="88"/>
        <v/>
      </c>
      <c r="O301" s="8" t="str">
        <f t="shared" si="89"/>
        <v/>
      </c>
      <c r="P301" s="58" t="str">
        <f t="shared" si="98"/>
        <v/>
      </c>
      <c r="Q301" s="8" t="str">
        <f t="shared" si="93"/>
        <v/>
      </c>
      <c r="R301" s="8" t="str">
        <f t="shared" si="99"/>
        <v/>
      </c>
      <c r="S301" s="57" t="str">
        <f>IFERROR(VLOOKUP(A301,'1-2-1 绩效数据'!$G:$I,3,0),"")</f>
        <v/>
      </c>
      <c r="T301" s="8" t="str">
        <f t="shared" si="100"/>
        <v>2</v>
      </c>
      <c r="U301" s="8" t="str">
        <f t="shared" si="90"/>
        <v/>
      </c>
      <c r="V301" s="8" t="str">
        <f t="shared" si="91"/>
        <v/>
      </c>
      <c r="W301" s="58" t="str">
        <f t="shared" si="101"/>
        <v/>
      </c>
      <c r="X301" s="8" t="str">
        <f t="shared" si="94"/>
        <v/>
      </c>
      <c r="Y301" s="8" t="str">
        <f t="shared" si="102"/>
        <v/>
      </c>
      <c r="Z301" s="57" t="str">
        <f t="shared" si="103"/>
        <v/>
      </c>
    </row>
    <row r="302" spans="1:26" x14ac:dyDescent="0.3">
      <c r="A302" s="8"/>
      <c r="B302" s="70" t="str">
        <f>IFERROR(VLOOKUP('1-2-2 关键绩效'!$A302,'1-1 基本信息'!$A:$K,7,0),"")</f>
        <v/>
      </c>
      <c r="C302" s="8" t="str">
        <f>IFERROR(VLOOKUP($A302,'1-1 基本信息'!$A:$J,10,0),"")</f>
        <v/>
      </c>
      <c r="D302" s="8" t="str">
        <f>IFERROR(VLOOKUP(A302,'1-1 基本信息'!$A:$I,8,0),"")</f>
        <v/>
      </c>
      <c r="E302" s="57" t="str">
        <f>IFERROR(VLOOKUP($A302,'1-2-1 绩效数据'!$A:$C,3,0),"")</f>
        <v/>
      </c>
      <c r="F302" s="8" t="str">
        <f t="shared" si="95"/>
        <v>2</v>
      </c>
      <c r="G302" s="8" t="str">
        <f t="shared" si="86"/>
        <v/>
      </c>
      <c r="H302" s="8" t="str">
        <f t="shared" si="87"/>
        <v/>
      </c>
      <c r="I302" s="58" t="str">
        <f t="shared" si="96"/>
        <v/>
      </c>
      <c r="J302" s="8" t="str">
        <f t="shared" si="92"/>
        <v/>
      </c>
      <c r="K302" s="8" t="str">
        <f t="shared" si="97"/>
        <v/>
      </c>
      <c r="L302" s="57" t="str">
        <f>IFERROR(VLOOKUP($A302,'1-2-1 绩效数据'!$D:$F,3,0),"")</f>
        <v/>
      </c>
      <c r="M302" s="8" t="str">
        <f t="shared" si="104"/>
        <v>2</v>
      </c>
      <c r="N302" s="8" t="str">
        <f t="shared" si="88"/>
        <v/>
      </c>
      <c r="O302" s="8" t="str">
        <f t="shared" si="89"/>
        <v/>
      </c>
      <c r="P302" s="58" t="str">
        <f t="shared" si="98"/>
        <v/>
      </c>
      <c r="Q302" s="8" t="str">
        <f t="shared" si="93"/>
        <v/>
      </c>
      <c r="R302" s="8" t="str">
        <f t="shared" si="99"/>
        <v/>
      </c>
      <c r="S302" s="57" t="str">
        <f>IFERROR(VLOOKUP(A302,'1-2-1 绩效数据'!$G:$I,3,0),"")</f>
        <v/>
      </c>
      <c r="T302" s="8" t="str">
        <f t="shared" si="100"/>
        <v>2</v>
      </c>
      <c r="U302" s="8" t="str">
        <f t="shared" si="90"/>
        <v/>
      </c>
      <c r="V302" s="8" t="str">
        <f t="shared" si="91"/>
        <v/>
      </c>
      <c r="W302" s="58" t="str">
        <f t="shared" si="101"/>
        <v/>
      </c>
      <c r="X302" s="8" t="str">
        <f t="shared" si="94"/>
        <v/>
      </c>
      <c r="Y302" s="8" t="str">
        <f t="shared" si="102"/>
        <v/>
      </c>
      <c r="Z302" s="57" t="str">
        <f t="shared" si="103"/>
        <v/>
      </c>
    </row>
    <row r="303" spans="1:26" x14ac:dyDescent="0.3">
      <c r="A303" s="8"/>
      <c r="B303" s="70" t="str">
        <f>IFERROR(VLOOKUP('1-2-2 关键绩效'!$A303,'1-1 基本信息'!$A:$K,7,0),"")</f>
        <v/>
      </c>
      <c r="C303" s="8" t="str">
        <f>IFERROR(VLOOKUP($A303,'1-1 基本信息'!$A:$J,10,0),"")</f>
        <v/>
      </c>
      <c r="D303" s="8" t="str">
        <f>IFERROR(VLOOKUP(A303,'1-1 基本信息'!$A:$I,8,0),"")</f>
        <v/>
      </c>
      <c r="E303" s="57" t="str">
        <f>IFERROR(VLOOKUP($A303,'1-2-1 绩效数据'!$A:$C,3,0),"")</f>
        <v/>
      </c>
      <c r="F303" s="8" t="str">
        <f t="shared" si="95"/>
        <v>2</v>
      </c>
      <c r="G303" s="8" t="str">
        <f t="shared" si="86"/>
        <v/>
      </c>
      <c r="H303" s="8" t="str">
        <f t="shared" si="87"/>
        <v/>
      </c>
      <c r="I303" s="58" t="str">
        <f t="shared" si="96"/>
        <v/>
      </c>
      <c r="J303" s="8" t="str">
        <f t="shared" si="92"/>
        <v/>
      </c>
      <c r="K303" s="8" t="str">
        <f t="shared" si="97"/>
        <v/>
      </c>
      <c r="L303" s="57" t="str">
        <f>IFERROR(VLOOKUP($A303,'1-2-1 绩效数据'!$D:$F,3,0),"")</f>
        <v/>
      </c>
      <c r="M303" s="8" t="str">
        <f t="shared" si="104"/>
        <v>2</v>
      </c>
      <c r="N303" s="8" t="str">
        <f t="shared" si="88"/>
        <v/>
      </c>
      <c r="O303" s="8" t="str">
        <f t="shared" si="89"/>
        <v/>
      </c>
      <c r="P303" s="58" t="str">
        <f t="shared" si="98"/>
        <v/>
      </c>
      <c r="Q303" s="8" t="str">
        <f t="shared" si="93"/>
        <v/>
      </c>
      <c r="R303" s="8" t="str">
        <f t="shared" si="99"/>
        <v/>
      </c>
      <c r="S303" s="57" t="str">
        <f>IFERROR(VLOOKUP(A303,'1-2-1 绩效数据'!$G:$I,3,0),"")</f>
        <v/>
      </c>
      <c r="T303" s="8" t="str">
        <f t="shared" si="100"/>
        <v>2</v>
      </c>
      <c r="U303" s="8" t="str">
        <f t="shared" si="90"/>
        <v/>
      </c>
      <c r="V303" s="8" t="str">
        <f t="shared" si="91"/>
        <v/>
      </c>
      <c r="W303" s="58" t="str">
        <f t="shared" si="101"/>
        <v/>
      </c>
      <c r="X303" s="8" t="str">
        <f t="shared" si="94"/>
        <v/>
      </c>
      <c r="Y303" s="8" t="str">
        <f t="shared" si="102"/>
        <v/>
      </c>
      <c r="Z303" s="57" t="str">
        <f t="shared" si="103"/>
        <v/>
      </c>
    </row>
    <row r="304" spans="1:26" x14ac:dyDescent="0.3">
      <c r="A304" s="8"/>
      <c r="B304" s="70" t="str">
        <f>IFERROR(VLOOKUP('1-2-2 关键绩效'!$A304,'1-1 基本信息'!$A:$K,7,0),"")</f>
        <v/>
      </c>
      <c r="C304" s="8" t="str">
        <f>IFERROR(VLOOKUP($A304,'1-1 基本信息'!$A:$J,10,0),"")</f>
        <v/>
      </c>
      <c r="D304" s="8" t="str">
        <f>IFERROR(VLOOKUP(A304,'1-1 基本信息'!$A:$I,8,0),"")</f>
        <v/>
      </c>
      <c r="E304" s="57" t="str">
        <f>IFERROR(VLOOKUP($A304,'1-2-1 绩效数据'!$A:$C,3,0),"")</f>
        <v/>
      </c>
      <c r="F304" s="8" t="str">
        <f t="shared" si="95"/>
        <v>2</v>
      </c>
      <c r="G304" s="8" t="str">
        <f t="shared" si="86"/>
        <v/>
      </c>
      <c r="H304" s="8" t="str">
        <f t="shared" si="87"/>
        <v/>
      </c>
      <c r="I304" s="58" t="str">
        <f t="shared" si="96"/>
        <v/>
      </c>
      <c r="J304" s="8" t="str">
        <f t="shared" si="92"/>
        <v/>
      </c>
      <c r="K304" s="8" t="str">
        <f t="shared" si="97"/>
        <v/>
      </c>
      <c r="L304" s="57" t="str">
        <f>IFERROR(VLOOKUP($A304,'1-2-1 绩效数据'!$D:$F,3,0),"")</f>
        <v/>
      </c>
      <c r="M304" s="8" t="str">
        <f t="shared" si="104"/>
        <v>2</v>
      </c>
      <c r="N304" s="8" t="str">
        <f t="shared" si="88"/>
        <v/>
      </c>
      <c r="O304" s="8" t="str">
        <f t="shared" si="89"/>
        <v/>
      </c>
      <c r="P304" s="58" t="str">
        <f t="shared" si="98"/>
        <v/>
      </c>
      <c r="Q304" s="8" t="str">
        <f t="shared" si="93"/>
        <v/>
      </c>
      <c r="R304" s="8" t="str">
        <f t="shared" si="99"/>
        <v/>
      </c>
      <c r="S304" s="57" t="str">
        <f>IFERROR(VLOOKUP(A304,'1-2-1 绩效数据'!$G:$I,3,0),"")</f>
        <v/>
      </c>
      <c r="T304" s="8" t="str">
        <f t="shared" si="100"/>
        <v>2</v>
      </c>
      <c r="U304" s="8" t="str">
        <f t="shared" si="90"/>
        <v/>
      </c>
      <c r="V304" s="8" t="str">
        <f t="shared" si="91"/>
        <v/>
      </c>
      <c r="W304" s="58" t="str">
        <f t="shared" si="101"/>
        <v/>
      </c>
      <c r="X304" s="8" t="str">
        <f t="shared" si="94"/>
        <v/>
      </c>
      <c r="Y304" s="8" t="str">
        <f t="shared" si="102"/>
        <v/>
      </c>
      <c r="Z304" s="57" t="str">
        <f t="shared" si="103"/>
        <v/>
      </c>
    </row>
    <row r="305" spans="1:26" x14ac:dyDescent="0.3">
      <c r="A305" s="8"/>
      <c r="B305" s="70" t="str">
        <f>IFERROR(VLOOKUP('1-2-2 关键绩效'!$A305,'1-1 基本信息'!$A:$K,7,0),"")</f>
        <v/>
      </c>
      <c r="C305" s="8" t="str">
        <f>IFERROR(VLOOKUP($A305,'1-1 基本信息'!$A:$J,10,0),"")</f>
        <v/>
      </c>
      <c r="D305" s="8" t="str">
        <f>IFERROR(VLOOKUP(A305,'1-1 基本信息'!$A:$I,8,0),"")</f>
        <v/>
      </c>
      <c r="E305" s="57" t="str">
        <f>IFERROR(VLOOKUP($A305,'1-2-1 绩效数据'!$A:$C,3,0),"")</f>
        <v/>
      </c>
      <c r="F305" s="8" t="str">
        <f t="shared" si="95"/>
        <v>2</v>
      </c>
      <c r="G305" s="8" t="str">
        <f t="shared" si="86"/>
        <v/>
      </c>
      <c r="H305" s="8" t="str">
        <f t="shared" si="87"/>
        <v/>
      </c>
      <c r="I305" s="58" t="str">
        <f t="shared" si="96"/>
        <v/>
      </c>
      <c r="J305" s="8" t="str">
        <f t="shared" si="92"/>
        <v/>
      </c>
      <c r="K305" s="8" t="str">
        <f t="shared" si="97"/>
        <v/>
      </c>
      <c r="L305" s="57" t="str">
        <f>IFERROR(VLOOKUP($A305,'1-2-1 绩效数据'!$D:$F,3,0),"")</f>
        <v/>
      </c>
      <c r="M305" s="8" t="str">
        <f t="shared" si="104"/>
        <v>2</v>
      </c>
      <c r="N305" s="8" t="str">
        <f t="shared" si="88"/>
        <v/>
      </c>
      <c r="O305" s="8" t="str">
        <f t="shared" si="89"/>
        <v/>
      </c>
      <c r="P305" s="58" t="str">
        <f t="shared" si="98"/>
        <v/>
      </c>
      <c r="Q305" s="8" t="str">
        <f t="shared" si="93"/>
        <v/>
      </c>
      <c r="R305" s="8" t="str">
        <f t="shared" si="99"/>
        <v/>
      </c>
      <c r="S305" s="57" t="str">
        <f>IFERROR(VLOOKUP(A305,'1-2-1 绩效数据'!$G:$I,3,0),"")</f>
        <v/>
      </c>
      <c r="T305" s="8" t="str">
        <f t="shared" si="100"/>
        <v>2</v>
      </c>
      <c r="U305" s="8" t="str">
        <f t="shared" si="90"/>
        <v/>
      </c>
      <c r="V305" s="8" t="str">
        <f t="shared" si="91"/>
        <v/>
      </c>
      <c r="W305" s="58" t="str">
        <f t="shared" si="101"/>
        <v/>
      </c>
      <c r="X305" s="8" t="str">
        <f t="shared" si="94"/>
        <v/>
      </c>
      <c r="Y305" s="8" t="str">
        <f t="shared" si="102"/>
        <v/>
      </c>
      <c r="Z305" s="57" t="str">
        <f t="shared" si="103"/>
        <v/>
      </c>
    </row>
    <row r="306" spans="1:26" x14ac:dyDescent="0.3">
      <c r="A306" s="8"/>
      <c r="B306" s="70" t="str">
        <f>IFERROR(VLOOKUP('1-2-2 关键绩效'!$A306,'1-1 基本信息'!$A:$K,7,0),"")</f>
        <v/>
      </c>
      <c r="C306" s="8" t="str">
        <f>IFERROR(VLOOKUP($A306,'1-1 基本信息'!$A:$J,10,0),"")</f>
        <v/>
      </c>
      <c r="D306" s="8" t="str">
        <f>IFERROR(VLOOKUP(A306,'1-1 基本信息'!$A:$I,8,0),"")</f>
        <v/>
      </c>
      <c r="E306" s="57" t="str">
        <f>IFERROR(VLOOKUP($A306,'1-2-1 绩效数据'!$A:$C,3,0),"")</f>
        <v/>
      </c>
      <c r="F306" s="8" t="str">
        <f t="shared" si="95"/>
        <v>2</v>
      </c>
      <c r="G306" s="8" t="str">
        <f t="shared" si="86"/>
        <v/>
      </c>
      <c r="H306" s="8" t="str">
        <f t="shared" si="87"/>
        <v/>
      </c>
      <c r="I306" s="58" t="str">
        <f t="shared" si="96"/>
        <v/>
      </c>
      <c r="J306" s="8" t="str">
        <f t="shared" si="92"/>
        <v/>
      </c>
      <c r="K306" s="8" t="str">
        <f t="shared" si="97"/>
        <v/>
      </c>
      <c r="L306" s="57" t="str">
        <f>IFERROR(VLOOKUP($A306,'1-2-1 绩效数据'!$D:$F,3,0),"")</f>
        <v/>
      </c>
      <c r="M306" s="8" t="str">
        <f t="shared" si="104"/>
        <v>2</v>
      </c>
      <c r="N306" s="8" t="str">
        <f t="shared" si="88"/>
        <v/>
      </c>
      <c r="O306" s="8" t="str">
        <f t="shared" si="89"/>
        <v/>
      </c>
      <c r="P306" s="58" t="str">
        <f t="shared" si="98"/>
        <v/>
      </c>
      <c r="Q306" s="8" t="str">
        <f t="shared" si="93"/>
        <v/>
      </c>
      <c r="R306" s="8" t="str">
        <f t="shared" si="99"/>
        <v/>
      </c>
      <c r="S306" s="57" t="str">
        <f>IFERROR(VLOOKUP(A306,'1-2-1 绩效数据'!$G:$I,3,0),"")</f>
        <v/>
      </c>
      <c r="T306" s="8" t="str">
        <f t="shared" si="100"/>
        <v>2</v>
      </c>
      <c r="U306" s="8" t="str">
        <f t="shared" si="90"/>
        <v/>
      </c>
      <c r="V306" s="8" t="str">
        <f t="shared" si="91"/>
        <v/>
      </c>
      <c r="W306" s="58" t="str">
        <f t="shared" si="101"/>
        <v/>
      </c>
      <c r="X306" s="8" t="str">
        <f t="shared" si="94"/>
        <v/>
      </c>
      <c r="Y306" s="8" t="str">
        <f t="shared" si="102"/>
        <v/>
      </c>
      <c r="Z306" s="57" t="str">
        <f t="shared" si="103"/>
        <v/>
      </c>
    </row>
    <row r="307" spans="1:26" x14ac:dyDescent="0.3">
      <c r="A307" s="8"/>
      <c r="B307" s="70" t="str">
        <f>IFERROR(VLOOKUP('1-2-2 关键绩效'!$A307,'1-1 基本信息'!$A:$K,7,0),"")</f>
        <v/>
      </c>
      <c r="C307" s="8" t="str">
        <f>IFERROR(VLOOKUP($A307,'1-1 基本信息'!$A:$J,10,0),"")</f>
        <v/>
      </c>
      <c r="D307" s="8" t="str">
        <f>IFERROR(VLOOKUP(A307,'1-1 基本信息'!$A:$I,8,0),"")</f>
        <v/>
      </c>
      <c r="E307" s="57" t="str">
        <f>IFERROR(VLOOKUP($A307,'1-2-1 绩效数据'!$A:$C,3,0),"")</f>
        <v/>
      </c>
      <c r="F307" s="8" t="str">
        <f t="shared" si="95"/>
        <v>2</v>
      </c>
      <c r="G307" s="8" t="str">
        <f t="shared" si="86"/>
        <v/>
      </c>
      <c r="H307" s="8" t="str">
        <f t="shared" si="87"/>
        <v/>
      </c>
      <c r="I307" s="58" t="str">
        <f t="shared" si="96"/>
        <v/>
      </c>
      <c r="J307" s="8" t="str">
        <f t="shared" si="92"/>
        <v/>
      </c>
      <c r="K307" s="8" t="str">
        <f t="shared" si="97"/>
        <v/>
      </c>
      <c r="L307" s="57" t="str">
        <f>IFERROR(VLOOKUP($A307,'1-2-1 绩效数据'!$D:$F,3,0),"")</f>
        <v/>
      </c>
      <c r="M307" s="8" t="str">
        <f t="shared" si="104"/>
        <v>2</v>
      </c>
      <c r="N307" s="8" t="str">
        <f t="shared" si="88"/>
        <v/>
      </c>
      <c r="O307" s="8" t="str">
        <f t="shared" si="89"/>
        <v/>
      </c>
      <c r="P307" s="58" t="str">
        <f t="shared" si="98"/>
        <v/>
      </c>
      <c r="Q307" s="8" t="str">
        <f t="shared" si="93"/>
        <v/>
      </c>
      <c r="R307" s="8" t="str">
        <f t="shared" si="99"/>
        <v/>
      </c>
      <c r="S307" s="57" t="str">
        <f>IFERROR(VLOOKUP(A307,'1-2-1 绩效数据'!$G:$I,3,0),"")</f>
        <v/>
      </c>
      <c r="T307" s="8" t="str">
        <f t="shared" si="100"/>
        <v>2</v>
      </c>
      <c r="U307" s="8" t="str">
        <f t="shared" si="90"/>
        <v/>
      </c>
      <c r="V307" s="8" t="str">
        <f t="shared" si="91"/>
        <v/>
      </c>
      <c r="W307" s="58" t="str">
        <f t="shared" si="101"/>
        <v/>
      </c>
      <c r="X307" s="8" t="str">
        <f t="shared" si="94"/>
        <v/>
      </c>
      <c r="Y307" s="8" t="str">
        <f t="shared" si="102"/>
        <v/>
      </c>
      <c r="Z307" s="57" t="str">
        <f t="shared" si="103"/>
        <v/>
      </c>
    </row>
    <row r="308" spans="1:26" x14ac:dyDescent="0.3">
      <c r="A308" s="8"/>
      <c r="B308" s="70" t="str">
        <f>IFERROR(VLOOKUP('1-2-2 关键绩效'!$A308,'1-1 基本信息'!$A:$K,7,0),"")</f>
        <v/>
      </c>
      <c r="C308" s="8" t="str">
        <f>IFERROR(VLOOKUP($A308,'1-1 基本信息'!$A:$J,10,0),"")</f>
        <v/>
      </c>
      <c r="D308" s="8" t="str">
        <f>IFERROR(VLOOKUP(A308,'1-1 基本信息'!$A:$I,8,0),"")</f>
        <v/>
      </c>
      <c r="E308" s="57" t="str">
        <f>IFERROR(VLOOKUP($A308,'1-2-1 绩效数据'!$A:$C,3,0),"")</f>
        <v/>
      </c>
      <c r="F308" s="8" t="str">
        <f t="shared" si="95"/>
        <v>2</v>
      </c>
      <c r="G308" s="8" t="str">
        <f t="shared" si="86"/>
        <v/>
      </c>
      <c r="H308" s="8" t="str">
        <f t="shared" si="87"/>
        <v/>
      </c>
      <c r="I308" s="58" t="str">
        <f t="shared" si="96"/>
        <v/>
      </c>
      <c r="J308" s="8" t="str">
        <f t="shared" si="92"/>
        <v/>
      </c>
      <c r="K308" s="8" t="str">
        <f t="shared" si="97"/>
        <v/>
      </c>
      <c r="L308" s="57" t="str">
        <f>IFERROR(VLOOKUP($A308,'1-2-1 绩效数据'!$D:$F,3,0),"")</f>
        <v/>
      </c>
      <c r="M308" s="8" t="str">
        <f t="shared" si="104"/>
        <v>2</v>
      </c>
      <c r="N308" s="8" t="str">
        <f t="shared" si="88"/>
        <v/>
      </c>
      <c r="O308" s="8" t="str">
        <f t="shared" si="89"/>
        <v/>
      </c>
      <c r="P308" s="58" t="str">
        <f t="shared" si="98"/>
        <v/>
      </c>
      <c r="Q308" s="8" t="str">
        <f t="shared" si="93"/>
        <v/>
      </c>
      <c r="R308" s="8" t="str">
        <f t="shared" si="99"/>
        <v/>
      </c>
      <c r="S308" s="57" t="str">
        <f>IFERROR(VLOOKUP(A308,'1-2-1 绩效数据'!$G:$I,3,0),"")</f>
        <v/>
      </c>
      <c r="T308" s="8" t="str">
        <f t="shared" si="100"/>
        <v>2</v>
      </c>
      <c r="U308" s="8" t="str">
        <f t="shared" si="90"/>
        <v/>
      </c>
      <c r="V308" s="8" t="str">
        <f t="shared" si="91"/>
        <v/>
      </c>
      <c r="W308" s="58" t="str">
        <f t="shared" si="101"/>
        <v/>
      </c>
      <c r="X308" s="8" t="str">
        <f t="shared" si="94"/>
        <v/>
      </c>
      <c r="Y308" s="8" t="str">
        <f t="shared" si="102"/>
        <v/>
      </c>
      <c r="Z308" s="57" t="str">
        <f t="shared" si="103"/>
        <v/>
      </c>
    </row>
    <row r="309" spans="1:26" x14ac:dyDescent="0.3">
      <c r="A309" s="8"/>
      <c r="B309" s="70" t="str">
        <f>IFERROR(VLOOKUP('1-2-2 关键绩效'!$A309,'1-1 基本信息'!$A:$K,7,0),"")</f>
        <v/>
      </c>
      <c r="C309" s="8" t="str">
        <f>IFERROR(VLOOKUP($A309,'1-1 基本信息'!$A:$J,10,0),"")</f>
        <v/>
      </c>
      <c r="D309" s="8" t="str">
        <f>IFERROR(VLOOKUP(A309,'1-1 基本信息'!$A:$I,8,0),"")</f>
        <v/>
      </c>
      <c r="E309" s="57" t="str">
        <f>IFERROR(VLOOKUP($A309,'1-2-1 绩效数据'!$A:$C,3,0),"")</f>
        <v/>
      </c>
      <c r="F309" s="8" t="str">
        <f t="shared" si="95"/>
        <v>2</v>
      </c>
      <c r="G309" s="8" t="str">
        <f t="shared" si="86"/>
        <v/>
      </c>
      <c r="H309" s="8" t="str">
        <f t="shared" si="87"/>
        <v/>
      </c>
      <c r="I309" s="58" t="str">
        <f t="shared" si="96"/>
        <v/>
      </c>
      <c r="J309" s="8" t="str">
        <f t="shared" si="92"/>
        <v/>
      </c>
      <c r="K309" s="8" t="str">
        <f t="shared" si="97"/>
        <v/>
      </c>
      <c r="L309" s="57" t="str">
        <f>IFERROR(VLOOKUP($A309,'1-2-1 绩效数据'!$D:$F,3,0),"")</f>
        <v/>
      </c>
      <c r="M309" s="8" t="str">
        <f t="shared" si="104"/>
        <v>2</v>
      </c>
      <c r="N309" s="8" t="str">
        <f t="shared" si="88"/>
        <v/>
      </c>
      <c r="O309" s="8" t="str">
        <f t="shared" si="89"/>
        <v/>
      </c>
      <c r="P309" s="58" t="str">
        <f t="shared" si="98"/>
        <v/>
      </c>
      <c r="Q309" s="8" t="str">
        <f t="shared" si="93"/>
        <v/>
      </c>
      <c r="R309" s="8" t="str">
        <f t="shared" si="99"/>
        <v/>
      </c>
      <c r="S309" s="57" t="str">
        <f>IFERROR(VLOOKUP(A309,'1-2-1 绩效数据'!$G:$I,3,0),"")</f>
        <v/>
      </c>
      <c r="T309" s="8" t="str">
        <f t="shared" si="100"/>
        <v>2</v>
      </c>
      <c r="U309" s="8" t="str">
        <f t="shared" si="90"/>
        <v/>
      </c>
      <c r="V309" s="8" t="str">
        <f t="shared" si="91"/>
        <v/>
      </c>
      <c r="W309" s="58" t="str">
        <f t="shared" si="101"/>
        <v/>
      </c>
      <c r="X309" s="8" t="str">
        <f t="shared" si="94"/>
        <v/>
      </c>
      <c r="Y309" s="8" t="str">
        <f t="shared" si="102"/>
        <v/>
      </c>
      <c r="Z309" s="57" t="str">
        <f t="shared" si="103"/>
        <v/>
      </c>
    </row>
    <row r="310" spans="1:26" x14ac:dyDescent="0.3">
      <c r="A310" s="8"/>
      <c r="B310" s="70" t="str">
        <f>IFERROR(VLOOKUP('1-2-2 关键绩效'!$A310,'1-1 基本信息'!$A:$K,7,0),"")</f>
        <v/>
      </c>
      <c r="C310" s="8" t="str">
        <f>IFERROR(VLOOKUP($A310,'1-1 基本信息'!$A:$J,10,0),"")</f>
        <v/>
      </c>
      <c r="D310" s="8" t="str">
        <f>IFERROR(VLOOKUP(A310,'1-1 基本信息'!$A:$I,8,0),"")</f>
        <v/>
      </c>
      <c r="E310" s="57" t="str">
        <f>IFERROR(VLOOKUP($A310,'1-2-1 绩效数据'!$A:$C,3,0),"")</f>
        <v/>
      </c>
      <c r="F310" s="8" t="str">
        <f t="shared" si="95"/>
        <v>2</v>
      </c>
      <c r="G310" s="8" t="str">
        <f t="shared" si="86"/>
        <v/>
      </c>
      <c r="H310" s="8" t="str">
        <f t="shared" si="87"/>
        <v/>
      </c>
      <c r="I310" s="58" t="str">
        <f t="shared" si="96"/>
        <v/>
      </c>
      <c r="J310" s="8" t="str">
        <f t="shared" si="92"/>
        <v/>
      </c>
      <c r="K310" s="8" t="str">
        <f t="shared" si="97"/>
        <v/>
      </c>
      <c r="L310" s="57" t="str">
        <f>IFERROR(VLOOKUP($A310,'1-2-1 绩效数据'!$D:$F,3,0),"")</f>
        <v/>
      </c>
      <c r="M310" s="8" t="str">
        <f t="shared" si="104"/>
        <v>2</v>
      </c>
      <c r="N310" s="8" t="str">
        <f t="shared" si="88"/>
        <v/>
      </c>
      <c r="O310" s="8" t="str">
        <f t="shared" si="89"/>
        <v/>
      </c>
      <c r="P310" s="58" t="str">
        <f t="shared" si="98"/>
        <v/>
      </c>
      <c r="Q310" s="8" t="str">
        <f t="shared" si="93"/>
        <v/>
      </c>
      <c r="R310" s="8" t="str">
        <f t="shared" si="99"/>
        <v/>
      </c>
      <c r="S310" s="57" t="str">
        <f>IFERROR(VLOOKUP(A310,'1-2-1 绩效数据'!$G:$I,3,0),"")</f>
        <v/>
      </c>
      <c r="T310" s="8" t="str">
        <f t="shared" si="100"/>
        <v>2</v>
      </c>
      <c r="U310" s="8" t="str">
        <f t="shared" si="90"/>
        <v/>
      </c>
      <c r="V310" s="8" t="str">
        <f t="shared" si="91"/>
        <v/>
      </c>
      <c r="W310" s="58" t="str">
        <f t="shared" si="101"/>
        <v/>
      </c>
      <c r="X310" s="8" t="str">
        <f t="shared" si="94"/>
        <v/>
      </c>
      <c r="Y310" s="8" t="str">
        <f t="shared" si="102"/>
        <v/>
      </c>
      <c r="Z310" s="57" t="str">
        <f t="shared" si="103"/>
        <v/>
      </c>
    </row>
    <row r="311" spans="1:26" x14ac:dyDescent="0.3">
      <c r="A311" s="8"/>
      <c r="B311" s="70" t="str">
        <f>IFERROR(VLOOKUP('1-2-2 关键绩效'!$A311,'1-1 基本信息'!$A:$K,7,0),"")</f>
        <v/>
      </c>
      <c r="C311" s="8" t="str">
        <f>IFERROR(VLOOKUP($A311,'1-1 基本信息'!$A:$J,10,0),"")</f>
        <v/>
      </c>
      <c r="D311" s="8" t="str">
        <f>IFERROR(VLOOKUP(A311,'1-1 基本信息'!$A:$I,8,0),"")</f>
        <v/>
      </c>
      <c r="E311" s="57" t="str">
        <f>IFERROR(VLOOKUP($A311,'1-2-1 绩效数据'!$A:$C,3,0),"")</f>
        <v/>
      </c>
      <c r="F311" s="8" t="str">
        <f t="shared" si="95"/>
        <v>2</v>
      </c>
      <c r="G311" s="8" t="str">
        <f t="shared" si="86"/>
        <v/>
      </c>
      <c r="H311" s="8" t="str">
        <f t="shared" si="87"/>
        <v/>
      </c>
      <c r="I311" s="58" t="str">
        <f t="shared" si="96"/>
        <v/>
      </c>
      <c r="J311" s="8" t="str">
        <f t="shared" si="92"/>
        <v/>
      </c>
      <c r="K311" s="8" t="str">
        <f t="shared" si="97"/>
        <v/>
      </c>
      <c r="L311" s="57" t="str">
        <f>IFERROR(VLOOKUP($A311,'1-2-1 绩效数据'!$D:$F,3,0),"")</f>
        <v/>
      </c>
      <c r="M311" s="8" t="str">
        <f t="shared" si="104"/>
        <v>2</v>
      </c>
      <c r="N311" s="8" t="str">
        <f t="shared" si="88"/>
        <v/>
      </c>
      <c r="O311" s="8" t="str">
        <f t="shared" si="89"/>
        <v/>
      </c>
      <c r="P311" s="58" t="str">
        <f t="shared" si="98"/>
        <v/>
      </c>
      <c r="Q311" s="8" t="str">
        <f t="shared" si="93"/>
        <v/>
      </c>
      <c r="R311" s="8" t="str">
        <f t="shared" si="99"/>
        <v/>
      </c>
      <c r="S311" s="57" t="str">
        <f>IFERROR(VLOOKUP(A311,'1-2-1 绩效数据'!$G:$I,3,0),"")</f>
        <v/>
      </c>
      <c r="T311" s="8" t="str">
        <f t="shared" si="100"/>
        <v>2</v>
      </c>
      <c r="U311" s="8" t="str">
        <f t="shared" si="90"/>
        <v/>
      </c>
      <c r="V311" s="8" t="str">
        <f t="shared" si="91"/>
        <v/>
      </c>
      <c r="W311" s="58" t="str">
        <f t="shared" si="101"/>
        <v/>
      </c>
      <c r="X311" s="8" t="str">
        <f t="shared" si="94"/>
        <v/>
      </c>
      <c r="Y311" s="8" t="str">
        <f t="shared" si="102"/>
        <v/>
      </c>
      <c r="Z311" s="57" t="str">
        <f t="shared" si="103"/>
        <v/>
      </c>
    </row>
    <row r="312" spans="1:26" x14ac:dyDescent="0.3">
      <c r="A312" s="8"/>
      <c r="B312" s="70" t="str">
        <f>IFERROR(VLOOKUP('1-2-2 关键绩效'!$A312,'1-1 基本信息'!$A:$K,7,0),"")</f>
        <v/>
      </c>
      <c r="C312" s="8" t="str">
        <f>IFERROR(VLOOKUP($A312,'1-1 基本信息'!$A:$J,10,0),"")</f>
        <v/>
      </c>
      <c r="D312" s="8" t="str">
        <f>IFERROR(VLOOKUP(A312,'1-1 基本信息'!$A:$I,8,0),"")</f>
        <v/>
      </c>
      <c r="E312" s="57" t="str">
        <f>IFERROR(VLOOKUP($A312,'1-2-1 绩效数据'!$A:$C,3,0),"")</f>
        <v/>
      </c>
      <c r="F312" s="8" t="str">
        <f t="shared" si="95"/>
        <v>2</v>
      </c>
      <c r="G312" s="8" t="str">
        <f t="shared" si="86"/>
        <v/>
      </c>
      <c r="H312" s="8" t="str">
        <f t="shared" si="87"/>
        <v/>
      </c>
      <c r="I312" s="58" t="str">
        <f t="shared" si="96"/>
        <v/>
      </c>
      <c r="J312" s="8" t="str">
        <f t="shared" si="92"/>
        <v/>
      </c>
      <c r="K312" s="8" t="str">
        <f t="shared" si="97"/>
        <v/>
      </c>
      <c r="L312" s="57" t="str">
        <f>IFERROR(VLOOKUP($A312,'1-2-1 绩效数据'!$D:$F,3,0),"")</f>
        <v/>
      </c>
      <c r="M312" s="8" t="str">
        <f t="shared" si="104"/>
        <v>2</v>
      </c>
      <c r="N312" s="8" t="str">
        <f t="shared" si="88"/>
        <v/>
      </c>
      <c r="O312" s="8" t="str">
        <f t="shared" si="89"/>
        <v/>
      </c>
      <c r="P312" s="58" t="str">
        <f t="shared" si="98"/>
        <v/>
      </c>
      <c r="Q312" s="8" t="str">
        <f t="shared" si="93"/>
        <v/>
      </c>
      <c r="R312" s="8" t="str">
        <f t="shared" si="99"/>
        <v/>
      </c>
      <c r="S312" s="57" t="str">
        <f>IFERROR(VLOOKUP(A312,'1-2-1 绩效数据'!$G:$I,3,0),"")</f>
        <v/>
      </c>
      <c r="T312" s="8" t="str">
        <f t="shared" si="100"/>
        <v>2</v>
      </c>
      <c r="U312" s="8" t="str">
        <f t="shared" si="90"/>
        <v/>
      </c>
      <c r="V312" s="8" t="str">
        <f t="shared" si="91"/>
        <v/>
      </c>
      <c r="W312" s="58" t="str">
        <f t="shared" si="101"/>
        <v/>
      </c>
      <c r="X312" s="8" t="str">
        <f t="shared" si="94"/>
        <v/>
      </c>
      <c r="Y312" s="8" t="str">
        <f t="shared" si="102"/>
        <v/>
      </c>
      <c r="Z312" s="57" t="str">
        <f t="shared" si="103"/>
        <v/>
      </c>
    </row>
    <row r="313" spans="1:26" x14ac:dyDescent="0.3">
      <c r="A313" s="8"/>
      <c r="B313" s="70" t="str">
        <f>IFERROR(VLOOKUP('1-2-2 关键绩效'!$A313,'1-1 基本信息'!$A:$K,7,0),"")</f>
        <v/>
      </c>
      <c r="C313" s="8" t="str">
        <f>IFERROR(VLOOKUP($A313,'1-1 基本信息'!$A:$J,10,0),"")</f>
        <v/>
      </c>
      <c r="D313" s="8" t="str">
        <f>IFERROR(VLOOKUP(A313,'1-1 基本信息'!$A:$I,8,0),"")</f>
        <v/>
      </c>
      <c r="E313" s="57" t="str">
        <f>IFERROR(VLOOKUP($A313,'1-2-1 绩效数据'!$A:$C,3,0),"")</f>
        <v/>
      </c>
      <c r="F313" s="8" t="str">
        <f t="shared" si="95"/>
        <v>2</v>
      </c>
      <c r="G313" s="8" t="str">
        <f t="shared" si="86"/>
        <v/>
      </c>
      <c r="H313" s="8" t="str">
        <f t="shared" si="87"/>
        <v/>
      </c>
      <c r="I313" s="58" t="str">
        <f t="shared" si="96"/>
        <v/>
      </c>
      <c r="J313" s="8" t="str">
        <f t="shared" si="92"/>
        <v/>
      </c>
      <c r="K313" s="8" t="str">
        <f t="shared" si="97"/>
        <v/>
      </c>
      <c r="L313" s="57" t="str">
        <f>IFERROR(VLOOKUP($A313,'1-2-1 绩效数据'!$D:$F,3,0),"")</f>
        <v/>
      </c>
      <c r="M313" s="8" t="str">
        <f t="shared" si="104"/>
        <v>2</v>
      </c>
      <c r="N313" s="8" t="str">
        <f t="shared" si="88"/>
        <v/>
      </c>
      <c r="O313" s="8" t="str">
        <f t="shared" si="89"/>
        <v/>
      </c>
      <c r="P313" s="58" t="str">
        <f t="shared" si="98"/>
        <v/>
      </c>
      <c r="Q313" s="8" t="str">
        <f t="shared" si="93"/>
        <v/>
      </c>
      <c r="R313" s="8" t="str">
        <f t="shared" si="99"/>
        <v/>
      </c>
      <c r="S313" s="57" t="str">
        <f>IFERROR(VLOOKUP(A313,'1-2-1 绩效数据'!$G:$I,3,0),"")</f>
        <v/>
      </c>
      <c r="T313" s="8" t="str">
        <f t="shared" si="100"/>
        <v>2</v>
      </c>
      <c r="U313" s="8" t="str">
        <f t="shared" si="90"/>
        <v/>
      </c>
      <c r="V313" s="8" t="str">
        <f t="shared" si="91"/>
        <v/>
      </c>
      <c r="W313" s="58" t="str">
        <f t="shared" si="101"/>
        <v/>
      </c>
      <c r="X313" s="8" t="str">
        <f t="shared" si="94"/>
        <v/>
      </c>
      <c r="Y313" s="8" t="str">
        <f t="shared" si="102"/>
        <v/>
      </c>
      <c r="Z313" s="57" t="str">
        <f t="shared" si="103"/>
        <v/>
      </c>
    </row>
    <row r="314" spans="1:26" x14ac:dyDescent="0.3">
      <c r="A314" s="8"/>
      <c r="B314" s="70" t="str">
        <f>IFERROR(VLOOKUP('1-2-2 关键绩效'!$A314,'1-1 基本信息'!$A:$K,7,0),"")</f>
        <v/>
      </c>
      <c r="C314" s="8" t="str">
        <f>IFERROR(VLOOKUP($A314,'1-1 基本信息'!$A:$J,10,0),"")</f>
        <v/>
      </c>
      <c r="D314" s="8" t="str">
        <f>IFERROR(VLOOKUP(A314,'1-1 基本信息'!$A:$I,8,0),"")</f>
        <v/>
      </c>
      <c r="E314" s="57" t="str">
        <f>IFERROR(VLOOKUP($A314,'1-2-1 绩效数据'!$A:$C,3,0),"")</f>
        <v/>
      </c>
      <c r="F314" s="8" t="str">
        <f t="shared" si="95"/>
        <v>2</v>
      </c>
      <c r="G314" s="8" t="str">
        <f t="shared" si="86"/>
        <v/>
      </c>
      <c r="H314" s="8" t="str">
        <f t="shared" si="87"/>
        <v/>
      </c>
      <c r="I314" s="58" t="str">
        <f t="shared" si="96"/>
        <v/>
      </c>
      <c r="J314" s="8" t="str">
        <f t="shared" si="92"/>
        <v/>
      </c>
      <c r="K314" s="8" t="str">
        <f t="shared" si="97"/>
        <v/>
      </c>
      <c r="L314" s="57" t="str">
        <f>IFERROR(VLOOKUP($A314,'1-2-1 绩效数据'!$D:$F,3,0),"")</f>
        <v/>
      </c>
      <c r="M314" s="8" t="str">
        <f t="shared" si="104"/>
        <v>2</v>
      </c>
      <c r="N314" s="8" t="str">
        <f t="shared" si="88"/>
        <v/>
      </c>
      <c r="O314" s="8" t="str">
        <f t="shared" si="89"/>
        <v/>
      </c>
      <c r="P314" s="58" t="str">
        <f t="shared" si="98"/>
        <v/>
      </c>
      <c r="Q314" s="8" t="str">
        <f t="shared" si="93"/>
        <v/>
      </c>
      <c r="R314" s="8" t="str">
        <f t="shared" si="99"/>
        <v/>
      </c>
      <c r="S314" s="57" t="str">
        <f>IFERROR(VLOOKUP(A314,'1-2-1 绩效数据'!$G:$I,3,0),"")</f>
        <v/>
      </c>
      <c r="T314" s="8" t="str">
        <f t="shared" si="100"/>
        <v>2</v>
      </c>
      <c r="U314" s="8" t="str">
        <f t="shared" si="90"/>
        <v/>
      </c>
      <c r="V314" s="8" t="str">
        <f t="shared" si="91"/>
        <v/>
      </c>
      <c r="W314" s="58" t="str">
        <f t="shared" si="101"/>
        <v/>
      </c>
      <c r="X314" s="8" t="str">
        <f t="shared" si="94"/>
        <v/>
      </c>
      <c r="Y314" s="8" t="str">
        <f t="shared" si="102"/>
        <v/>
      </c>
      <c r="Z314" s="57" t="str">
        <f t="shared" si="103"/>
        <v/>
      </c>
    </row>
    <row r="315" spans="1:26" x14ac:dyDescent="0.3">
      <c r="A315" s="8"/>
      <c r="B315" s="70" t="str">
        <f>IFERROR(VLOOKUP('1-2-2 关键绩效'!$A315,'1-1 基本信息'!$A:$K,7,0),"")</f>
        <v/>
      </c>
      <c r="C315" s="8" t="str">
        <f>IFERROR(VLOOKUP($A315,'1-1 基本信息'!$A:$J,10,0),"")</f>
        <v/>
      </c>
      <c r="D315" s="8" t="str">
        <f>IFERROR(VLOOKUP(A315,'1-1 基本信息'!$A:$I,8,0),"")</f>
        <v/>
      </c>
      <c r="E315" s="57" t="str">
        <f>IFERROR(VLOOKUP($A315,'1-2-1 绩效数据'!$A:$C,3,0),"")</f>
        <v/>
      </c>
      <c r="F315" s="8" t="str">
        <f t="shared" si="95"/>
        <v>2</v>
      </c>
      <c r="G315" s="8" t="str">
        <f t="shared" si="86"/>
        <v/>
      </c>
      <c r="H315" s="8" t="str">
        <f t="shared" si="87"/>
        <v/>
      </c>
      <c r="I315" s="58" t="str">
        <f t="shared" si="96"/>
        <v/>
      </c>
      <c r="J315" s="8" t="str">
        <f t="shared" si="92"/>
        <v/>
      </c>
      <c r="K315" s="8" t="str">
        <f t="shared" si="97"/>
        <v/>
      </c>
      <c r="L315" s="57" t="str">
        <f>IFERROR(VLOOKUP($A315,'1-2-1 绩效数据'!$D:$F,3,0),"")</f>
        <v/>
      </c>
      <c r="M315" s="8" t="str">
        <f t="shared" si="104"/>
        <v>2</v>
      </c>
      <c r="N315" s="8" t="str">
        <f t="shared" si="88"/>
        <v/>
      </c>
      <c r="O315" s="8" t="str">
        <f t="shared" si="89"/>
        <v/>
      </c>
      <c r="P315" s="58" t="str">
        <f t="shared" si="98"/>
        <v/>
      </c>
      <c r="Q315" s="8" t="str">
        <f t="shared" si="93"/>
        <v/>
      </c>
      <c r="R315" s="8" t="str">
        <f t="shared" si="99"/>
        <v/>
      </c>
      <c r="S315" s="57" t="str">
        <f>IFERROR(VLOOKUP(A315,'1-2-1 绩效数据'!$G:$I,3,0),"")</f>
        <v/>
      </c>
      <c r="T315" s="8" t="str">
        <f t="shared" si="100"/>
        <v>2</v>
      </c>
      <c r="U315" s="8" t="str">
        <f t="shared" si="90"/>
        <v/>
      </c>
      <c r="V315" s="8" t="str">
        <f t="shared" si="91"/>
        <v/>
      </c>
      <c r="W315" s="58" t="str">
        <f t="shared" si="101"/>
        <v/>
      </c>
      <c r="X315" s="8" t="str">
        <f t="shared" si="94"/>
        <v/>
      </c>
      <c r="Y315" s="8" t="str">
        <f t="shared" si="102"/>
        <v/>
      </c>
      <c r="Z315" s="57" t="str">
        <f t="shared" si="103"/>
        <v/>
      </c>
    </row>
    <row r="316" spans="1:26" x14ac:dyDescent="0.3">
      <c r="A316" s="8"/>
      <c r="B316" s="70" t="str">
        <f>IFERROR(VLOOKUP('1-2-2 关键绩效'!$A316,'1-1 基本信息'!$A:$K,7,0),"")</f>
        <v/>
      </c>
      <c r="C316" s="8" t="str">
        <f>IFERROR(VLOOKUP($A316,'1-1 基本信息'!$A:$J,10,0),"")</f>
        <v/>
      </c>
      <c r="D316" s="8" t="str">
        <f>IFERROR(VLOOKUP(A316,'1-1 基本信息'!$A:$I,8,0),"")</f>
        <v/>
      </c>
      <c r="E316" s="57" t="str">
        <f>IFERROR(VLOOKUP($A316,'1-2-1 绩效数据'!$A:$C,3,0),"")</f>
        <v/>
      </c>
      <c r="F316" s="8" t="str">
        <f t="shared" si="95"/>
        <v>2</v>
      </c>
      <c r="G316" s="8" t="str">
        <f t="shared" si="86"/>
        <v/>
      </c>
      <c r="H316" s="8" t="str">
        <f t="shared" si="87"/>
        <v/>
      </c>
      <c r="I316" s="58" t="str">
        <f t="shared" si="96"/>
        <v/>
      </c>
      <c r="J316" s="8" t="str">
        <f t="shared" si="92"/>
        <v/>
      </c>
      <c r="K316" s="8" t="str">
        <f t="shared" si="97"/>
        <v/>
      </c>
      <c r="L316" s="57" t="str">
        <f>IFERROR(VLOOKUP($A316,'1-2-1 绩效数据'!$D:$F,3,0),"")</f>
        <v/>
      </c>
      <c r="M316" s="8" t="str">
        <f t="shared" si="104"/>
        <v>2</v>
      </c>
      <c r="N316" s="8" t="str">
        <f t="shared" si="88"/>
        <v/>
      </c>
      <c r="O316" s="8" t="str">
        <f t="shared" si="89"/>
        <v/>
      </c>
      <c r="P316" s="58" t="str">
        <f t="shared" si="98"/>
        <v/>
      </c>
      <c r="Q316" s="8" t="str">
        <f t="shared" si="93"/>
        <v/>
      </c>
      <c r="R316" s="8" t="str">
        <f t="shared" si="99"/>
        <v/>
      </c>
      <c r="S316" s="57" t="str">
        <f>IFERROR(VLOOKUP(A316,'1-2-1 绩效数据'!$G:$I,3,0),"")</f>
        <v/>
      </c>
      <c r="T316" s="8" t="str">
        <f t="shared" si="100"/>
        <v>2</v>
      </c>
      <c r="U316" s="8" t="str">
        <f t="shared" si="90"/>
        <v/>
      </c>
      <c r="V316" s="8" t="str">
        <f t="shared" si="91"/>
        <v/>
      </c>
      <c r="W316" s="58" t="str">
        <f t="shared" si="101"/>
        <v/>
      </c>
      <c r="X316" s="8" t="str">
        <f t="shared" si="94"/>
        <v/>
      </c>
      <c r="Y316" s="8" t="str">
        <f t="shared" si="102"/>
        <v/>
      </c>
      <c r="Z316" s="57" t="str">
        <f t="shared" si="103"/>
        <v/>
      </c>
    </row>
    <row r="317" spans="1:26" x14ac:dyDescent="0.3">
      <c r="A317" s="8"/>
      <c r="B317" s="70" t="str">
        <f>IFERROR(VLOOKUP('1-2-2 关键绩效'!$A317,'1-1 基本信息'!$A:$K,7,0),"")</f>
        <v/>
      </c>
      <c r="C317" s="8" t="str">
        <f>IFERROR(VLOOKUP($A317,'1-1 基本信息'!$A:$J,10,0),"")</f>
        <v/>
      </c>
      <c r="D317" s="8" t="str">
        <f>IFERROR(VLOOKUP(A317,'1-1 基本信息'!$A:$I,8,0),"")</f>
        <v/>
      </c>
      <c r="E317" s="57" t="str">
        <f>IFERROR(VLOOKUP($A317,'1-2-1 绩效数据'!$A:$C,3,0),"")</f>
        <v/>
      </c>
      <c r="F317" s="8" t="str">
        <f t="shared" si="95"/>
        <v>2</v>
      </c>
      <c r="G317" s="8" t="str">
        <f t="shared" si="86"/>
        <v/>
      </c>
      <c r="H317" s="8" t="str">
        <f t="shared" si="87"/>
        <v/>
      </c>
      <c r="I317" s="58" t="str">
        <f t="shared" si="96"/>
        <v/>
      </c>
      <c r="J317" s="8" t="str">
        <f t="shared" si="92"/>
        <v/>
      </c>
      <c r="K317" s="8" t="str">
        <f t="shared" si="97"/>
        <v/>
      </c>
      <c r="L317" s="57" t="str">
        <f>IFERROR(VLOOKUP($A317,'1-2-1 绩效数据'!$D:$F,3,0),"")</f>
        <v/>
      </c>
      <c r="M317" s="8" t="str">
        <f t="shared" si="104"/>
        <v>2</v>
      </c>
      <c r="N317" s="8" t="str">
        <f t="shared" si="88"/>
        <v/>
      </c>
      <c r="O317" s="8" t="str">
        <f t="shared" si="89"/>
        <v/>
      </c>
      <c r="P317" s="58" t="str">
        <f t="shared" si="98"/>
        <v/>
      </c>
      <c r="Q317" s="8" t="str">
        <f t="shared" si="93"/>
        <v/>
      </c>
      <c r="R317" s="8" t="str">
        <f t="shared" si="99"/>
        <v/>
      </c>
      <c r="S317" s="57" t="str">
        <f>IFERROR(VLOOKUP(A317,'1-2-1 绩效数据'!$G:$I,3,0),"")</f>
        <v/>
      </c>
      <c r="T317" s="8" t="str">
        <f t="shared" si="100"/>
        <v>2</v>
      </c>
      <c r="U317" s="8" t="str">
        <f t="shared" si="90"/>
        <v/>
      </c>
      <c r="V317" s="8" t="str">
        <f t="shared" si="91"/>
        <v/>
      </c>
      <c r="W317" s="58" t="str">
        <f t="shared" si="101"/>
        <v/>
      </c>
      <c r="X317" s="8" t="str">
        <f t="shared" si="94"/>
        <v/>
      </c>
      <c r="Y317" s="8" t="str">
        <f t="shared" si="102"/>
        <v/>
      </c>
      <c r="Z317" s="57" t="str">
        <f t="shared" si="103"/>
        <v/>
      </c>
    </row>
    <row r="318" spans="1:26" x14ac:dyDescent="0.3">
      <c r="A318" s="8"/>
      <c r="B318" s="70" t="str">
        <f>IFERROR(VLOOKUP('1-2-2 关键绩效'!$A318,'1-1 基本信息'!$A:$K,7,0),"")</f>
        <v/>
      </c>
      <c r="C318" s="8" t="str">
        <f>IFERROR(VLOOKUP($A318,'1-1 基本信息'!$A:$J,10,0),"")</f>
        <v/>
      </c>
      <c r="D318" s="8" t="str">
        <f>IFERROR(VLOOKUP(A318,'1-1 基本信息'!$A:$I,8,0),"")</f>
        <v/>
      </c>
      <c r="E318" s="57" t="str">
        <f>IFERROR(VLOOKUP($A318,'1-2-1 绩效数据'!$A:$C,3,0),"")</f>
        <v/>
      </c>
      <c r="F318" s="8" t="str">
        <f t="shared" si="95"/>
        <v>2</v>
      </c>
      <c r="G318" s="8" t="str">
        <f t="shared" si="86"/>
        <v/>
      </c>
      <c r="H318" s="8" t="str">
        <f t="shared" si="87"/>
        <v/>
      </c>
      <c r="I318" s="58" t="str">
        <f t="shared" si="96"/>
        <v/>
      </c>
      <c r="J318" s="8" t="str">
        <f t="shared" si="92"/>
        <v/>
      </c>
      <c r="K318" s="8" t="str">
        <f t="shared" si="97"/>
        <v/>
      </c>
      <c r="L318" s="57" t="str">
        <f>IFERROR(VLOOKUP($A318,'1-2-1 绩效数据'!$D:$F,3,0),"")</f>
        <v/>
      </c>
      <c r="M318" s="8" t="str">
        <f t="shared" si="104"/>
        <v>2</v>
      </c>
      <c r="N318" s="8" t="str">
        <f t="shared" si="88"/>
        <v/>
      </c>
      <c r="O318" s="8" t="str">
        <f t="shared" si="89"/>
        <v/>
      </c>
      <c r="P318" s="58" t="str">
        <f t="shared" si="98"/>
        <v/>
      </c>
      <c r="Q318" s="8" t="str">
        <f t="shared" si="93"/>
        <v/>
      </c>
      <c r="R318" s="8" t="str">
        <f t="shared" si="99"/>
        <v/>
      </c>
      <c r="S318" s="57" t="str">
        <f>IFERROR(VLOOKUP(A318,'1-2-1 绩效数据'!$G:$I,3,0),"")</f>
        <v/>
      </c>
      <c r="T318" s="8" t="str">
        <f t="shared" si="100"/>
        <v>2</v>
      </c>
      <c r="U318" s="8" t="str">
        <f t="shared" si="90"/>
        <v/>
      </c>
      <c r="V318" s="8" t="str">
        <f t="shared" si="91"/>
        <v/>
      </c>
      <c r="W318" s="58" t="str">
        <f t="shared" si="101"/>
        <v/>
      </c>
      <c r="X318" s="8" t="str">
        <f t="shared" si="94"/>
        <v/>
      </c>
      <c r="Y318" s="8" t="str">
        <f t="shared" si="102"/>
        <v/>
      </c>
      <c r="Z318" s="57" t="str">
        <f t="shared" si="103"/>
        <v/>
      </c>
    </row>
    <row r="319" spans="1:26" x14ac:dyDescent="0.3">
      <c r="A319" s="8"/>
      <c r="B319" s="70" t="str">
        <f>IFERROR(VLOOKUP('1-2-2 关键绩效'!$A319,'1-1 基本信息'!$A:$K,7,0),"")</f>
        <v/>
      </c>
      <c r="C319" s="8" t="str">
        <f>IFERROR(VLOOKUP($A319,'1-1 基本信息'!$A:$J,10,0),"")</f>
        <v/>
      </c>
      <c r="D319" s="8" t="str">
        <f>IFERROR(VLOOKUP(A319,'1-1 基本信息'!$A:$I,8,0),"")</f>
        <v/>
      </c>
      <c r="E319" s="57" t="str">
        <f>IFERROR(VLOOKUP($A319,'1-2-1 绩效数据'!$A:$C,3,0),"")</f>
        <v/>
      </c>
      <c r="F319" s="8" t="str">
        <f t="shared" si="95"/>
        <v>2</v>
      </c>
      <c r="G319" s="8" t="str">
        <f t="shared" si="86"/>
        <v/>
      </c>
      <c r="H319" s="8" t="str">
        <f t="shared" si="87"/>
        <v/>
      </c>
      <c r="I319" s="58" t="str">
        <f t="shared" si="96"/>
        <v/>
      </c>
      <c r="J319" s="8" t="str">
        <f t="shared" si="92"/>
        <v/>
      </c>
      <c r="K319" s="8" t="str">
        <f t="shared" si="97"/>
        <v/>
      </c>
      <c r="L319" s="57" t="str">
        <f>IFERROR(VLOOKUP($A319,'1-2-1 绩效数据'!$D:$F,3,0),"")</f>
        <v/>
      </c>
      <c r="M319" s="8" t="str">
        <f t="shared" si="104"/>
        <v>2</v>
      </c>
      <c r="N319" s="8" t="str">
        <f t="shared" si="88"/>
        <v/>
      </c>
      <c r="O319" s="8" t="str">
        <f t="shared" si="89"/>
        <v/>
      </c>
      <c r="P319" s="58" t="str">
        <f t="shared" si="98"/>
        <v/>
      </c>
      <c r="Q319" s="8" t="str">
        <f t="shared" si="93"/>
        <v/>
      </c>
      <c r="R319" s="8" t="str">
        <f t="shared" si="99"/>
        <v/>
      </c>
      <c r="S319" s="57" t="str">
        <f>IFERROR(VLOOKUP(A319,'1-2-1 绩效数据'!$G:$I,3,0),"")</f>
        <v/>
      </c>
      <c r="T319" s="8" t="str">
        <f t="shared" si="100"/>
        <v>2</v>
      </c>
      <c r="U319" s="8" t="str">
        <f t="shared" si="90"/>
        <v/>
      </c>
      <c r="V319" s="8" t="str">
        <f t="shared" si="91"/>
        <v/>
      </c>
      <c r="W319" s="58" t="str">
        <f t="shared" si="101"/>
        <v/>
      </c>
      <c r="X319" s="8" t="str">
        <f t="shared" si="94"/>
        <v/>
      </c>
      <c r="Y319" s="8" t="str">
        <f t="shared" si="102"/>
        <v/>
      </c>
      <c r="Z319" s="57" t="str">
        <f t="shared" si="103"/>
        <v/>
      </c>
    </row>
    <row r="320" spans="1:26" x14ac:dyDescent="0.3">
      <c r="A320" s="8"/>
      <c r="B320" s="70" t="str">
        <f>IFERROR(VLOOKUP('1-2-2 关键绩效'!$A320,'1-1 基本信息'!$A:$K,7,0),"")</f>
        <v/>
      </c>
      <c r="C320" s="8" t="str">
        <f>IFERROR(VLOOKUP($A320,'1-1 基本信息'!$A:$J,10,0),"")</f>
        <v/>
      </c>
      <c r="D320" s="8" t="str">
        <f>IFERROR(VLOOKUP(A320,'1-1 基本信息'!$A:$I,8,0),"")</f>
        <v/>
      </c>
      <c r="E320" s="57" t="str">
        <f>IFERROR(VLOOKUP($A320,'1-2-1 绩效数据'!$A:$C,3,0),"")</f>
        <v/>
      </c>
      <c r="F320" s="8" t="str">
        <f t="shared" si="95"/>
        <v>2</v>
      </c>
      <c r="G320" s="8" t="str">
        <f t="shared" si="86"/>
        <v/>
      </c>
      <c r="H320" s="8" t="str">
        <f t="shared" si="87"/>
        <v/>
      </c>
      <c r="I320" s="58" t="str">
        <f t="shared" si="96"/>
        <v/>
      </c>
      <c r="J320" s="8" t="str">
        <f t="shared" si="92"/>
        <v/>
      </c>
      <c r="K320" s="8" t="str">
        <f t="shared" si="97"/>
        <v/>
      </c>
      <c r="L320" s="57" t="str">
        <f>IFERROR(VLOOKUP($A320,'1-2-1 绩效数据'!$D:$F,3,0),"")</f>
        <v/>
      </c>
      <c r="M320" s="8" t="str">
        <f t="shared" si="104"/>
        <v>2</v>
      </c>
      <c r="N320" s="8" t="str">
        <f t="shared" si="88"/>
        <v/>
      </c>
      <c r="O320" s="8" t="str">
        <f t="shared" si="89"/>
        <v/>
      </c>
      <c r="P320" s="58" t="str">
        <f t="shared" si="98"/>
        <v/>
      </c>
      <c r="Q320" s="8" t="str">
        <f t="shared" si="93"/>
        <v/>
      </c>
      <c r="R320" s="8" t="str">
        <f t="shared" si="99"/>
        <v/>
      </c>
      <c r="S320" s="57" t="str">
        <f>IFERROR(VLOOKUP(A320,'1-2-1 绩效数据'!$G:$I,3,0),"")</f>
        <v/>
      </c>
      <c r="T320" s="8" t="str">
        <f t="shared" si="100"/>
        <v>2</v>
      </c>
      <c r="U320" s="8" t="str">
        <f t="shared" si="90"/>
        <v/>
      </c>
      <c r="V320" s="8" t="str">
        <f t="shared" si="91"/>
        <v/>
      </c>
      <c r="W320" s="58" t="str">
        <f t="shared" si="101"/>
        <v/>
      </c>
      <c r="X320" s="8" t="str">
        <f t="shared" si="94"/>
        <v/>
      </c>
      <c r="Y320" s="8" t="str">
        <f t="shared" si="102"/>
        <v/>
      </c>
      <c r="Z320" s="57" t="str">
        <f t="shared" si="103"/>
        <v/>
      </c>
    </row>
    <row r="321" spans="1:26" x14ac:dyDescent="0.3">
      <c r="A321" s="8"/>
      <c r="B321" s="70" t="str">
        <f>IFERROR(VLOOKUP('1-2-2 关键绩效'!$A321,'1-1 基本信息'!$A:$K,7,0),"")</f>
        <v/>
      </c>
      <c r="C321" s="8" t="str">
        <f>IFERROR(VLOOKUP($A321,'1-1 基本信息'!$A:$J,10,0),"")</f>
        <v/>
      </c>
      <c r="D321" s="8" t="str">
        <f>IFERROR(VLOOKUP(A321,'1-1 基本信息'!$A:$I,8,0),"")</f>
        <v/>
      </c>
      <c r="E321" s="57" t="str">
        <f>IFERROR(VLOOKUP($A321,'1-2-1 绩效数据'!$A:$C,3,0),"")</f>
        <v/>
      </c>
      <c r="F321" s="8" t="str">
        <f t="shared" si="95"/>
        <v>2</v>
      </c>
      <c r="G321" s="8" t="str">
        <f t="shared" si="86"/>
        <v/>
      </c>
      <c r="H321" s="8" t="str">
        <f t="shared" si="87"/>
        <v/>
      </c>
      <c r="I321" s="58" t="str">
        <f t="shared" si="96"/>
        <v/>
      </c>
      <c r="J321" s="8" t="str">
        <f t="shared" si="92"/>
        <v/>
      </c>
      <c r="K321" s="8" t="str">
        <f t="shared" si="97"/>
        <v/>
      </c>
      <c r="L321" s="57" t="str">
        <f>IFERROR(VLOOKUP($A321,'1-2-1 绩效数据'!$D:$F,3,0),"")</f>
        <v/>
      </c>
      <c r="M321" s="8" t="str">
        <f t="shared" si="104"/>
        <v>2</v>
      </c>
      <c r="N321" s="8" t="str">
        <f t="shared" si="88"/>
        <v/>
      </c>
      <c r="O321" s="8" t="str">
        <f t="shared" si="89"/>
        <v/>
      </c>
      <c r="P321" s="58" t="str">
        <f t="shared" si="98"/>
        <v/>
      </c>
      <c r="Q321" s="8" t="str">
        <f t="shared" si="93"/>
        <v/>
      </c>
      <c r="R321" s="8" t="str">
        <f t="shared" si="99"/>
        <v/>
      </c>
      <c r="S321" s="57" t="str">
        <f>IFERROR(VLOOKUP(A321,'1-2-1 绩效数据'!$G:$I,3,0),"")</f>
        <v/>
      </c>
      <c r="T321" s="8" t="str">
        <f t="shared" si="100"/>
        <v>2</v>
      </c>
      <c r="U321" s="8" t="str">
        <f t="shared" si="90"/>
        <v/>
      </c>
      <c r="V321" s="8" t="str">
        <f t="shared" si="91"/>
        <v/>
      </c>
      <c r="W321" s="58" t="str">
        <f t="shared" si="101"/>
        <v/>
      </c>
      <c r="X321" s="8" t="str">
        <f t="shared" si="94"/>
        <v/>
      </c>
      <c r="Y321" s="8" t="str">
        <f t="shared" si="102"/>
        <v/>
      </c>
      <c r="Z321" s="57" t="str">
        <f t="shared" si="103"/>
        <v/>
      </c>
    </row>
    <row r="322" spans="1:26" x14ac:dyDescent="0.3">
      <c r="A322" s="8"/>
      <c r="B322" s="70" t="str">
        <f>IFERROR(VLOOKUP('1-2-2 关键绩效'!$A322,'1-1 基本信息'!$A:$K,7,0),"")</f>
        <v/>
      </c>
      <c r="C322" s="8" t="str">
        <f>IFERROR(VLOOKUP($A322,'1-1 基本信息'!$A:$J,10,0),"")</f>
        <v/>
      </c>
      <c r="D322" s="8" t="str">
        <f>IFERROR(VLOOKUP(A322,'1-1 基本信息'!$A:$I,8,0),"")</f>
        <v/>
      </c>
      <c r="E322" s="57" t="str">
        <f>IFERROR(VLOOKUP($A322,'1-2-1 绩效数据'!$A:$C,3,0),"")</f>
        <v/>
      </c>
      <c r="F322" s="8" t="str">
        <f t="shared" si="95"/>
        <v>2</v>
      </c>
      <c r="G322" s="8" t="str">
        <f t="shared" si="86"/>
        <v/>
      </c>
      <c r="H322" s="8" t="str">
        <f t="shared" si="87"/>
        <v/>
      </c>
      <c r="I322" s="58" t="str">
        <f t="shared" si="96"/>
        <v/>
      </c>
      <c r="J322" s="8" t="str">
        <f t="shared" si="92"/>
        <v/>
      </c>
      <c r="K322" s="8" t="str">
        <f t="shared" si="97"/>
        <v/>
      </c>
      <c r="L322" s="57" t="str">
        <f>IFERROR(VLOOKUP($A322,'1-2-1 绩效数据'!$D:$F,3,0),"")</f>
        <v/>
      </c>
      <c r="M322" s="8" t="str">
        <f t="shared" si="104"/>
        <v>2</v>
      </c>
      <c r="N322" s="8" t="str">
        <f t="shared" si="88"/>
        <v/>
      </c>
      <c r="O322" s="8" t="str">
        <f t="shared" si="89"/>
        <v/>
      </c>
      <c r="P322" s="58" t="str">
        <f t="shared" si="98"/>
        <v/>
      </c>
      <c r="Q322" s="8" t="str">
        <f t="shared" si="93"/>
        <v/>
      </c>
      <c r="R322" s="8" t="str">
        <f t="shared" si="99"/>
        <v/>
      </c>
      <c r="S322" s="57" t="str">
        <f>IFERROR(VLOOKUP(A322,'1-2-1 绩效数据'!$G:$I,3,0),"")</f>
        <v/>
      </c>
      <c r="T322" s="8" t="str">
        <f t="shared" si="100"/>
        <v>2</v>
      </c>
      <c r="U322" s="8" t="str">
        <f t="shared" si="90"/>
        <v/>
      </c>
      <c r="V322" s="8" t="str">
        <f t="shared" si="91"/>
        <v/>
      </c>
      <c r="W322" s="58" t="str">
        <f t="shared" si="101"/>
        <v/>
      </c>
      <c r="X322" s="8" t="str">
        <f t="shared" si="94"/>
        <v/>
      </c>
      <c r="Y322" s="8" t="str">
        <f t="shared" si="102"/>
        <v/>
      </c>
      <c r="Z322" s="57" t="str">
        <f t="shared" si="103"/>
        <v/>
      </c>
    </row>
    <row r="323" spans="1:26" x14ac:dyDescent="0.3">
      <c r="A323" s="8"/>
      <c r="B323" s="70" t="str">
        <f>IFERROR(VLOOKUP('1-2-2 关键绩效'!$A323,'1-1 基本信息'!$A:$K,7,0),"")</f>
        <v/>
      </c>
      <c r="C323" s="8" t="str">
        <f>IFERROR(VLOOKUP($A323,'1-1 基本信息'!$A:$J,10,0),"")</f>
        <v/>
      </c>
      <c r="D323" s="8" t="str">
        <f>IFERROR(VLOOKUP(A323,'1-1 基本信息'!$A:$I,8,0),"")</f>
        <v/>
      </c>
      <c r="E323" s="57" t="str">
        <f>IFERROR(VLOOKUP($A323,'1-2-1 绩效数据'!$A:$C,3,0),"")</f>
        <v/>
      </c>
      <c r="F323" s="8" t="str">
        <f t="shared" si="95"/>
        <v>2</v>
      </c>
      <c r="G323" s="8" t="str">
        <f t="shared" ref="G323:G386" si="105">IF(E323&lt;&gt;"",COUNTIFS($C:$C,$C323,F:F,"1"),"")</f>
        <v/>
      </c>
      <c r="H323" s="8" t="str">
        <f t="shared" ref="H323:H386" si="106">IF(E323&lt;&gt;"",COUNTIFS($C:$C,$C323,E:E,"&gt;"&amp;E323)+1,"")</f>
        <v/>
      </c>
      <c r="I323" s="58" t="str">
        <f t="shared" si="96"/>
        <v/>
      </c>
      <c r="J323" s="8" t="str">
        <f t="shared" si="92"/>
        <v/>
      </c>
      <c r="K323" s="8" t="str">
        <f t="shared" si="97"/>
        <v/>
      </c>
      <c r="L323" s="57" t="str">
        <f>IFERROR(VLOOKUP($A323,'1-2-1 绩效数据'!$D:$F,3,0),"")</f>
        <v/>
      </c>
      <c r="M323" s="8" t="str">
        <f t="shared" si="104"/>
        <v>2</v>
      </c>
      <c r="N323" s="8" t="str">
        <f t="shared" ref="N323:N386" si="107">IF(L323&lt;&gt;"",COUNTIFS($C:$C,$C323,M:M,"1"),"")</f>
        <v/>
      </c>
      <c r="O323" s="8" t="str">
        <f t="shared" ref="O323:O386" si="108">IF(L323&lt;&gt;"",COUNTIFS($C:$C,$C323,L:L,"&gt;"&amp;L323)+1,"")</f>
        <v/>
      </c>
      <c r="P323" s="58" t="str">
        <f t="shared" si="98"/>
        <v/>
      </c>
      <c r="Q323" s="8" t="str">
        <f t="shared" si="93"/>
        <v/>
      </c>
      <c r="R323" s="8" t="str">
        <f t="shared" si="99"/>
        <v/>
      </c>
      <c r="S323" s="57" t="str">
        <f>IFERROR(VLOOKUP(A323,'1-2-1 绩效数据'!$G:$I,3,0),"")</f>
        <v/>
      </c>
      <c r="T323" s="8" t="str">
        <f t="shared" si="100"/>
        <v>2</v>
      </c>
      <c r="U323" s="8" t="str">
        <f t="shared" ref="U323:U386" si="109">IF(S323&lt;&gt;"",COUNTIFS($C:$C,$C323,T:T,"1"),"")</f>
        <v/>
      </c>
      <c r="V323" s="8" t="str">
        <f t="shared" ref="V323:V386" si="110">IF(S323&lt;&gt;"",COUNTIFS($C:$C,$C323,S:S,"&gt;"&amp;S323)+1,"")</f>
        <v/>
      </c>
      <c r="W323" s="58" t="str">
        <f t="shared" si="101"/>
        <v/>
      </c>
      <c r="X323" s="8" t="str">
        <f t="shared" si="94"/>
        <v/>
      </c>
      <c r="Y323" s="8" t="str">
        <f t="shared" si="102"/>
        <v/>
      </c>
      <c r="Z323" s="57" t="str">
        <f t="shared" si="103"/>
        <v/>
      </c>
    </row>
    <row r="324" spans="1:26" x14ac:dyDescent="0.3">
      <c r="A324" s="8"/>
      <c r="B324" s="70" t="str">
        <f>IFERROR(VLOOKUP('1-2-2 关键绩效'!$A324,'1-1 基本信息'!$A:$K,7,0),"")</f>
        <v/>
      </c>
      <c r="C324" s="8" t="str">
        <f>IFERROR(VLOOKUP($A324,'1-1 基本信息'!$A:$J,10,0),"")</f>
        <v/>
      </c>
      <c r="D324" s="8" t="str">
        <f>IFERROR(VLOOKUP(A324,'1-1 基本信息'!$A:$I,8,0),"")</f>
        <v/>
      </c>
      <c r="E324" s="57" t="str">
        <f>IFERROR(VLOOKUP($A324,'1-2-1 绩效数据'!$A:$C,3,0),"")</f>
        <v/>
      </c>
      <c r="F324" s="8" t="str">
        <f t="shared" si="95"/>
        <v>2</v>
      </c>
      <c r="G324" s="8" t="str">
        <f t="shared" si="105"/>
        <v/>
      </c>
      <c r="H324" s="8" t="str">
        <f t="shared" si="106"/>
        <v/>
      </c>
      <c r="I324" s="58" t="str">
        <f t="shared" si="96"/>
        <v/>
      </c>
      <c r="J324" s="8" t="str">
        <f t="shared" ref="J324:J387" si="111">IF(I324&lt;&gt;"",IF(G324&gt;=10,IF(I324&lt;=10%,1,IF(I324&lt;=20%,2,IF(I324&lt;=80%,3,IF(I324&lt;=90%,4,5)))),IF(G324=8,IF(I324=1,1,IF(I324=2,2,IF(I324=3,3,IF(I324=4,3,IF(I324=5,4,IF(I324=6,4,IF(I324=7,5,5))))))),IF(G324=7,IF(I324=1,1,IF(I324=2,2,IF(I324=3,3,IF(I324=4,4,IF(I324=5,4,IF(I324=6,5,5)))))),IF(G324=6,IF(I324=1,1,IF(I324=2,2,IF(I324=3,3,IF(I324=4,4,IF(I324=5,5,5))))),IF(G324=5,IF(I324=1,1,IF(I324=2,2,IF(I324=3,3,IF(I324=4,4,5)))),IF(G324=4,IF(I324=1,1,IF(I324=2,2,IF(I324=3,3,4))),IF(G324=3,IF(I324=1,1,IF(I324=2,2,3)),IF(G324=2,IF(I324=1,1,2),IF(G324=1,IF(I324=1,1,"")))))))))),"")</f>
        <v/>
      </c>
      <c r="K324" s="8" t="str">
        <f t="shared" si="97"/>
        <v/>
      </c>
      <c r="L324" s="57" t="str">
        <f>IFERROR(VLOOKUP($A324,'1-2-1 绩效数据'!$D:$F,3,0),"")</f>
        <v/>
      </c>
      <c r="M324" s="8" t="str">
        <f t="shared" si="104"/>
        <v>2</v>
      </c>
      <c r="N324" s="8" t="str">
        <f t="shared" si="107"/>
        <v/>
      </c>
      <c r="O324" s="8" t="str">
        <f t="shared" si="108"/>
        <v/>
      </c>
      <c r="P324" s="58" t="str">
        <f t="shared" si="98"/>
        <v/>
      </c>
      <c r="Q324" s="8" t="str">
        <f t="shared" ref="Q324:Q387" si="112">IF(P324&lt;&gt;"",IF(N324&gt;=10,IF(P324&lt;=10%,1,IF(P324&lt;=20%,2,IF(P324&lt;=80%,3,IF(P324&lt;=90%,4,5)))),IF(N324=8,IF(P324=1,1,IF(P324=2,2,IF(P324=3,3,IF(P324=4,3,IF(P324=5,4,IF(P324=6,4,IF(P324=7,5,5))))))),IF(N324=7,IF(P324=1,1,IF(P324=2,2,IF(P324=3,3,IF(P324=4,4,IF(P324=5,4,IF(P324=6,5,5)))))),IF(N324=6,IF(P324=1,1,IF(P324=2,2,IF(P324=3,3,IF(P324=4,4,IF(P324=5,5,5))))),IF(N324=5,IF(P324=1,1,IF(P324=2,2,IF(P324=3,3,IF(P324=4,4,5)))),IF(N324=4,IF(P324=1,1,IF(P324=2,2,IF(P324=3,3,4))),IF(N324=3,IF(P324=1,1,IF(P324=2,2,3)),IF(N324=2,IF(P324=1,1,2),IF(N324=1,IF(P324=1,1,"")))))))))),"")</f>
        <v/>
      </c>
      <c r="R324" s="8" t="str">
        <f t="shared" si="99"/>
        <v/>
      </c>
      <c r="S324" s="57" t="str">
        <f>IFERROR(VLOOKUP(A324,'1-2-1 绩效数据'!$G:$I,3,0),"")</f>
        <v/>
      </c>
      <c r="T324" s="8" t="str">
        <f t="shared" si="100"/>
        <v>2</v>
      </c>
      <c r="U324" s="8" t="str">
        <f t="shared" si="109"/>
        <v/>
      </c>
      <c r="V324" s="8" t="str">
        <f t="shared" si="110"/>
        <v/>
      </c>
      <c r="W324" s="58" t="str">
        <f t="shared" si="101"/>
        <v/>
      </c>
      <c r="X324" s="8" t="str">
        <f t="shared" ref="X324:X387" si="113">IF(W324&lt;&gt;"",IF(U324&gt;=10,IF(W324&lt;=10%,1,IF(W324&lt;=20%,2,IF(W324&lt;=80%,3,IF(W324&lt;=90%,4,5)))),IF(U324=8,IF(W324=1,1,IF(W324=2,2,IF(W324=3,3,IF(W324=4,3,IF(W324=5,4,IF(W324=6,4,IF(W324=7,5,5))))))),IF(U324=7,IF(W324=1,1,IF(W324=2,2,IF(W324=3,3,IF(W324=4,4,IF(W324=5,4,IF(W324=6,5,5)))))),IF(U324=6,IF(W324=1,1,IF(W324=2,2,IF(W324=3,3,IF(W324=4,4,IF(W324=5,5,5))))),IF(U324=5,IF(W324=1,1,IF(W324=2,2,IF(W324=3,3,IF(W324=4,4,5)))),IF(U324=4,IF(W324=1,1,IF(W324=2,2,IF(W324=3,3,4))),IF(U324=3,IF(W324=1,1,IF(W324=2,2,3)),IF(U324=2,IF(W324=1,1,2),IF(U324=1,IF(W324=1,1,"")))))))))),"")</f>
        <v/>
      </c>
      <c r="Y324" s="8" t="str">
        <f t="shared" si="102"/>
        <v/>
      </c>
      <c r="Z324" s="57" t="str">
        <f t="shared" si="103"/>
        <v/>
      </c>
    </row>
    <row r="325" spans="1:26" x14ac:dyDescent="0.3">
      <c r="A325" s="8"/>
      <c r="B325" s="70" t="str">
        <f>IFERROR(VLOOKUP('1-2-2 关键绩效'!$A325,'1-1 基本信息'!$A:$K,7,0),"")</f>
        <v/>
      </c>
      <c r="C325" s="8" t="str">
        <f>IFERROR(VLOOKUP($A325,'1-1 基本信息'!$A:$J,10,0),"")</f>
        <v/>
      </c>
      <c r="D325" s="8" t="str">
        <f>IFERROR(VLOOKUP(A325,'1-1 基本信息'!$A:$I,8,0),"")</f>
        <v/>
      </c>
      <c r="E325" s="57" t="str">
        <f>IFERROR(VLOOKUP($A325,'1-2-1 绩效数据'!$A:$C,3,0),"")</f>
        <v/>
      </c>
      <c r="F325" s="8" t="str">
        <f t="shared" si="95"/>
        <v>2</v>
      </c>
      <c r="G325" s="8" t="str">
        <f t="shared" si="105"/>
        <v/>
      </c>
      <c r="H325" s="8" t="str">
        <f t="shared" si="106"/>
        <v/>
      </c>
      <c r="I325" s="58" t="str">
        <f t="shared" si="96"/>
        <v/>
      </c>
      <c r="J325" s="8" t="str">
        <f t="shared" si="111"/>
        <v/>
      </c>
      <c r="K325" s="8" t="str">
        <f t="shared" si="97"/>
        <v/>
      </c>
      <c r="L325" s="57" t="str">
        <f>IFERROR(VLOOKUP($A325,'1-2-1 绩效数据'!$D:$F,3,0),"")</f>
        <v/>
      </c>
      <c r="M325" s="8" t="str">
        <f t="shared" si="104"/>
        <v>2</v>
      </c>
      <c r="N325" s="8" t="str">
        <f t="shared" si="107"/>
        <v/>
      </c>
      <c r="O325" s="8" t="str">
        <f t="shared" si="108"/>
        <v/>
      </c>
      <c r="P325" s="58" t="str">
        <f t="shared" si="98"/>
        <v/>
      </c>
      <c r="Q325" s="8" t="str">
        <f t="shared" si="112"/>
        <v/>
      </c>
      <c r="R325" s="8" t="str">
        <f t="shared" si="99"/>
        <v/>
      </c>
      <c r="S325" s="57" t="str">
        <f>IFERROR(VLOOKUP(A325,'1-2-1 绩效数据'!$G:$I,3,0),"")</f>
        <v/>
      </c>
      <c r="T325" s="8" t="str">
        <f t="shared" si="100"/>
        <v>2</v>
      </c>
      <c r="U325" s="8" t="str">
        <f t="shared" si="109"/>
        <v/>
      </c>
      <c r="V325" s="8" t="str">
        <f t="shared" si="110"/>
        <v/>
      </c>
      <c r="W325" s="58" t="str">
        <f t="shared" si="101"/>
        <v/>
      </c>
      <c r="X325" s="8" t="str">
        <f t="shared" si="113"/>
        <v/>
      </c>
      <c r="Y325" s="8" t="str">
        <f t="shared" si="102"/>
        <v/>
      </c>
      <c r="Z325" s="57" t="str">
        <f t="shared" si="103"/>
        <v/>
      </c>
    </row>
    <row r="326" spans="1:26" x14ac:dyDescent="0.3">
      <c r="A326" s="8"/>
      <c r="B326" s="70" t="str">
        <f>IFERROR(VLOOKUP('1-2-2 关键绩效'!$A326,'1-1 基本信息'!$A:$K,7,0),"")</f>
        <v/>
      </c>
      <c r="C326" s="8" t="str">
        <f>IFERROR(VLOOKUP($A326,'1-1 基本信息'!$A:$J,10,0),"")</f>
        <v/>
      </c>
      <c r="D326" s="8" t="str">
        <f>IFERROR(VLOOKUP(A326,'1-1 基本信息'!$A:$I,8,0),"")</f>
        <v/>
      </c>
      <c r="E326" s="57" t="str">
        <f>IFERROR(VLOOKUP($A326,'1-2-1 绩效数据'!$A:$C,3,0),"")</f>
        <v/>
      </c>
      <c r="F326" s="8" t="str">
        <f t="shared" ref="F326:F389" si="114">IF(E326&lt;&gt;"","1","2")</f>
        <v>2</v>
      </c>
      <c r="G326" s="8" t="str">
        <f t="shared" si="105"/>
        <v/>
      </c>
      <c r="H326" s="8" t="str">
        <f t="shared" si="106"/>
        <v/>
      </c>
      <c r="I326" s="58" t="str">
        <f t="shared" ref="I326:I389" si="115">IFERROR(H326/G326,"")</f>
        <v/>
      </c>
      <c r="J326" s="8" t="str">
        <f t="shared" si="111"/>
        <v/>
      </c>
      <c r="K326" s="8" t="str">
        <f t="shared" ref="K326:K389" si="116">IF(J326&lt;&gt;"",IF(J326=1,100,IF(J326=2,90,IF(J326=3,80,IF(J326=4,70,IF(J326=5,60))))),"")</f>
        <v/>
      </c>
      <c r="L326" s="57" t="str">
        <f>IFERROR(VLOOKUP($A326,'1-2-1 绩效数据'!$D:$F,3,0),"")</f>
        <v/>
      </c>
      <c r="M326" s="8" t="str">
        <f t="shared" si="104"/>
        <v>2</v>
      </c>
      <c r="N326" s="8" t="str">
        <f t="shared" si="107"/>
        <v/>
      </c>
      <c r="O326" s="8" t="str">
        <f t="shared" si="108"/>
        <v/>
      </c>
      <c r="P326" s="58" t="str">
        <f t="shared" ref="P326:P389" si="117">IFERROR(O326/N326,"")</f>
        <v/>
      </c>
      <c r="Q326" s="8" t="str">
        <f t="shared" si="112"/>
        <v/>
      </c>
      <c r="R326" s="8" t="str">
        <f t="shared" ref="R326:R389" si="118">IF(Q326&lt;&gt;"",IF(Q326=1,100,IF(Q326=2,90,IF(Q326=3,80,IF(Q326=4,70,IF(Q326=5,60))))),"")</f>
        <v/>
      </c>
      <c r="S326" s="57" t="str">
        <f>IFERROR(VLOOKUP(A326,'1-2-1 绩效数据'!$G:$I,3,0),"")</f>
        <v/>
      </c>
      <c r="T326" s="8" t="str">
        <f t="shared" ref="T326:T389" si="119">IF(S326&lt;&gt;"","1","2")</f>
        <v>2</v>
      </c>
      <c r="U326" s="8" t="str">
        <f t="shared" si="109"/>
        <v/>
      </c>
      <c r="V326" s="8" t="str">
        <f t="shared" si="110"/>
        <v/>
      </c>
      <c r="W326" s="58" t="str">
        <f t="shared" ref="W326:W389" si="120">IFERROR(V326/U326,"")</f>
        <v/>
      </c>
      <c r="X326" s="8" t="str">
        <f t="shared" si="113"/>
        <v/>
      </c>
      <c r="Y326" s="8" t="str">
        <f t="shared" ref="Y326:Y389" si="121">IF(X326&lt;&gt;"",IF(X326=1,100,IF(X326=2,90,IF(X326=3,80,IF(X326=4,70,IF(X326=5,60))))),"")</f>
        <v/>
      </c>
      <c r="Z326" s="57" t="str">
        <f t="shared" ref="Z326:Z389" si="122">IFERROR(AVERAGE(K326,R326,Y326),"")</f>
        <v/>
      </c>
    </row>
    <row r="327" spans="1:26" x14ac:dyDescent="0.3">
      <c r="A327" s="8"/>
      <c r="B327" s="70" t="str">
        <f>IFERROR(VLOOKUP('1-2-2 关键绩效'!$A327,'1-1 基本信息'!$A:$K,7,0),"")</f>
        <v/>
      </c>
      <c r="C327" s="8" t="str">
        <f>IFERROR(VLOOKUP($A327,'1-1 基本信息'!$A:$J,10,0),"")</f>
        <v/>
      </c>
      <c r="D327" s="8" t="str">
        <f>IFERROR(VLOOKUP(A327,'1-1 基本信息'!$A:$I,8,0),"")</f>
        <v/>
      </c>
      <c r="E327" s="57" t="str">
        <f>IFERROR(VLOOKUP($A327,'1-2-1 绩效数据'!$A:$C,3,0),"")</f>
        <v/>
      </c>
      <c r="F327" s="8" t="str">
        <f t="shared" si="114"/>
        <v>2</v>
      </c>
      <c r="G327" s="8" t="str">
        <f t="shared" si="105"/>
        <v/>
      </c>
      <c r="H327" s="8" t="str">
        <f t="shared" si="106"/>
        <v/>
      </c>
      <c r="I327" s="58" t="str">
        <f t="shared" si="115"/>
        <v/>
      </c>
      <c r="J327" s="8" t="str">
        <f t="shared" si="111"/>
        <v/>
      </c>
      <c r="K327" s="8" t="str">
        <f t="shared" si="116"/>
        <v/>
      </c>
      <c r="L327" s="57" t="str">
        <f>IFERROR(VLOOKUP($A327,'1-2-1 绩效数据'!$D:$F,3,0),"")</f>
        <v/>
      </c>
      <c r="M327" s="8" t="str">
        <f t="shared" ref="M327:M390" si="123">IF($L327&lt;&gt;"","1","2")</f>
        <v>2</v>
      </c>
      <c r="N327" s="8" t="str">
        <f t="shared" si="107"/>
        <v/>
      </c>
      <c r="O327" s="8" t="str">
        <f t="shared" si="108"/>
        <v/>
      </c>
      <c r="P327" s="58" t="str">
        <f t="shared" si="117"/>
        <v/>
      </c>
      <c r="Q327" s="8" t="str">
        <f t="shared" si="112"/>
        <v/>
      </c>
      <c r="R327" s="8" t="str">
        <f t="shared" si="118"/>
        <v/>
      </c>
      <c r="S327" s="57" t="str">
        <f>IFERROR(VLOOKUP(A327,'1-2-1 绩效数据'!$G:$I,3,0),"")</f>
        <v/>
      </c>
      <c r="T327" s="8" t="str">
        <f t="shared" si="119"/>
        <v>2</v>
      </c>
      <c r="U327" s="8" t="str">
        <f t="shared" si="109"/>
        <v/>
      </c>
      <c r="V327" s="8" t="str">
        <f t="shared" si="110"/>
        <v/>
      </c>
      <c r="W327" s="58" t="str">
        <f t="shared" si="120"/>
        <v/>
      </c>
      <c r="X327" s="8" t="str">
        <f t="shared" si="113"/>
        <v/>
      </c>
      <c r="Y327" s="8" t="str">
        <f t="shared" si="121"/>
        <v/>
      </c>
      <c r="Z327" s="57" t="str">
        <f t="shared" si="122"/>
        <v/>
      </c>
    </row>
    <row r="328" spans="1:26" x14ac:dyDescent="0.3">
      <c r="A328" s="8"/>
      <c r="B328" s="70" t="str">
        <f>IFERROR(VLOOKUP('1-2-2 关键绩效'!$A328,'1-1 基本信息'!$A:$K,7,0),"")</f>
        <v/>
      </c>
      <c r="C328" s="8" t="str">
        <f>IFERROR(VLOOKUP($A328,'1-1 基本信息'!$A:$J,10,0),"")</f>
        <v/>
      </c>
      <c r="D328" s="8" t="str">
        <f>IFERROR(VLOOKUP(A328,'1-1 基本信息'!$A:$I,8,0),"")</f>
        <v/>
      </c>
      <c r="E328" s="57" t="str">
        <f>IFERROR(VLOOKUP($A328,'1-2-1 绩效数据'!$A:$C,3,0),"")</f>
        <v/>
      </c>
      <c r="F328" s="8" t="str">
        <f t="shared" si="114"/>
        <v>2</v>
      </c>
      <c r="G328" s="8" t="str">
        <f t="shared" si="105"/>
        <v/>
      </c>
      <c r="H328" s="8" t="str">
        <f t="shared" si="106"/>
        <v/>
      </c>
      <c r="I328" s="58" t="str">
        <f t="shared" si="115"/>
        <v/>
      </c>
      <c r="J328" s="8" t="str">
        <f t="shared" si="111"/>
        <v/>
      </c>
      <c r="K328" s="8" t="str">
        <f t="shared" si="116"/>
        <v/>
      </c>
      <c r="L328" s="57" t="str">
        <f>IFERROR(VLOOKUP($A328,'1-2-1 绩效数据'!$D:$F,3,0),"")</f>
        <v/>
      </c>
      <c r="M328" s="8" t="str">
        <f t="shared" si="123"/>
        <v>2</v>
      </c>
      <c r="N328" s="8" t="str">
        <f t="shared" si="107"/>
        <v/>
      </c>
      <c r="O328" s="8" t="str">
        <f t="shared" si="108"/>
        <v/>
      </c>
      <c r="P328" s="58" t="str">
        <f t="shared" si="117"/>
        <v/>
      </c>
      <c r="Q328" s="8" t="str">
        <f t="shared" si="112"/>
        <v/>
      </c>
      <c r="R328" s="8" t="str">
        <f t="shared" si="118"/>
        <v/>
      </c>
      <c r="S328" s="57" t="str">
        <f>IFERROR(VLOOKUP(A328,'1-2-1 绩效数据'!$G:$I,3,0),"")</f>
        <v/>
      </c>
      <c r="T328" s="8" t="str">
        <f t="shared" si="119"/>
        <v>2</v>
      </c>
      <c r="U328" s="8" t="str">
        <f t="shared" si="109"/>
        <v/>
      </c>
      <c r="V328" s="8" t="str">
        <f t="shared" si="110"/>
        <v/>
      </c>
      <c r="W328" s="58" t="str">
        <f t="shared" si="120"/>
        <v/>
      </c>
      <c r="X328" s="8" t="str">
        <f t="shared" si="113"/>
        <v/>
      </c>
      <c r="Y328" s="8" t="str">
        <f t="shared" si="121"/>
        <v/>
      </c>
      <c r="Z328" s="57" t="str">
        <f t="shared" si="122"/>
        <v/>
      </c>
    </row>
    <row r="329" spans="1:26" x14ac:dyDescent="0.3">
      <c r="A329" s="8"/>
      <c r="B329" s="70" t="str">
        <f>IFERROR(VLOOKUP('1-2-2 关键绩效'!$A329,'1-1 基本信息'!$A:$K,7,0),"")</f>
        <v/>
      </c>
      <c r="C329" s="8" t="str">
        <f>IFERROR(VLOOKUP($A329,'1-1 基本信息'!$A:$J,10,0),"")</f>
        <v/>
      </c>
      <c r="D329" s="8" t="str">
        <f>IFERROR(VLOOKUP(A329,'1-1 基本信息'!$A:$I,8,0),"")</f>
        <v/>
      </c>
      <c r="E329" s="57" t="str">
        <f>IFERROR(VLOOKUP($A329,'1-2-1 绩效数据'!$A:$C,3,0),"")</f>
        <v/>
      </c>
      <c r="F329" s="8" t="str">
        <f t="shared" si="114"/>
        <v>2</v>
      </c>
      <c r="G329" s="8" t="str">
        <f t="shared" si="105"/>
        <v/>
      </c>
      <c r="H329" s="8" t="str">
        <f t="shared" si="106"/>
        <v/>
      </c>
      <c r="I329" s="58" t="str">
        <f t="shared" si="115"/>
        <v/>
      </c>
      <c r="J329" s="8" t="str">
        <f t="shared" si="111"/>
        <v/>
      </c>
      <c r="K329" s="8" t="str">
        <f t="shared" si="116"/>
        <v/>
      </c>
      <c r="L329" s="57" t="str">
        <f>IFERROR(VLOOKUP($A329,'1-2-1 绩效数据'!$D:$F,3,0),"")</f>
        <v/>
      </c>
      <c r="M329" s="8" t="str">
        <f t="shared" si="123"/>
        <v>2</v>
      </c>
      <c r="N329" s="8" t="str">
        <f t="shared" si="107"/>
        <v/>
      </c>
      <c r="O329" s="8" t="str">
        <f t="shared" si="108"/>
        <v/>
      </c>
      <c r="P329" s="58" t="str">
        <f t="shared" si="117"/>
        <v/>
      </c>
      <c r="Q329" s="8" t="str">
        <f t="shared" si="112"/>
        <v/>
      </c>
      <c r="R329" s="8" t="str">
        <f t="shared" si="118"/>
        <v/>
      </c>
      <c r="S329" s="57" t="str">
        <f>IFERROR(VLOOKUP(A329,'1-2-1 绩效数据'!$G:$I,3,0),"")</f>
        <v/>
      </c>
      <c r="T329" s="8" t="str">
        <f t="shared" si="119"/>
        <v>2</v>
      </c>
      <c r="U329" s="8" t="str">
        <f t="shared" si="109"/>
        <v/>
      </c>
      <c r="V329" s="8" t="str">
        <f t="shared" si="110"/>
        <v/>
      </c>
      <c r="W329" s="58" t="str">
        <f t="shared" si="120"/>
        <v/>
      </c>
      <c r="X329" s="8" t="str">
        <f t="shared" si="113"/>
        <v/>
      </c>
      <c r="Y329" s="8" t="str">
        <f t="shared" si="121"/>
        <v/>
      </c>
      <c r="Z329" s="57" t="str">
        <f t="shared" si="122"/>
        <v/>
      </c>
    </row>
    <row r="330" spans="1:26" x14ac:dyDescent="0.3">
      <c r="A330" s="8"/>
      <c r="B330" s="70" t="str">
        <f>IFERROR(VLOOKUP('1-2-2 关键绩效'!$A330,'1-1 基本信息'!$A:$K,7,0),"")</f>
        <v/>
      </c>
      <c r="C330" s="8" t="str">
        <f>IFERROR(VLOOKUP($A330,'1-1 基本信息'!$A:$J,10,0),"")</f>
        <v/>
      </c>
      <c r="D330" s="8" t="str">
        <f>IFERROR(VLOOKUP(A330,'1-1 基本信息'!$A:$I,8,0),"")</f>
        <v/>
      </c>
      <c r="E330" s="57" t="str">
        <f>IFERROR(VLOOKUP($A330,'1-2-1 绩效数据'!$A:$C,3,0),"")</f>
        <v/>
      </c>
      <c r="F330" s="8" t="str">
        <f t="shared" si="114"/>
        <v>2</v>
      </c>
      <c r="G330" s="8" t="str">
        <f t="shared" si="105"/>
        <v/>
      </c>
      <c r="H330" s="8" t="str">
        <f t="shared" si="106"/>
        <v/>
      </c>
      <c r="I330" s="58" t="str">
        <f t="shared" si="115"/>
        <v/>
      </c>
      <c r="J330" s="8" t="str">
        <f t="shared" si="111"/>
        <v/>
      </c>
      <c r="K330" s="8" t="str">
        <f t="shared" si="116"/>
        <v/>
      </c>
      <c r="L330" s="57" t="str">
        <f>IFERROR(VLOOKUP($A330,'1-2-1 绩效数据'!$D:$F,3,0),"")</f>
        <v/>
      </c>
      <c r="M330" s="8" t="str">
        <f t="shared" si="123"/>
        <v>2</v>
      </c>
      <c r="N330" s="8" t="str">
        <f t="shared" si="107"/>
        <v/>
      </c>
      <c r="O330" s="8" t="str">
        <f t="shared" si="108"/>
        <v/>
      </c>
      <c r="P330" s="58" t="str">
        <f t="shared" si="117"/>
        <v/>
      </c>
      <c r="Q330" s="8" t="str">
        <f t="shared" si="112"/>
        <v/>
      </c>
      <c r="R330" s="8" t="str">
        <f t="shared" si="118"/>
        <v/>
      </c>
      <c r="S330" s="57" t="str">
        <f>IFERROR(VLOOKUP(A330,'1-2-1 绩效数据'!$G:$I,3,0),"")</f>
        <v/>
      </c>
      <c r="T330" s="8" t="str">
        <f t="shared" si="119"/>
        <v>2</v>
      </c>
      <c r="U330" s="8" t="str">
        <f t="shared" si="109"/>
        <v/>
      </c>
      <c r="V330" s="8" t="str">
        <f t="shared" si="110"/>
        <v/>
      </c>
      <c r="W330" s="58" t="str">
        <f t="shared" si="120"/>
        <v/>
      </c>
      <c r="X330" s="8" t="str">
        <f t="shared" si="113"/>
        <v/>
      </c>
      <c r="Y330" s="8" t="str">
        <f t="shared" si="121"/>
        <v/>
      </c>
      <c r="Z330" s="57" t="str">
        <f t="shared" si="122"/>
        <v/>
      </c>
    </row>
    <row r="331" spans="1:26" x14ac:dyDescent="0.3">
      <c r="A331" s="8"/>
      <c r="B331" s="70" t="str">
        <f>IFERROR(VLOOKUP('1-2-2 关键绩效'!$A331,'1-1 基本信息'!$A:$K,7,0),"")</f>
        <v/>
      </c>
      <c r="C331" s="8" t="str">
        <f>IFERROR(VLOOKUP($A331,'1-1 基本信息'!$A:$J,10,0),"")</f>
        <v/>
      </c>
      <c r="D331" s="8" t="str">
        <f>IFERROR(VLOOKUP(A331,'1-1 基本信息'!$A:$I,8,0),"")</f>
        <v/>
      </c>
      <c r="E331" s="57" t="str">
        <f>IFERROR(VLOOKUP($A331,'1-2-1 绩效数据'!$A:$C,3,0),"")</f>
        <v/>
      </c>
      <c r="F331" s="8" t="str">
        <f t="shared" si="114"/>
        <v>2</v>
      </c>
      <c r="G331" s="8" t="str">
        <f t="shared" si="105"/>
        <v/>
      </c>
      <c r="H331" s="8" t="str">
        <f t="shared" si="106"/>
        <v/>
      </c>
      <c r="I331" s="58" t="str">
        <f t="shared" si="115"/>
        <v/>
      </c>
      <c r="J331" s="8" t="str">
        <f t="shared" si="111"/>
        <v/>
      </c>
      <c r="K331" s="8" t="str">
        <f t="shared" si="116"/>
        <v/>
      </c>
      <c r="L331" s="57" t="str">
        <f>IFERROR(VLOOKUP($A331,'1-2-1 绩效数据'!$D:$F,3,0),"")</f>
        <v/>
      </c>
      <c r="M331" s="8" t="str">
        <f t="shared" si="123"/>
        <v>2</v>
      </c>
      <c r="N331" s="8" t="str">
        <f t="shared" si="107"/>
        <v/>
      </c>
      <c r="O331" s="8" t="str">
        <f t="shared" si="108"/>
        <v/>
      </c>
      <c r="P331" s="58" t="str">
        <f t="shared" si="117"/>
        <v/>
      </c>
      <c r="Q331" s="8" t="str">
        <f t="shared" si="112"/>
        <v/>
      </c>
      <c r="R331" s="8" t="str">
        <f t="shared" si="118"/>
        <v/>
      </c>
      <c r="S331" s="57" t="str">
        <f>IFERROR(VLOOKUP(A331,'1-2-1 绩效数据'!$G:$I,3,0),"")</f>
        <v/>
      </c>
      <c r="T331" s="8" t="str">
        <f t="shared" si="119"/>
        <v>2</v>
      </c>
      <c r="U331" s="8" t="str">
        <f t="shared" si="109"/>
        <v/>
      </c>
      <c r="V331" s="8" t="str">
        <f t="shared" si="110"/>
        <v/>
      </c>
      <c r="W331" s="58" t="str">
        <f t="shared" si="120"/>
        <v/>
      </c>
      <c r="X331" s="8" t="str">
        <f t="shared" si="113"/>
        <v/>
      </c>
      <c r="Y331" s="8" t="str">
        <f t="shared" si="121"/>
        <v/>
      </c>
      <c r="Z331" s="57" t="str">
        <f t="shared" si="122"/>
        <v/>
      </c>
    </row>
    <row r="332" spans="1:26" x14ac:dyDescent="0.3">
      <c r="A332" s="8"/>
      <c r="B332" s="70" t="str">
        <f>IFERROR(VLOOKUP('1-2-2 关键绩效'!$A332,'1-1 基本信息'!$A:$K,7,0),"")</f>
        <v/>
      </c>
      <c r="C332" s="8" t="str">
        <f>IFERROR(VLOOKUP($A332,'1-1 基本信息'!$A:$J,10,0),"")</f>
        <v/>
      </c>
      <c r="D332" s="8" t="str">
        <f>IFERROR(VLOOKUP(A332,'1-1 基本信息'!$A:$I,8,0),"")</f>
        <v/>
      </c>
      <c r="E332" s="57" t="str">
        <f>IFERROR(VLOOKUP($A332,'1-2-1 绩效数据'!$A:$C,3,0),"")</f>
        <v/>
      </c>
      <c r="F332" s="8" t="str">
        <f t="shared" si="114"/>
        <v>2</v>
      </c>
      <c r="G332" s="8" t="str">
        <f t="shared" si="105"/>
        <v/>
      </c>
      <c r="H332" s="8" t="str">
        <f t="shared" si="106"/>
        <v/>
      </c>
      <c r="I332" s="58" t="str">
        <f t="shared" si="115"/>
        <v/>
      </c>
      <c r="J332" s="8" t="str">
        <f t="shared" si="111"/>
        <v/>
      </c>
      <c r="K332" s="8" t="str">
        <f t="shared" si="116"/>
        <v/>
      </c>
      <c r="L332" s="57" t="str">
        <f>IFERROR(VLOOKUP($A332,'1-2-1 绩效数据'!$D:$F,3,0),"")</f>
        <v/>
      </c>
      <c r="M332" s="8" t="str">
        <f t="shared" si="123"/>
        <v>2</v>
      </c>
      <c r="N332" s="8" t="str">
        <f t="shared" si="107"/>
        <v/>
      </c>
      <c r="O332" s="8" t="str">
        <f t="shared" si="108"/>
        <v/>
      </c>
      <c r="P332" s="58" t="str">
        <f t="shared" si="117"/>
        <v/>
      </c>
      <c r="Q332" s="8" t="str">
        <f t="shared" si="112"/>
        <v/>
      </c>
      <c r="R332" s="8" t="str">
        <f t="shared" si="118"/>
        <v/>
      </c>
      <c r="S332" s="57" t="str">
        <f>IFERROR(VLOOKUP(A332,'1-2-1 绩效数据'!$G:$I,3,0),"")</f>
        <v/>
      </c>
      <c r="T332" s="8" t="str">
        <f t="shared" si="119"/>
        <v>2</v>
      </c>
      <c r="U332" s="8" t="str">
        <f t="shared" si="109"/>
        <v/>
      </c>
      <c r="V332" s="8" t="str">
        <f t="shared" si="110"/>
        <v/>
      </c>
      <c r="W332" s="58" t="str">
        <f t="shared" si="120"/>
        <v/>
      </c>
      <c r="X332" s="8" t="str">
        <f t="shared" si="113"/>
        <v/>
      </c>
      <c r="Y332" s="8" t="str">
        <f t="shared" si="121"/>
        <v/>
      </c>
      <c r="Z332" s="57" t="str">
        <f t="shared" si="122"/>
        <v/>
      </c>
    </row>
    <row r="333" spans="1:26" x14ac:dyDescent="0.3">
      <c r="A333" s="8"/>
      <c r="B333" s="70" t="str">
        <f>IFERROR(VLOOKUP('1-2-2 关键绩效'!$A333,'1-1 基本信息'!$A:$K,7,0),"")</f>
        <v/>
      </c>
      <c r="C333" s="8" t="str">
        <f>IFERROR(VLOOKUP($A333,'1-1 基本信息'!$A:$J,10,0),"")</f>
        <v/>
      </c>
      <c r="D333" s="8" t="str">
        <f>IFERROR(VLOOKUP(A333,'1-1 基本信息'!$A:$I,8,0),"")</f>
        <v/>
      </c>
      <c r="E333" s="57" t="str">
        <f>IFERROR(VLOOKUP($A333,'1-2-1 绩效数据'!$A:$C,3,0),"")</f>
        <v/>
      </c>
      <c r="F333" s="8" t="str">
        <f t="shared" si="114"/>
        <v>2</v>
      </c>
      <c r="G333" s="8" t="str">
        <f t="shared" si="105"/>
        <v/>
      </c>
      <c r="H333" s="8" t="str">
        <f t="shared" si="106"/>
        <v/>
      </c>
      <c r="I333" s="58" t="str">
        <f t="shared" si="115"/>
        <v/>
      </c>
      <c r="J333" s="8" t="str">
        <f t="shared" si="111"/>
        <v/>
      </c>
      <c r="K333" s="8" t="str">
        <f t="shared" si="116"/>
        <v/>
      </c>
      <c r="L333" s="57" t="str">
        <f>IFERROR(VLOOKUP($A333,'1-2-1 绩效数据'!$D:$F,3,0),"")</f>
        <v/>
      </c>
      <c r="M333" s="8" t="str">
        <f t="shared" si="123"/>
        <v>2</v>
      </c>
      <c r="N333" s="8" t="str">
        <f t="shared" si="107"/>
        <v/>
      </c>
      <c r="O333" s="8" t="str">
        <f t="shared" si="108"/>
        <v/>
      </c>
      <c r="P333" s="58" t="str">
        <f t="shared" si="117"/>
        <v/>
      </c>
      <c r="Q333" s="8" t="str">
        <f t="shared" si="112"/>
        <v/>
      </c>
      <c r="R333" s="8" t="str">
        <f t="shared" si="118"/>
        <v/>
      </c>
      <c r="S333" s="57" t="str">
        <f>IFERROR(VLOOKUP(A333,'1-2-1 绩效数据'!$G:$I,3,0),"")</f>
        <v/>
      </c>
      <c r="T333" s="8" t="str">
        <f t="shared" si="119"/>
        <v>2</v>
      </c>
      <c r="U333" s="8" t="str">
        <f t="shared" si="109"/>
        <v/>
      </c>
      <c r="V333" s="8" t="str">
        <f t="shared" si="110"/>
        <v/>
      </c>
      <c r="W333" s="58" t="str">
        <f t="shared" si="120"/>
        <v/>
      </c>
      <c r="X333" s="8" t="str">
        <f t="shared" si="113"/>
        <v/>
      </c>
      <c r="Y333" s="8" t="str">
        <f t="shared" si="121"/>
        <v/>
      </c>
      <c r="Z333" s="57" t="str">
        <f t="shared" si="122"/>
        <v/>
      </c>
    </row>
    <row r="334" spans="1:26" x14ac:dyDescent="0.3">
      <c r="A334" s="8"/>
      <c r="B334" s="70" t="str">
        <f>IFERROR(VLOOKUP('1-2-2 关键绩效'!$A334,'1-1 基本信息'!$A:$K,7,0),"")</f>
        <v/>
      </c>
      <c r="C334" s="8" t="str">
        <f>IFERROR(VLOOKUP($A334,'1-1 基本信息'!$A:$J,10,0),"")</f>
        <v/>
      </c>
      <c r="D334" s="8" t="str">
        <f>IFERROR(VLOOKUP(A334,'1-1 基本信息'!$A:$I,8,0),"")</f>
        <v/>
      </c>
      <c r="E334" s="57" t="str">
        <f>IFERROR(VLOOKUP($A334,'1-2-1 绩效数据'!$A:$C,3,0),"")</f>
        <v/>
      </c>
      <c r="F334" s="8" t="str">
        <f t="shared" si="114"/>
        <v>2</v>
      </c>
      <c r="G334" s="8" t="str">
        <f t="shared" si="105"/>
        <v/>
      </c>
      <c r="H334" s="8" t="str">
        <f t="shared" si="106"/>
        <v/>
      </c>
      <c r="I334" s="58" t="str">
        <f t="shared" si="115"/>
        <v/>
      </c>
      <c r="J334" s="8" t="str">
        <f t="shared" si="111"/>
        <v/>
      </c>
      <c r="K334" s="8" t="str">
        <f t="shared" si="116"/>
        <v/>
      </c>
      <c r="L334" s="57" t="str">
        <f>IFERROR(VLOOKUP($A334,'1-2-1 绩效数据'!$D:$F,3,0),"")</f>
        <v/>
      </c>
      <c r="M334" s="8" t="str">
        <f t="shared" si="123"/>
        <v>2</v>
      </c>
      <c r="N334" s="8" t="str">
        <f t="shared" si="107"/>
        <v/>
      </c>
      <c r="O334" s="8" t="str">
        <f t="shared" si="108"/>
        <v/>
      </c>
      <c r="P334" s="58" t="str">
        <f t="shared" si="117"/>
        <v/>
      </c>
      <c r="Q334" s="8" t="str">
        <f t="shared" si="112"/>
        <v/>
      </c>
      <c r="R334" s="8" t="str">
        <f t="shared" si="118"/>
        <v/>
      </c>
      <c r="S334" s="57" t="str">
        <f>IFERROR(VLOOKUP(A334,'1-2-1 绩效数据'!$G:$I,3,0),"")</f>
        <v/>
      </c>
      <c r="T334" s="8" t="str">
        <f t="shared" si="119"/>
        <v>2</v>
      </c>
      <c r="U334" s="8" t="str">
        <f t="shared" si="109"/>
        <v/>
      </c>
      <c r="V334" s="8" t="str">
        <f t="shared" si="110"/>
        <v/>
      </c>
      <c r="W334" s="58" t="str">
        <f t="shared" si="120"/>
        <v/>
      </c>
      <c r="X334" s="8" t="str">
        <f t="shared" si="113"/>
        <v/>
      </c>
      <c r="Y334" s="8" t="str">
        <f t="shared" si="121"/>
        <v/>
      </c>
      <c r="Z334" s="57" t="str">
        <f t="shared" si="122"/>
        <v/>
      </c>
    </row>
    <row r="335" spans="1:26" x14ac:dyDescent="0.3">
      <c r="A335" s="8"/>
      <c r="B335" s="70" t="str">
        <f>IFERROR(VLOOKUP('1-2-2 关键绩效'!$A335,'1-1 基本信息'!$A:$K,7,0),"")</f>
        <v/>
      </c>
      <c r="C335" s="8" t="str">
        <f>IFERROR(VLOOKUP($A335,'1-1 基本信息'!$A:$J,10,0),"")</f>
        <v/>
      </c>
      <c r="D335" s="8" t="str">
        <f>IFERROR(VLOOKUP(A335,'1-1 基本信息'!$A:$I,8,0),"")</f>
        <v/>
      </c>
      <c r="E335" s="57" t="str">
        <f>IFERROR(VLOOKUP($A335,'1-2-1 绩效数据'!$A:$C,3,0),"")</f>
        <v/>
      </c>
      <c r="F335" s="8" t="str">
        <f t="shared" si="114"/>
        <v>2</v>
      </c>
      <c r="G335" s="8" t="str">
        <f t="shared" si="105"/>
        <v/>
      </c>
      <c r="H335" s="8" t="str">
        <f t="shared" si="106"/>
        <v/>
      </c>
      <c r="I335" s="58" t="str">
        <f t="shared" si="115"/>
        <v/>
      </c>
      <c r="J335" s="8" t="str">
        <f t="shared" si="111"/>
        <v/>
      </c>
      <c r="K335" s="8" t="str">
        <f t="shared" si="116"/>
        <v/>
      </c>
      <c r="L335" s="57" t="str">
        <f>IFERROR(VLOOKUP($A335,'1-2-1 绩效数据'!$D:$F,3,0),"")</f>
        <v/>
      </c>
      <c r="M335" s="8" t="str">
        <f t="shared" si="123"/>
        <v>2</v>
      </c>
      <c r="N335" s="8" t="str">
        <f t="shared" si="107"/>
        <v/>
      </c>
      <c r="O335" s="8" t="str">
        <f t="shared" si="108"/>
        <v/>
      </c>
      <c r="P335" s="58" t="str">
        <f t="shared" si="117"/>
        <v/>
      </c>
      <c r="Q335" s="8" t="str">
        <f t="shared" si="112"/>
        <v/>
      </c>
      <c r="R335" s="8" t="str">
        <f t="shared" si="118"/>
        <v/>
      </c>
      <c r="S335" s="57" t="str">
        <f>IFERROR(VLOOKUP(A335,'1-2-1 绩效数据'!$G:$I,3,0),"")</f>
        <v/>
      </c>
      <c r="T335" s="8" t="str">
        <f t="shared" si="119"/>
        <v>2</v>
      </c>
      <c r="U335" s="8" t="str">
        <f t="shared" si="109"/>
        <v/>
      </c>
      <c r="V335" s="8" t="str">
        <f t="shared" si="110"/>
        <v/>
      </c>
      <c r="W335" s="58" t="str">
        <f t="shared" si="120"/>
        <v/>
      </c>
      <c r="X335" s="8" t="str">
        <f t="shared" si="113"/>
        <v/>
      </c>
      <c r="Y335" s="8" t="str">
        <f t="shared" si="121"/>
        <v/>
      </c>
      <c r="Z335" s="57" t="str">
        <f t="shared" si="122"/>
        <v/>
      </c>
    </row>
    <row r="336" spans="1:26" x14ac:dyDescent="0.3">
      <c r="A336" s="8"/>
      <c r="B336" s="70" t="str">
        <f>IFERROR(VLOOKUP('1-2-2 关键绩效'!$A336,'1-1 基本信息'!$A:$K,7,0),"")</f>
        <v/>
      </c>
      <c r="C336" s="8" t="str">
        <f>IFERROR(VLOOKUP($A336,'1-1 基本信息'!$A:$J,10,0),"")</f>
        <v/>
      </c>
      <c r="D336" s="8" t="str">
        <f>IFERROR(VLOOKUP(A336,'1-1 基本信息'!$A:$I,8,0),"")</f>
        <v/>
      </c>
      <c r="E336" s="57" t="str">
        <f>IFERROR(VLOOKUP($A336,'1-2-1 绩效数据'!$A:$C,3,0),"")</f>
        <v/>
      </c>
      <c r="F336" s="8" t="str">
        <f t="shared" si="114"/>
        <v>2</v>
      </c>
      <c r="G336" s="8" t="str">
        <f t="shared" si="105"/>
        <v/>
      </c>
      <c r="H336" s="8" t="str">
        <f t="shared" si="106"/>
        <v/>
      </c>
      <c r="I336" s="58" t="str">
        <f t="shared" si="115"/>
        <v/>
      </c>
      <c r="J336" s="8" t="str">
        <f t="shared" si="111"/>
        <v/>
      </c>
      <c r="K336" s="8" t="str">
        <f t="shared" si="116"/>
        <v/>
      </c>
      <c r="L336" s="57" t="str">
        <f>IFERROR(VLOOKUP($A336,'1-2-1 绩效数据'!$D:$F,3,0),"")</f>
        <v/>
      </c>
      <c r="M336" s="8" t="str">
        <f t="shared" si="123"/>
        <v>2</v>
      </c>
      <c r="N336" s="8" t="str">
        <f t="shared" si="107"/>
        <v/>
      </c>
      <c r="O336" s="8" t="str">
        <f t="shared" si="108"/>
        <v/>
      </c>
      <c r="P336" s="58" t="str">
        <f t="shared" si="117"/>
        <v/>
      </c>
      <c r="Q336" s="8" t="str">
        <f t="shared" si="112"/>
        <v/>
      </c>
      <c r="R336" s="8" t="str">
        <f t="shared" si="118"/>
        <v/>
      </c>
      <c r="S336" s="57" t="str">
        <f>IFERROR(VLOOKUP(A336,'1-2-1 绩效数据'!$G:$I,3,0),"")</f>
        <v/>
      </c>
      <c r="T336" s="8" t="str">
        <f t="shared" si="119"/>
        <v>2</v>
      </c>
      <c r="U336" s="8" t="str">
        <f t="shared" si="109"/>
        <v/>
      </c>
      <c r="V336" s="8" t="str">
        <f t="shared" si="110"/>
        <v/>
      </c>
      <c r="W336" s="58" t="str">
        <f t="shared" si="120"/>
        <v/>
      </c>
      <c r="X336" s="8" t="str">
        <f t="shared" si="113"/>
        <v/>
      </c>
      <c r="Y336" s="8" t="str">
        <f t="shared" si="121"/>
        <v/>
      </c>
      <c r="Z336" s="57" t="str">
        <f t="shared" si="122"/>
        <v/>
      </c>
    </row>
    <row r="337" spans="1:26" x14ac:dyDescent="0.3">
      <c r="A337" s="8"/>
      <c r="B337" s="70" t="str">
        <f>IFERROR(VLOOKUP('1-2-2 关键绩效'!$A337,'1-1 基本信息'!$A:$K,7,0),"")</f>
        <v/>
      </c>
      <c r="C337" s="8" t="str">
        <f>IFERROR(VLOOKUP($A337,'1-1 基本信息'!$A:$J,10,0),"")</f>
        <v/>
      </c>
      <c r="D337" s="8" t="str">
        <f>IFERROR(VLOOKUP(A337,'1-1 基本信息'!$A:$I,8,0),"")</f>
        <v/>
      </c>
      <c r="E337" s="57" t="str">
        <f>IFERROR(VLOOKUP($A337,'1-2-1 绩效数据'!$A:$C,3,0),"")</f>
        <v/>
      </c>
      <c r="F337" s="8" t="str">
        <f t="shared" si="114"/>
        <v>2</v>
      </c>
      <c r="G337" s="8" t="str">
        <f t="shared" si="105"/>
        <v/>
      </c>
      <c r="H337" s="8" t="str">
        <f t="shared" si="106"/>
        <v/>
      </c>
      <c r="I337" s="58" t="str">
        <f t="shared" si="115"/>
        <v/>
      </c>
      <c r="J337" s="8" t="str">
        <f t="shared" si="111"/>
        <v/>
      </c>
      <c r="K337" s="8" t="str">
        <f t="shared" si="116"/>
        <v/>
      </c>
      <c r="L337" s="57" t="str">
        <f>IFERROR(VLOOKUP($A337,'1-2-1 绩效数据'!$D:$F,3,0),"")</f>
        <v/>
      </c>
      <c r="M337" s="8" t="str">
        <f t="shared" si="123"/>
        <v>2</v>
      </c>
      <c r="N337" s="8" t="str">
        <f t="shared" si="107"/>
        <v/>
      </c>
      <c r="O337" s="8" t="str">
        <f t="shared" si="108"/>
        <v/>
      </c>
      <c r="P337" s="58" t="str">
        <f t="shared" si="117"/>
        <v/>
      </c>
      <c r="Q337" s="8" t="str">
        <f t="shared" si="112"/>
        <v/>
      </c>
      <c r="R337" s="8" t="str">
        <f t="shared" si="118"/>
        <v/>
      </c>
      <c r="S337" s="57" t="str">
        <f>IFERROR(VLOOKUP(A337,'1-2-1 绩效数据'!$G:$I,3,0),"")</f>
        <v/>
      </c>
      <c r="T337" s="8" t="str">
        <f t="shared" si="119"/>
        <v>2</v>
      </c>
      <c r="U337" s="8" t="str">
        <f t="shared" si="109"/>
        <v/>
      </c>
      <c r="V337" s="8" t="str">
        <f t="shared" si="110"/>
        <v/>
      </c>
      <c r="W337" s="58" t="str">
        <f t="shared" si="120"/>
        <v/>
      </c>
      <c r="X337" s="8" t="str">
        <f t="shared" si="113"/>
        <v/>
      </c>
      <c r="Y337" s="8" t="str">
        <f t="shared" si="121"/>
        <v/>
      </c>
      <c r="Z337" s="57" t="str">
        <f t="shared" si="122"/>
        <v/>
      </c>
    </row>
    <row r="338" spans="1:26" x14ac:dyDescent="0.3">
      <c r="A338" s="8"/>
      <c r="B338" s="70" t="str">
        <f>IFERROR(VLOOKUP('1-2-2 关键绩效'!$A338,'1-1 基本信息'!$A:$K,7,0),"")</f>
        <v/>
      </c>
      <c r="C338" s="8" t="str">
        <f>IFERROR(VLOOKUP($A338,'1-1 基本信息'!$A:$J,10,0),"")</f>
        <v/>
      </c>
      <c r="D338" s="8" t="str">
        <f>IFERROR(VLOOKUP(A338,'1-1 基本信息'!$A:$I,8,0),"")</f>
        <v/>
      </c>
      <c r="E338" s="57" t="str">
        <f>IFERROR(VLOOKUP($A338,'1-2-1 绩效数据'!$A:$C,3,0),"")</f>
        <v/>
      </c>
      <c r="F338" s="8" t="str">
        <f t="shared" si="114"/>
        <v>2</v>
      </c>
      <c r="G338" s="8" t="str">
        <f t="shared" si="105"/>
        <v/>
      </c>
      <c r="H338" s="8" t="str">
        <f t="shared" si="106"/>
        <v/>
      </c>
      <c r="I338" s="58" t="str">
        <f t="shared" si="115"/>
        <v/>
      </c>
      <c r="J338" s="8" t="str">
        <f t="shared" si="111"/>
        <v/>
      </c>
      <c r="K338" s="8" t="str">
        <f t="shared" si="116"/>
        <v/>
      </c>
      <c r="L338" s="57" t="str">
        <f>IFERROR(VLOOKUP($A338,'1-2-1 绩效数据'!$D:$F,3,0),"")</f>
        <v/>
      </c>
      <c r="M338" s="8" t="str">
        <f t="shared" si="123"/>
        <v>2</v>
      </c>
      <c r="N338" s="8" t="str">
        <f t="shared" si="107"/>
        <v/>
      </c>
      <c r="O338" s="8" t="str">
        <f t="shared" si="108"/>
        <v/>
      </c>
      <c r="P338" s="58" t="str">
        <f t="shared" si="117"/>
        <v/>
      </c>
      <c r="Q338" s="8" t="str">
        <f t="shared" si="112"/>
        <v/>
      </c>
      <c r="R338" s="8" t="str">
        <f t="shared" si="118"/>
        <v/>
      </c>
      <c r="S338" s="57" t="str">
        <f>IFERROR(VLOOKUP(A338,'1-2-1 绩效数据'!$G:$I,3,0),"")</f>
        <v/>
      </c>
      <c r="T338" s="8" t="str">
        <f t="shared" si="119"/>
        <v>2</v>
      </c>
      <c r="U338" s="8" t="str">
        <f t="shared" si="109"/>
        <v/>
      </c>
      <c r="V338" s="8" t="str">
        <f t="shared" si="110"/>
        <v/>
      </c>
      <c r="W338" s="58" t="str">
        <f t="shared" si="120"/>
        <v/>
      </c>
      <c r="X338" s="8" t="str">
        <f t="shared" si="113"/>
        <v/>
      </c>
      <c r="Y338" s="8" t="str">
        <f t="shared" si="121"/>
        <v/>
      </c>
      <c r="Z338" s="57" t="str">
        <f t="shared" si="122"/>
        <v/>
      </c>
    </row>
    <row r="339" spans="1:26" x14ac:dyDescent="0.3">
      <c r="A339" s="8"/>
      <c r="B339" s="70" t="str">
        <f>IFERROR(VLOOKUP('1-2-2 关键绩效'!$A339,'1-1 基本信息'!$A:$K,7,0),"")</f>
        <v/>
      </c>
      <c r="C339" s="8" t="str">
        <f>IFERROR(VLOOKUP($A339,'1-1 基本信息'!$A:$J,10,0),"")</f>
        <v/>
      </c>
      <c r="D339" s="8" t="str">
        <f>IFERROR(VLOOKUP(A339,'1-1 基本信息'!$A:$I,8,0),"")</f>
        <v/>
      </c>
      <c r="E339" s="57" t="str">
        <f>IFERROR(VLOOKUP($A339,'1-2-1 绩效数据'!$A:$C,3,0),"")</f>
        <v/>
      </c>
      <c r="F339" s="8" t="str">
        <f t="shared" si="114"/>
        <v>2</v>
      </c>
      <c r="G339" s="8" t="str">
        <f t="shared" si="105"/>
        <v/>
      </c>
      <c r="H339" s="8" t="str">
        <f t="shared" si="106"/>
        <v/>
      </c>
      <c r="I339" s="58" t="str">
        <f t="shared" si="115"/>
        <v/>
      </c>
      <c r="J339" s="8" t="str">
        <f t="shared" si="111"/>
        <v/>
      </c>
      <c r="K339" s="8" t="str">
        <f t="shared" si="116"/>
        <v/>
      </c>
      <c r="L339" s="57" t="str">
        <f>IFERROR(VLOOKUP($A339,'1-2-1 绩效数据'!$D:$F,3,0),"")</f>
        <v/>
      </c>
      <c r="M339" s="8" t="str">
        <f t="shared" si="123"/>
        <v>2</v>
      </c>
      <c r="N339" s="8" t="str">
        <f t="shared" si="107"/>
        <v/>
      </c>
      <c r="O339" s="8" t="str">
        <f t="shared" si="108"/>
        <v/>
      </c>
      <c r="P339" s="58" t="str">
        <f t="shared" si="117"/>
        <v/>
      </c>
      <c r="Q339" s="8" t="str">
        <f t="shared" si="112"/>
        <v/>
      </c>
      <c r="R339" s="8" t="str">
        <f t="shared" si="118"/>
        <v/>
      </c>
      <c r="S339" s="57" t="str">
        <f>IFERROR(VLOOKUP(A339,'1-2-1 绩效数据'!$G:$I,3,0),"")</f>
        <v/>
      </c>
      <c r="T339" s="8" t="str">
        <f t="shared" si="119"/>
        <v>2</v>
      </c>
      <c r="U339" s="8" t="str">
        <f t="shared" si="109"/>
        <v/>
      </c>
      <c r="V339" s="8" t="str">
        <f t="shared" si="110"/>
        <v/>
      </c>
      <c r="W339" s="58" t="str">
        <f t="shared" si="120"/>
        <v/>
      </c>
      <c r="X339" s="8" t="str">
        <f t="shared" si="113"/>
        <v/>
      </c>
      <c r="Y339" s="8" t="str">
        <f t="shared" si="121"/>
        <v/>
      </c>
      <c r="Z339" s="57" t="str">
        <f t="shared" si="122"/>
        <v/>
      </c>
    </row>
    <row r="340" spans="1:26" x14ac:dyDescent="0.3">
      <c r="A340" s="8"/>
      <c r="B340" s="70" t="str">
        <f>IFERROR(VLOOKUP('1-2-2 关键绩效'!$A340,'1-1 基本信息'!$A:$K,7,0),"")</f>
        <v/>
      </c>
      <c r="C340" s="8" t="str">
        <f>IFERROR(VLOOKUP($A340,'1-1 基本信息'!$A:$J,10,0),"")</f>
        <v/>
      </c>
      <c r="D340" s="8" t="str">
        <f>IFERROR(VLOOKUP(A340,'1-1 基本信息'!$A:$I,8,0),"")</f>
        <v/>
      </c>
      <c r="E340" s="57" t="str">
        <f>IFERROR(VLOOKUP($A340,'1-2-1 绩效数据'!$A:$C,3,0),"")</f>
        <v/>
      </c>
      <c r="F340" s="8" t="str">
        <f t="shared" si="114"/>
        <v>2</v>
      </c>
      <c r="G340" s="8" t="str">
        <f t="shared" si="105"/>
        <v/>
      </c>
      <c r="H340" s="8" t="str">
        <f t="shared" si="106"/>
        <v/>
      </c>
      <c r="I340" s="58" t="str">
        <f t="shared" si="115"/>
        <v/>
      </c>
      <c r="J340" s="8" t="str">
        <f t="shared" si="111"/>
        <v/>
      </c>
      <c r="K340" s="8" t="str">
        <f t="shared" si="116"/>
        <v/>
      </c>
      <c r="L340" s="57" t="str">
        <f>IFERROR(VLOOKUP($A340,'1-2-1 绩效数据'!$D:$F,3,0),"")</f>
        <v/>
      </c>
      <c r="M340" s="8" t="str">
        <f t="shared" si="123"/>
        <v>2</v>
      </c>
      <c r="N340" s="8" t="str">
        <f t="shared" si="107"/>
        <v/>
      </c>
      <c r="O340" s="8" t="str">
        <f t="shared" si="108"/>
        <v/>
      </c>
      <c r="P340" s="58" t="str">
        <f t="shared" si="117"/>
        <v/>
      </c>
      <c r="Q340" s="8" t="str">
        <f t="shared" si="112"/>
        <v/>
      </c>
      <c r="R340" s="8" t="str">
        <f t="shared" si="118"/>
        <v/>
      </c>
      <c r="S340" s="57" t="str">
        <f>IFERROR(VLOOKUP(A340,'1-2-1 绩效数据'!$G:$I,3,0),"")</f>
        <v/>
      </c>
      <c r="T340" s="8" t="str">
        <f t="shared" si="119"/>
        <v>2</v>
      </c>
      <c r="U340" s="8" t="str">
        <f t="shared" si="109"/>
        <v/>
      </c>
      <c r="V340" s="8" t="str">
        <f t="shared" si="110"/>
        <v/>
      </c>
      <c r="W340" s="58" t="str">
        <f t="shared" si="120"/>
        <v/>
      </c>
      <c r="X340" s="8" t="str">
        <f t="shared" si="113"/>
        <v/>
      </c>
      <c r="Y340" s="8" t="str">
        <f t="shared" si="121"/>
        <v/>
      </c>
      <c r="Z340" s="57" t="str">
        <f t="shared" si="122"/>
        <v/>
      </c>
    </row>
    <row r="341" spans="1:26" x14ac:dyDescent="0.3">
      <c r="A341" s="8"/>
      <c r="B341" s="70" t="str">
        <f>IFERROR(VLOOKUP('1-2-2 关键绩效'!$A341,'1-1 基本信息'!$A:$K,7,0),"")</f>
        <v/>
      </c>
      <c r="C341" s="8" t="str">
        <f>IFERROR(VLOOKUP($A341,'1-1 基本信息'!$A:$J,10,0),"")</f>
        <v/>
      </c>
      <c r="D341" s="8" t="str">
        <f>IFERROR(VLOOKUP(A341,'1-1 基本信息'!$A:$I,8,0),"")</f>
        <v/>
      </c>
      <c r="E341" s="57" t="str">
        <f>IFERROR(VLOOKUP($A341,'1-2-1 绩效数据'!$A:$C,3,0),"")</f>
        <v/>
      </c>
      <c r="F341" s="8" t="str">
        <f t="shared" si="114"/>
        <v>2</v>
      </c>
      <c r="G341" s="8" t="str">
        <f t="shared" si="105"/>
        <v/>
      </c>
      <c r="H341" s="8" t="str">
        <f t="shared" si="106"/>
        <v/>
      </c>
      <c r="I341" s="58" t="str">
        <f t="shared" si="115"/>
        <v/>
      </c>
      <c r="J341" s="8" t="str">
        <f t="shared" si="111"/>
        <v/>
      </c>
      <c r="K341" s="8" t="str">
        <f t="shared" si="116"/>
        <v/>
      </c>
      <c r="L341" s="57" t="str">
        <f>IFERROR(VLOOKUP($A341,'1-2-1 绩效数据'!$D:$F,3,0),"")</f>
        <v/>
      </c>
      <c r="M341" s="8" t="str">
        <f t="shared" si="123"/>
        <v>2</v>
      </c>
      <c r="N341" s="8" t="str">
        <f t="shared" si="107"/>
        <v/>
      </c>
      <c r="O341" s="8" t="str">
        <f t="shared" si="108"/>
        <v/>
      </c>
      <c r="P341" s="58" t="str">
        <f t="shared" si="117"/>
        <v/>
      </c>
      <c r="Q341" s="8" t="str">
        <f t="shared" si="112"/>
        <v/>
      </c>
      <c r="R341" s="8" t="str">
        <f t="shared" si="118"/>
        <v/>
      </c>
      <c r="S341" s="57" t="str">
        <f>IFERROR(VLOOKUP(A341,'1-2-1 绩效数据'!$G:$I,3,0),"")</f>
        <v/>
      </c>
      <c r="T341" s="8" t="str">
        <f t="shared" si="119"/>
        <v>2</v>
      </c>
      <c r="U341" s="8" t="str">
        <f t="shared" si="109"/>
        <v/>
      </c>
      <c r="V341" s="8" t="str">
        <f t="shared" si="110"/>
        <v/>
      </c>
      <c r="W341" s="58" t="str">
        <f t="shared" si="120"/>
        <v/>
      </c>
      <c r="X341" s="8" t="str">
        <f t="shared" si="113"/>
        <v/>
      </c>
      <c r="Y341" s="8" t="str">
        <f t="shared" si="121"/>
        <v/>
      </c>
      <c r="Z341" s="57" t="str">
        <f t="shared" si="122"/>
        <v/>
      </c>
    </row>
    <row r="342" spans="1:26" x14ac:dyDescent="0.3">
      <c r="A342" s="8"/>
      <c r="B342" s="70" t="str">
        <f>IFERROR(VLOOKUP('1-2-2 关键绩效'!$A342,'1-1 基本信息'!$A:$K,7,0),"")</f>
        <v/>
      </c>
      <c r="C342" s="8" t="str">
        <f>IFERROR(VLOOKUP($A342,'1-1 基本信息'!$A:$J,10,0),"")</f>
        <v/>
      </c>
      <c r="D342" s="8" t="str">
        <f>IFERROR(VLOOKUP(A342,'1-1 基本信息'!$A:$I,8,0),"")</f>
        <v/>
      </c>
      <c r="E342" s="57" t="str">
        <f>IFERROR(VLOOKUP($A342,'1-2-1 绩效数据'!$A:$C,3,0),"")</f>
        <v/>
      </c>
      <c r="F342" s="8" t="str">
        <f t="shared" si="114"/>
        <v>2</v>
      </c>
      <c r="G342" s="8" t="str">
        <f t="shared" si="105"/>
        <v/>
      </c>
      <c r="H342" s="8" t="str">
        <f t="shared" si="106"/>
        <v/>
      </c>
      <c r="I342" s="58" t="str">
        <f t="shared" si="115"/>
        <v/>
      </c>
      <c r="J342" s="8" t="str">
        <f t="shared" si="111"/>
        <v/>
      </c>
      <c r="K342" s="8" t="str">
        <f t="shared" si="116"/>
        <v/>
      </c>
      <c r="L342" s="57" t="str">
        <f>IFERROR(VLOOKUP($A342,'1-2-1 绩效数据'!$D:$F,3,0),"")</f>
        <v/>
      </c>
      <c r="M342" s="8" t="str">
        <f t="shared" si="123"/>
        <v>2</v>
      </c>
      <c r="N342" s="8" t="str">
        <f t="shared" si="107"/>
        <v/>
      </c>
      <c r="O342" s="8" t="str">
        <f t="shared" si="108"/>
        <v/>
      </c>
      <c r="P342" s="58" t="str">
        <f t="shared" si="117"/>
        <v/>
      </c>
      <c r="Q342" s="8" t="str">
        <f t="shared" si="112"/>
        <v/>
      </c>
      <c r="R342" s="8" t="str">
        <f t="shared" si="118"/>
        <v/>
      </c>
      <c r="S342" s="57" t="str">
        <f>IFERROR(VLOOKUP(A342,'1-2-1 绩效数据'!$G:$I,3,0),"")</f>
        <v/>
      </c>
      <c r="T342" s="8" t="str">
        <f t="shared" si="119"/>
        <v>2</v>
      </c>
      <c r="U342" s="8" t="str">
        <f t="shared" si="109"/>
        <v/>
      </c>
      <c r="V342" s="8" t="str">
        <f t="shared" si="110"/>
        <v/>
      </c>
      <c r="W342" s="58" t="str">
        <f t="shared" si="120"/>
        <v/>
      </c>
      <c r="X342" s="8" t="str">
        <f t="shared" si="113"/>
        <v/>
      </c>
      <c r="Y342" s="8" t="str">
        <f t="shared" si="121"/>
        <v/>
      </c>
      <c r="Z342" s="57" t="str">
        <f t="shared" si="122"/>
        <v/>
      </c>
    </row>
    <row r="343" spans="1:26" x14ac:dyDescent="0.3">
      <c r="A343" s="8"/>
      <c r="B343" s="70" t="str">
        <f>IFERROR(VLOOKUP('1-2-2 关键绩效'!$A343,'1-1 基本信息'!$A:$K,7,0),"")</f>
        <v/>
      </c>
      <c r="C343" s="8" t="str">
        <f>IFERROR(VLOOKUP($A343,'1-1 基本信息'!$A:$J,10,0),"")</f>
        <v/>
      </c>
      <c r="D343" s="8" t="str">
        <f>IFERROR(VLOOKUP(A343,'1-1 基本信息'!$A:$I,8,0),"")</f>
        <v/>
      </c>
      <c r="E343" s="57" t="str">
        <f>IFERROR(VLOOKUP($A343,'1-2-1 绩效数据'!$A:$C,3,0),"")</f>
        <v/>
      </c>
      <c r="F343" s="8" t="str">
        <f t="shared" si="114"/>
        <v>2</v>
      </c>
      <c r="G343" s="8" t="str">
        <f t="shared" si="105"/>
        <v/>
      </c>
      <c r="H343" s="8" t="str">
        <f t="shared" si="106"/>
        <v/>
      </c>
      <c r="I343" s="58" t="str">
        <f t="shared" si="115"/>
        <v/>
      </c>
      <c r="J343" s="8" t="str">
        <f t="shared" si="111"/>
        <v/>
      </c>
      <c r="K343" s="8" t="str">
        <f t="shared" si="116"/>
        <v/>
      </c>
      <c r="L343" s="57" t="str">
        <f>IFERROR(VLOOKUP($A343,'1-2-1 绩效数据'!$D:$F,3,0),"")</f>
        <v/>
      </c>
      <c r="M343" s="8" t="str">
        <f t="shared" si="123"/>
        <v>2</v>
      </c>
      <c r="N343" s="8" t="str">
        <f t="shared" si="107"/>
        <v/>
      </c>
      <c r="O343" s="8" t="str">
        <f t="shared" si="108"/>
        <v/>
      </c>
      <c r="P343" s="58" t="str">
        <f t="shared" si="117"/>
        <v/>
      </c>
      <c r="Q343" s="8" t="str">
        <f t="shared" si="112"/>
        <v/>
      </c>
      <c r="R343" s="8" t="str">
        <f t="shared" si="118"/>
        <v/>
      </c>
      <c r="S343" s="57" t="str">
        <f>IFERROR(VLOOKUP(A343,'1-2-1 绩效数据'!$G:$I,3,0),"")</f>
        <v/>
      </c>
      <c r="T343" s="8" t="str">
        <f t="shared" si="119"/>
        <v>2</v>
      </c>
      <c r="U343" s="8" t="str">
        <f t="shared" si="109"/>
        <v/>
      </c>
      <c r="V343" s="8" t="str">
        <f t="shared" si="110"/>
        <v/>
      </c>
      <c r="W343" s="58" t="str">
        <f t="shared" si="120"/>
        <v/>
      </c>
      <c r="X343" s="8" t="str">
        <f t="shared" si="113"/>
        <v/>
      </c>
      <c r="Y343" s="8" t="str">
        <f t="shared" si="121"/>
        <v/>
      </c>
      <c r="Z343" s="57" t="str">
        <f t="shared" si="122"/>
        <v/>
      </c>
    </row>
    <row r="344" spans="1:26" x14ac:dyDescent="0.3">
      <c r="A344" s="8"/>
      <c r="B344" s="70" t="str">
        <f>IFERROR(VLOOKUP('1-2-2 关键绩效'!$A344,'1-1 基本信息'!$A:$K,7,0),"")</f>
        <v/>
      </c>
      <c r="C344" s="8" t="str">
        <f>IFERROR(VLOOKUP($A344,'1-1 基本信息'!$A:$J,10,0),"")</f>
        <v/>
      </c>
      <c r="D344" s="8" t="str">
        <f>IFERROR(VLOOKUP(A344,'1-1 基本信息'!$A:$I,8,0),"")</f>
        <v/>
      </c>
      <c r="E344" s="57" t="str">
        <f>IFERROR(VLOOKUP($A344,'1-2-1 绩效数据'!$A:$C,3,0),"")</f>
        <v/>
      </c>
      <c r="F344" s="8" t="str">
        <f t="shared" si="114"/>
        <v>2</v>
      </c>
      <c r="G344" s="8" t="str">
        <f t="shared" si="105"/>
        <v/>
      </c>
      <c r="H344" s="8" t="str">
        <f t="shared" si="106"/>
        <v/>
      </c>
      <c r="I344" s="58" t="str">
        <f t="shared" si="115"/>
        <v/>
      </c>
      <c r="J344" s="8" t="str">
        <f t="shared" si="111"/>
        <v/>
      </c>
      <c r="K344" s="8" t="str">
        <f t="shared" si="116"/>
        <v/>
      </c>
      <c r="L344" s="57" t="str">
        <f>IFERROR(VLOOKUP($A344,'1-2-1 绩效数据'!$D:$F,3,0),"")</f>
        <v/>
      </c>
      <c r="M344" s="8" t="str">
        <f t="shared" si="123"/>
        <v>2</v>
      </c>
      <c r="N344" s="8" t="str">
        <f t="shared" si="107"/>
        <v/>
      </c>
      <c r="O344" s="8" t="str">
        <f t="shared" si="108"/>
        <v/>
      </c>
      <c r="P344" s="58" t="str">
        <f t="shared" si="117"/>
        <v/>
      </c>
      <c r="Q344" s="8" t="str">
        <f t="shared" si="112"/>
        <v/>
      </c>
      <c r="R344" s="8" t="str">
        <f t="shared" si="118"/>
        <v/>
      </c>
      <c r="S344" s="57" t="str">
        <f>IFERROR(VLOOKUP(A344,'1-2-1 绩效数据'!$G:$I,3,0),"")</f>
        <v/>
      </c>
      <c r="T344" s="8" t="str">
        <f t="shared" si="119"/>
        <v>2</v>
      </c>
      <c r="U344" s="8" t="str">
        <f t="shared" si="109"/>
        <v/>
      </c>
      <c r="V344" s="8" t="str">
        <f t="shared" si="110"/>
        <v/>
      </c>
      <c r="W344" s="58" t="str">
        <f t="shared" si="120"/>
        <v/>
      </c>
      <c r="X344" s="8" t="str">
        <f t="shared" si="113"/>
        <v/>
      </c>
      <c r="Y344" s="8" t="str">
        <f t="shared" si="121"/>
        <v/>
      </c>
      <c r="Z344" s="57" t="str">
        <f t="shared" si="122"/>
        <v/>
      </c>
    </row>
    <row r="345" spans="1:26" x14ac:dyDescent="0.3">
      <c r="A345" s="8"/>
      <c r="B345" s="70" t="str">
        <f>IFERROR(VLOOKUP('1-2-2 关键绩效'!$A345,'1-1 基本信息'!$A:$K,7,0),"")</f>
        <v/>
      </c>
      <c r="C345" s="8" t="str">
        <f>IFERROR(VLOOKUP($A345,'1-1 基本信息'!$A:$J,10,0),"")</f>
        <v/>
      </c>
      <c r="D345" s="8" t="str">
        <f>IFERROR(VLOOKUP(A345,'1-1 基本信息'!$A:$I,8,0),"")</f>
        <v/>
      </c>
      <c r="E345" s="57" t="str">
        <f>IFERROR(VLOOKUP($A345,'1-2-1 绩效数据'!$A:$C,3,0),"")</f>
        <v/>
      </c>
      <c r="F345" s="8" t="str">
        <f t="shared" si="114"/>
        <v>2</v>
      </c>
      <c r="G345" s="8" t="str">
        <f t="shared" si="105"/>
        <v/>
      </c>
      <c r="H345" s="8" t="str">
        <f t="shared" si="106"/>
        <v/>
      </c>
      <c r="I345" s="58" t="str">
        <f t="shared" si="115"/>
        <v/>
      </c>
      <c r="J345" s="8" t="str">
        <f t="shared" si="111"/>
        <v/>
      </c>
      <c r="K345" s="8" t="str">
        <f t="shared" si="116"/>
        <v/>
      </c>
      <c r="L345" s="57" t="str">
        <f>IFERROR(VLOOKUP($A345,'1-2-1 绩效数据'!$D:$F,3,0),"")</f>
        <v/>
      </c>
      <c r="M345" s="8" t="str">
        <f t="shared" si="123"/>
        <v>2</v>
      </c>
      <c r="N345" s="8" t="str">
        <f t="shared" si="107"/>
        <v/>
      </c>
      <c r="O345" s="8" t="str">
        <f t="shared" si="108"/>
        <v/>
      </c>
      <c r="P345" s="58" t="str">
        <f t="shared" si="117"/>
        <v/>
      </c>
      <c r="Q345" s="8" t="str">
        <f t="shared" si="112"/>
        <v/>
      </c>
      <c r="R345" s="8" t="str">
        <f t="shared" si="118"/>
        <v/>
      </c>
      <c r="S345" s="57" t="str">
        <f>IFERROR(VLOOKUP(A345,'1-2-1 绩效数据'!$G:$I,3,0),"")</f>
        <v/>
      </c>
      <c r="T345" s="8" t="str">
        <f t="shared" si="119"/>
        <v>2</v>
      </c>
      <c r="U345" s="8" t="str">
        <f t="shared" si="109"/>
        <v/>
      </c>
      <c r="V345" s="8" t="str">
        <f t="shared" si="110"/>
        <v/>
      </c>
      <c r="W345" s="58" t="str">
        <f t="shared" si="120"/>
        <v/>
      </c>
      <c r="X345" s="8" t="str">
        <f t="shared" si="113"/>
        <v/>
      </c>
      <c r="Y345" s="8" t="str">
        <f t="shared" si="121"/>
        <v/>
      </c>
      <c r="Z345" s="57" t="str">
        <f t="shared" si="122"/>
        <v/>
      </c>
    </row>
    <row r="346" spans="1:26" x14ac:dyDescent="0.3">
      <c r="A346" s="8"/>
      <c r="B346" s="70" t="str">
        <f>IFERROR(VLOOKUP('1-2-2 关键绩效'!$A346,'1-1 基本信息'!$A:$K,7,0),"")</f>
        <v/>
      </c>
      <c r="C346" s="8" t="str">
        <f>IFERROR(VLOOKUP($A346,'1-1 基本信息'!$A:$J,10,0),"")</f>
        <v/>
      </c>
      <c r="D346" s="8" t="str">
        <f>IFERROR(VLOOKUP(A346,'1-1 基本信息'!$A:$I,8,0),"")</f>
        <v/>
      </c>
      <c r="E346" s="57" t="str">
        <f>IFERROR(VLOOKUP($A346,'1-2-1 绩效数据'!$A:$C,3,0),"")</f>
        <v/>
      </c>
      <c r="F346" s="8" t="str">
        <f t="shared" si="114"/>
        <v>2</v>
      </c>
      <c r="G346" s="8" t="str">
        <f t="shared" si="105"/>
        <v/>
      </c>
      <c r="H346" s="8" t="str">
        <f t="shared" si="106"/>
        <v/>
      </c>
      <c r="I346" s="58" t="str">
        <f t="shared" si="115"/>
        <v/>
      </c>
      <c r="J346" s="8" t="str">
        <f t="shared" si="111"/>
        <v/>
      </c>
      <c r="K346" s="8" t="str">
        <f t="shared" si="116"/>
        <v/>
      </c>
      <c r="L346" s="57" t="str">
        <f>IFERROR(VLOOKUP($A346,'1-2-1 绩效数据'!$D:$F,3,0),"")</f>
        <v/>
      </c>
      <c r="M346" s="8" t="str">
        <f t="shared" si="123"/>
        <v>2</v>
      </c>
      <c r="N346" s="8" t="str">
        <f t="shared" si="107"/>
        <v/>
      </c>
      <c r="O346" s="8" t="str">
        <f t="shared" si="108"/>
        <v/>
      </c>
      <c r="P346" s="58" t="str">
        <f t="shared" si="117"/>
        <v/>
      </c>
      <c r="Q346" s="8" t="str">
        <f t="shared" si="112"/>
        <v/>
      </c>
      <c r="R346" s="8" t="str">
        <f t="shared" si="118"/>
        <v/>
      </c>
      <c r="S346" s="57" t="str">
        <f>IFERROR(VLOOKUP(A346,'1-2-1 绩效数据'!$G:$I,3,0),"")</f>
        <v/>
      </c>
      <c r="T346" s="8" t="str">
        <f t="shared" si="119"/>
        <v>2</v>
      </c>
      <c r="U346" s="8" t="str">
        <f t="shared" si="109"/>
        <v/>
      </c>
      <c r="V346" s="8" t="str">
        <f t="shared" si="110"/>
        <v/>
      </c>
      <c r="W346" s="58" t="str">
        <f t="shared" si="120"/>
        <v/>
      </c>
      <c r="X346" s="8" t="str">
        <f t="shared" si="113"/>
        <v/>
      </c>
      <c r="Y346" s="8" t="str">
        <f t="shared" si="121"/>
        <v/>
      </c>
      <c r="Z346" s="57" t="str">
        <f t="shared" si="122"/>
        <v/>
      </c>
    </row>
    <row r="347" spans="1:26" x14ac:dyDescent="0.3">
      <c r="A347" s="8"/>
      <c r="B347" s="70" t="str">
        <f>IFERROR(VLOOKUP('1-2-2 关键绩效'!$A347,'1-1 基本信息'!$A:$K,7,0),"")</f>
        <v/>
      </c>
      <c r="C347" s="8" t="str">
        <f>IFERROR(VLOOKUP($A347,'1-1 基本信息'!$A:$J,10,0),"")</f>
        <v/>
      </c>
      <c r="D347" s="8" t="str">
        <f>IFERROR(VLOOKUP(A347,'1-1 基本信息'!$A:$I,8,0),"")</f>
        <v/>
      </c>
      <c r="E347" s="57" t="str">
        <f>IFERROR(VLOOKUP($A347,'1-2-1 绩效数据'!$A:$C,3,0),"")</f>
        <v/>
      </c>
      <c r="F347" s="8" t="str">
        <f t="shared" si="114"/>
        <v>2</v>
      </c>
      <c r="G347" s="8" t="str">
        <f t="shared" si="105"/>
        <v/>
      </c>
      <c r="H347" s="8" t="str">
        <f t="shared" si="106"/>
        <v/>
      </c>
      <c r="I347" s="58" t="str">
        <f t="shared" si="115"/>
        <v/>
      </c>
      <c r="J347" s="8" t="str">
        <f t="shared" si="111"/>
        <v/>
      </c>
      <c r="K347" s="8" t="str">
        <f t="shared" si="116"/>
        <v/>
      </c>
      <c r="L347" s="57" t="str">
        <f>IFERROR(VLOOKUP($A347,'1-2-1 绩效数据'!$D:$F,3,0),"")</f>
        <v/>
      </c>
      <c r="M347" s="8" t="str">
        <f t="shared" si="123"/>
        <v>2</v>
      </c>
      <c r="N347" s="8" t="str">
        <f t="shared" si="107"/>
        <v/>
      </c>
      <c r="O347" s="8" t="str">
        <f t="shared" si="108"/>
        <v/>
      </c>
      <c r="P347" s="58" t="str">
        <f t="shared" si="117"/>
        <v/>
      </c>
      <c r="Q347" s="8" t="str">
        <f t="shared" si="112"/>
        <v/>
      </c>
      <c r="R347" s="8" t="str">
        <f t="shared" si="118"/>
        <v/>
      </c>
      <c r="S347" s="57" t="str">
        <f>IFERROR(VLOOKUP(A347,'1-2-1 绩效数据'!$G:$I,3,0),"")</f>
        <v/>
      </c>
      <c r="T347" s="8" t="str">
        <f t="shared" si="119"/>
        <v>2</v>
      </c>
      <c r="U347" s="8" t="str">
        <f t="shared" si="109"/>
        <v/>
      </c>
      <c r="V347" s="8" t="str">
        <f t="shared" si="110"/>
        <v/>
      </c>
      <c r="W347" s="58" t="str">
        <f t="shared" si="120"/>
        <v/>
      </c>
      <c r="X347" s="8" t="str">
        <f t="shared" si="113"/>
        <v/>
      </c>
      <c r="Y347" s="8" t="str">
        <f t="shared" si="121"/>
        <v/>
      </c>
      <c r="Z347" s="57" t="str">
        <f t="shared" si="122"/>
        <v/>
      </c>
    </row>
    <row r="348" spans="1:26" x14ac:dyDescent="0.3">
      <c r="A348" s="8"/>
      <c r="B348" s="70" t="str">
        <f>IFERROR(VLOOKUP('1-2-2 关键绩效'!$A348,'1-1 基本信息'!$A:$K,7,0),"")</f>
        <v/>
      </c>
      <c r="C348" s="8" t="str">
        <f>IFERROR(VLOOKUP($A348,'1-1 基本信息'!$A:$J,10,0),"")</f>
        <v/>
      </c>
      <c r="D348" s="8" t="str">
        <f>IFERROR(VLOOKUP(A348,'1-1 基本信息'!$A:$I,8,0),"")</f>
        <v/>
      </c>
      <c r="E348" s="57" t="str">
        <f>IFERROR(VLOOKUP($A348,'1-2-1 绩效数据'!$A:$C,3,0),"")</f>
        <v/>
      </c>
      <c r="F348" s="8" t="str">
        <f t="shared" si="114"/>
        <v>2</v>
      </c>
      <c r="G348" s="8" t="str">
        <f t="shared" si="105"/>
        <v/>
      </c>
      <c r="H348" s="8" t="str">
        <f t="shared" si="106"/>
        <v/>
      </c>
      <c r="I348" s="58" t="str">
        <f t="shared" si="115"/>
        <v/>
      </c>
      <c r="J348" s="8" t="str">
        <f t="shared" si="111"/>
        <v/>
      </c>
      <c r="K348" s="8" t="str">
        <f t="shared" si="116"/>
        <v/>
      </c>
      <c r="L348" s="57" t="str">
        <f>IFERROR(VLOOKUP($A348,'1-2-1 绩效数据'!$D:$F,3,0),"")</f>
        <v/>
      </c>
      <c r="M348" s="8" t="str">
        <f t="shared" si="123"/>
        <v>2</v>
      </c>
      <c r="N348" s="8" t="str">
        <f t="shared" si="107"/>
        <v/>
      </c>
      <c r="O348" s="8" t="str">
        <f t="shared" si="108"/>
        <v/>
      </c>
      <c r="P348" s="58" t="str">
        <f t="shared" si="117"/>
        <v/>
      </c>
      <c r="Q348" s="8" t="str">
        <f t="shared" si="112"/>
        <v/>
      </c>
      <c r="R348" s="8" t="str">
        <f t="shared" si="118"/>
        <v/>
      </c>
      <c r="S348" s="57" t="str">
        <f>IFERROR(VLOOKUP(A348,'1-2-1 绩效数据'!$G:$I,3,0),"")</f>
        <v/>
      </c>
      <c r="T348" s="8" t="str">
        <f t="shared" si="119"/>
        <v>2</v>
      </c>
      <c r="U348" s="8" t="str">
        <f t="shared" si="109"/>
        <v/>
      </c>
      <c r="V348" s="8" t="str">
        <f t="shared" si="110"/>
        <v/>
      </c>
      <c r="W348" s="58" t="str">
        <f t="shared" si="120"/>
        <v/>
      </c>
      <c r="X348" s="8" t="str">
        <f t="shared" si="113"/>
        <v/>
      </c>
      <c r="Y348" s="8" t="str">
        <f t="shared" si="121"/>
        <v/>
      </c>
      <c r="Z348" s="57" t="str">
        <f t="shared" si="122"/>
        <v/>
      </c>
    </row>
    <row r="349" spans="1:26" x14ac:dyDescent="0.3">
      <c r="A349" s="8"/>
      <c r="B349" s="70" t="str">
        <f>IFERROR(VLOOKUP('1-2-2 关键绩效'!$A349,'1-1 基本信息'!$A:$K,7,0),"")</f>
        <v/>
      </c>
      <c r="C349" s="8" t="str">
        <f>IFERROR(VLOOKUP($A349,'1-1 基本信息'!$A:$J,10,0),"")</f>
        <v/>
      </c>
      <c r="D349" s="8" t="str">
        <f>IFERROR(VLOOKUP(A349,'1-1 基本信息'!$A:$I,8,0),"")</f>
        <v/>
      </c>
      <c r="E349" s="57" t="str">
        <f>IFERROR(VLOOKUP($A349,'1-2-1 绩效数据'!$A:$C,3,0),"")</f>
        <v/>
      </c>
      <c r="F349" s="8" t="str">
        <f t="shared" si="114"/>
        <v>2</v>
      </c>
      <c r="G349" s="8" t="str">
        <f t="shared" si="105"/>
        <v/>
      </c>
      <c r="H349" s="8" t="str">
        <f t="shared" si="106"/>
        <v/>
      </c>
      <c r="I349" s="58" t="str">
        <f t="shared" si="115"/>
        <v/>
      </c>
      <c r="J349" s="8" t="str">
        <f t="shared" si="111"/>
        <v/>
      </c>
      <c r="K349" s="8" t="str">
        <f t="shared" si="116"/>
        <v/>
      </c>
      <c r="L349" s="57" t="str">
        <f>IFERROR(VLOOKUP($A349,'1-2-1 绩效数据'!$D:$F,3,0),"")</f>
        <v/>
      </c>
      <c r="M349" s="8" t="str">
        <f t="shared" si="123"/>
        <v>2</v>
      </c>
      <c r="N349" s="8" t="str">
        <f t="shared" si="107"/>
        <v/>
      </c>
      <c r="O349" s="8" t="str">
        <f t="shared" si="108"/>
        <v/>
      </c>
      <c r="P349" s="58" t="str">
        <f t="shared" si="117"/>
        <v/>
      </c>
      <c r="Q349" s="8" t="str">
        <f t="shared" si="112"/>
        <v/>
      </c>
      <c r="R349" s="8" t="str">
        <f t="shared" si="118"/>
        <v/>
      </c>
      <c r="S349" s="57" t="str">
        <f>IFERROR(VLOOKUP(A349,'1-2-1 绩效数据'!$G:$I,3,0),"")</f>
        <v/>
      </c>
      <c r="T349" s="8" t="str">
        <f t="shared" si="119"/>
        <v>2</v>
      </c>
      <c r="U349" s="8" t="str">
        <f t="shared" si="109"/>
        <v/>
      </c>
      <c r="V349" s="8" t="str">
        <f t="shared" si="110"/>
        <v/>
      </c>
      <c r="W349" s="58" t="str">
        <f t="shared" si="120"/>
        <v/>
      </c>
      <c r="X349" s="8" t="str">
        <f t="shared" si="113"/>
        <v/>
      </c>
      <c r="Y349" s="8" t="str">
        <f t="shared" si="121"/>
        <v/>
      </c>
      <c r="Z349" s="57" t="str">
        <f t="shared" si="122"/>
        <v/>
      </c>
    </row>
    <row r="350" spans="1:26" x14ac:dyDescent="0.3">
      <c r="A350" s="8"/>
      <c r="B350" s="70" t="str">
        <f>IFERROR(VLOOKUP('1-2-2 关键绩效'!$A350,'1-1 基本信息'!$A:$K,7,0),"")</f>
        <v/>
      </c>
      <c r="C350" s="8" t="str">
        <f>IFERROR(VLOOKUP($A350,'1-1 基本信息'!$A:$J,10,0),"")</f>
        <v/>
      </c>
      <c r="D350" s="8" t="str">
        <f>IFERROR(VLOOKUP(A350,'1-1 基本信息'!$A:$I,8,0),"")</f>
        <v/>
      </c>
      <c r="E350" s="57" t="str">
        <f>IFERROR(VLOOKUP($A350,'1-2-1 绩效数据'!$A:$C,3,0),"")</f>
        <v/>
      </c>
      <c r="F350" s="8" t="str">
        <f t="shared" si="114"/>
        <v>2</v>
      </c>
      <c r="G350" s="8" t="str">
        <f t="shared" si="105"/>
        <v/>
      </c>
      <c r="H350" s="8" t="str">
        <f t="shared" si="106"/>
        <v/>
      </c>
      <c r="I350" s="58" t="str">
        <f t="shared" si="115"/>
        <v/>
      </c>
      <c r="J350" s="8" t="str">
        <f t="shared" si="111"/>
        <v/>
      </c>
      <c r="K350" s="8" t="str">
        <f t="shared" si="116"/>
        <v/>
      </c>
      <c r="L350" s="57" t="str">
        <f>IFERROR(VLOOKUP($A350,'1-2-1 绩效数据'!$D:$F,3,0),"")</f>
        <v/>
      </c>
      <c r="M350" s="8" t="str">
        <f t="shared" si="123"/>
        <v>2</v>
      </c>
      <c r="N350" s="8" t="str">
        <f t="shared" si="107"/>
        <v/>
      </c>
      <c r="O350" s="8" t="str">
        <f t="shared" si="108"/>
        <v/>
      </c>
      <c r="P350" s="58" t="str">
        <f t="shared" si="117"/>
        <v/>
      </c>
      <c r="Q350" s="8" t="str">
        <f t="shared" si="112"/>
        <v/>
      </c>
      <c r="R350" s="8" t="str">
        <f t="shared" si="118"/>
        <v/>
      </c>
      <c r="S350" s="57" t="str">
        <f>IFERROR(VLOOKUP(A350,'1-2-1 绩效数据'!$G:$I,3,0),"")</f>
        <v/>
      </c>
      <c r="T350" s="8" t="str">
        <f t="shared" si="119"/>
        <v>2</v>
      </c>
      <c r="U350" s="8" t="str">
        <f t="shared" si="109"/>
        <v/>
      </c>
      <c r="V350" s="8" t="str">
        <f t="shared" si="110"/>
        <v/>
      </c>
      <c r="W350" s="58" t="str">
        <f t="shared" si="120"/>
        <v/>
      </c>
      <c r="X350" s="8" t="str">
        <f t="shared" si="113"/>
        <v/>
      </c>
      <c r="Y350" s="8" t="str">
        <f t="shared" si="121"/>
        <v/>
      </c>
      <c r="Z350" s="57" t="str">
        <f t="shared" si="122"/>
        <v/>
      </c>
    </row>
    <row r="351" spans="1:26" x14ac:dyDescent="0.3">
      <c r="A351" s="8"/>
      <c r="B351" s="70" t="str">
        <f>IFERROR(VLOOKUP('1-2-2 关键绩效'!$A351,'1-1 基本信息'!$A:$K,7,0),"")</f>
        <v/>
      </c>
      <c r="C351" s="8" t="str">
        <f>IFERROR(VLOOKUP($A351,'1-1 基本信息'!$A:$J,10,0),"")</f>
        <v/>
      </c>
      <c r="D351" s="8" t="str">
        <f>IFERROR(VLOOKUP(A351,'1-1 基本信息'!$A:$I,8,0),"")</f>
        <v/>
      </c>
      <c r="E351" s="57" t="str">
        <f>IFERROR(VLOOKUP($A351,'1-2-1 绩效数据'!$A:$C,3,0),"")</f>
        <v/>
      </c>
      <c r="F351" s="8" t="str">
        <f t="shared" si="114"/>
        <v>2</v>
      </c>
      <c r="G351" s="8" t="str">
        <f t="shared" si="105"/>
        <v/>
      </c>
      <c r="H351" s="8" t="str">
        <f t="shared" si="106"/>
        <v/>
      </c>
      <c r="I351" s="58" t="str">
        <f t="shared" si="115"/>
        <v/>
      </c>
      <c r="J351" s="8" t="str">
        <f t="shared" si="111"/>
        <v/>
      </c>
      <c r="K351" s="8" t="str">
        <f t="shared" si="116"/>
        <v/>
      </c>
      <c r="L351" s="57" t="str">
        <f>IFERROR(VLOOKUP($A351,'1-2-1 绩效数据'!$D:$F,3,0),"")</f>
        <v/>
      </c>
      <c r="M351" s="8" t="str">
        <f t="shared" si="123"/>
        <v>2</v>
      </c>
      <c r="N351" s="8" t="str">
        <f t="shared" si="107"/>
        <v/>
      </c>
      <c r="O351" s="8" t="str">
        <f t="shared" si="108"/>
        <v/>
      </c>
      <c r="P351" s="58" t="str">
        <f t="shared" si="117"/>
        <v/>
      </c>
      <c r="Q351" s="8" t="str">
        <f t="shared" si="112"/>
        <v/>
      </c>
      <c r="R351" s="8" t="str">
        <f t="shared" si="118"/>
        <v/>
      </c>
      <c r="S351" s="57" t="str">
        <f>IFERROR(VLOOKUP(A351,'1-2-1 绩效数据'!$G:$I,3,0),"")</f>
        <v/>
      </c>
      <c r="T351" s="8" t="str">
        <f t="shared" si="119"/>
        <v>2</v>
      </c>
      <c r="U351" s="8" t="str">
        <f t="shared" si="109"/>
        <v/>
      </c>
      <c r="V351" s="8" t="str">
        <f t="shared" si="110"/>
        <v/>
      </c>
      <c r="W351" s="58" t="str">
        <f t="shared" si="120"/>
        <v/>
      </c>
      <c r="X351" s="8" t="str">
        <f t="shared" si="113"/>
        <v/>
      </c>
      <c r="Y351" s="8" t="str">
        <f t="shared" si="121"/>
        <v/>
      </c>
      <c r="Z351" s="57" t="str">
        <f t="shared" si="122"/>
        <v/>
      </c>
    </row>
    <row r="352" spans="1:26" x14ac:dyDescent="0.3">
      <c r="A352" s="8"/>
      <c r="B352" s="70" t="str">
        <f>IFERROR(VLOOKUP('1-2-2 关键绩效'!$A352,'1-1 基本信息'!$A:$K,7,0),"")</f>
        <v/>
      </c>
      <c r="C352" s="8" t="str">
        <f>IFERROR(VLOOKUP($A352,'1-1 基本信息'!$A:$J,10,0),"")</f>
        <v/>
      </c>
      <c r="D352" s="8" t="str">
        <f>IFERROR(VLOOKUP(A352,'1-1 基本信息'!$A:$I,8,0),"")</f>
        <v/>
      </c>
      <c r="E352" s="57" t="str">
        <f>IFERROR(VLOOKUP($A352,'1-2-1 绩效数据'!$A:$C,3,0),"")</f>
        <v/>
      </c>
      <c r="F352" s="8" t="str">
        <f t="shared" si="114"/>
        <v>2</v>
      </c>
      <c r="G352" s="8" t="str">
        <f t="shared" si="105"/>
        <v/>
      </c>
      <c r="H352" s="8" t="str">
        <f t="shared" si="106"/>
        <v/>
      </c>
      <c r="I352" s="58" t="str">
        <f t="shared" si="115"/>
        <v/>
      </c>
      <c r="J352" s="8" t="str">
        <f t="shared" si="111"/>
        <v/>
      </c>
      <c r="K352" s="8" t="str">
        <f t="shared" si="116"/>
        <v/>
      </c>
      <c r="L352" s="57" t="str">
        <f>IFERROR(VLOOKUP($A352,'1-2-1 绩效数据'!$D:$F,3,0),"")</f>
        <v/>
      </c>
      <c r="M352" s="8" t="str">
        <f t="shared" si="123"/>
        <v>2</v>
      </c>
      <c r="N352" s="8" t="str">
        <f t="shared" si="107"/>
        <v/>
      </c>
      <c r="O352" s="8" t="str">
        <f t="shared" si="108"/>
        <v/>
      </c>
      <c r="P352" s="58" t="str">
        <f t="shared" si="117"/>
        <v/>
      </c>
      <c r="Q352" s="8" t="str">
        <f t="shared" si="112"/>
        <v/>
      </c>
      <c r="R352" s="8" t="str">
        <f t="shared" si="118"/>
        <v/>
      </c>
      <c r="S352" s="57" t="str">
        <f>IFERROR(VLOOKUP(A352,'1-2-1 绩效数据'!$G:$I,3,0),"")</f>
        <v/>
      </c>
      <c r="T352" s="8" t="str">
        <f t="shared" si="119"/>
        <v>2</v>
      </c>
      <c r="U352" s="8" t="str">
        <f t="shared" si="109"/>
        <v/>
      </c>
      <c r="V352" s="8" t="str">
        <f t="shared" si="110"/>
        <v/>
      </c>
      <c r="W352" s="58" t="str">
        <f t="shared" si="120"/>
        <v/>
      </c>
      <c r="X352" s="8" t="str">
        <f t="shared" si="113"/>
        <v/>
      </c>
      <c r="Y352" s="8" t="str">
        <f t="shared" si="121"/>
        <v/>
      </c>
      <c r="Z352" s="57" t="str">
        <f t="shared" si="122"/>
        <v/>
      </c>
    </row>
    <row r="353" spans="1:26" x14ac:dyDescent="0.3">
      <c r="A353" s="8"/>
      <c r="B353" s="70" t="str">
        <f>IFERROR(VLOOKUP('1-2-2 关键绩效'!$A353,'1-1 基本信息'!$A:$K,7,0),"")</f>
        <v/>
      </c>
      <c r="C353" s="8" t="str">
        <f>IFERROR(VLOOKUP($A353,'1-1 基本信息'!$A:$J,10,0),"")</f>
        <v/>
      </c>
      <c r="D353" s="8" t="str">
        <f>IFERROR(VLOOKUP(A353,'1-1 基本信息'!$A:$I,8,0),"")</f>
        <v/>
      </c>
      <c r="E353" s="57" t="str">
        <f>IFERROR(VLOOKUP($A353,'1-2-1 绩效数据'!$A:$C,3,0),"")</f>
        <v/>
      </c>
      <c r="F353" s="8" t="str">
        <f t="shared" si="114"/>
        <v>2</v>
      </c>
      <c r="G353" s="8" t="str">
        <f t="shared" si="105"/>
        <v/>
      </c>
      <c r="H353" s="8" t="str">
        <f t="shared" si="106"/>
        <v/>
      </c>
      <c r="I353" s="58" t="str">
        <f t="shared" si="115"/>
        <v/>
      </c>
      <c r="J353" s="8" t="str">
        <f t="shared" si="111"/>
        <v/>
      </c>
      <c r="K353" s="8" t="str">
        <f t="shared" si="116"/>
        <v/>
      </c>
      <c r="L353" s="57" t="str">
        <f>IFERROR(VLOOKUP($A353,'1-2-1 绩效数据'!$D:$F,3,0),"")</f>
        <v/>
      </c>
      <c r="M353" s="8" t="str">
        <f t="shared" si="123"/>
        <v>2</v>
      </c>
      <c r="N353" s="8" t="str">
        <f t="shared" si="107"/>
        <v/>
      </c>
      <c r="O353" s="8" t="str">
        <f t="shared" si="108"/>
        <v/>
      </c>
      <c r="P353" s="58" t="str">
        <f t="shared" si="117"/>
        <v/>
      </c>
      <c r="Q353" s="8" t="str">
        <f t="shared" si="112"/>
        <v/>
      </c>
      <c r="R353" s="8" t="str">
        <f t="shared" si="118"/>
        <v/>
      </c>
      <c r="S353" s="57" t="str">
        <f>IFERROR(VLOOKUP(A353,'1-2-1 绩效数据'!$G:$I,3,0),"")</f>
        <v/>
      </c>
      <c r="T353" s="8" t="str">
        <f t="shared" si="119"/>
        <v>2</v>
      </c>
      <c r="U353" s="8" t="str">
        <f t="shared" si="109"/>
        <v/>
      </c>
      <c r="V353" s="8" t="str">
        <f t="shared" si="110"/>
        <v/>
      </c>
      <c r="W353" s="58" t="str">
        <f t="shared" si="120"/>
        <v/>
      </c>
      <c r="X353" s="8" t="str">
        <f t="shared" si="113"/>
        <v/>
      </c>
      <c r="Y353" s="8" t="str">
        <f t="shared" si="121"/>
        <v/>
      </c>
      <c r="Z353" s="57" t="str">
        <f t="shared" si="122"/>
        <v/>
      </c>
    </row>
    <row r="354" spans="1:26" x14ac:dyDescent="0.3">
      <c r="A354" s="8"/>
      <c r="B354" s="70" t="str">
        <f>IFERROR(VLOOKUP('1-2-2 关键绩效'!$A354,'1-1 基本信息'!$A:$K,7,0),"")</f>
        <v/>
      </c>
      <c r="C354" s="8" t="str">
        <f>IFERROR(VLOOKUP($A354,'1-1 基本信息'!$A:$J,10,0),"")</f>
        <v/>
      </c>
      <c r="D354" s="8" t="str">
        <f>IFERROR(VLOOKUP(A354,'1-1 基本信息'!$A:$I,8,0),"")</f>
        <v/>
      </c>
      <c r="E354" s="57" t="str">
        <f>IFERROR(VLOOKUP($A354,'1-2-1 绩效数据'!$A:$C,3,0),"")</f>
        <v/>
      </c>
      <c r="F354" s="8" t="str">
        <f t="shared" si="114"/>
        <v>2</v>
      </c>
      <c r="G354" s="8" t="str">
        <f t="shared" si="105"/>
        <v/>
      </c>
      <c r="H354" s="8" t="str">
        <f t="shared" si="106"/>
        <v/>
      </c>
      <c r="I354" s="58" t="str">
        <f t="shared" si="115"/>
        <v/>
      </c>
      <c r="J354" s="8" t="str">
        <f t="shared" si="111"/>
        <v/>
      </c>
      <c r="K354" s="8" t="str">
        <f t="shared" si="116"/>
        <v/>
      </c>
      <c r="L354" s="57" t="str">
        <f>IFERROR(VLOOKUP($A354,'1-2-1 绩效数据'!$D:$F,3,0),"")</f>
        <v/>
      </c>
      <c r="M354" s="8" t="str">
        <f t="shared" si="123"/>
        <v>2</v>
      </c>
      <c r="N354" s="8" t="str">
        <f t="shared" si="107"/>
        <v/>
      </c>
      <c r="O354" s="8" t="str">
        <f t="shared" si="108"/>
        <v/>
      </c>
      <c r="P354" s="58" t="str">
        <f t="shared" si="117"/>
        <v/>
      </c>
      <c r="Q354" s="8" t="str">
        <f t="shared" si="112"/>
        <v/>
      </c>
      <c r="R354" s="8" t="str">
        <f t="shared" si="118"/>
        <v/>
      </c>
      <c r="S354" s="57" t="str">
        <f>IFERROR(VLOOKUP(A354,'1-2-1 绩效数据'!$G:$I,3,0),"")</f>
        <v/>
      </c>
      <c r="T354" s="8" t="str">
        <f t="shared" si="119"/>
        <v>2</v>
      </c>
      <c r="U354" s="8" t="str">
        <f t="shared" si="109"/>
        <v/>
      </c>
      <c r="V354" s="8" t="str">
        <f t="shared" si="110"/>
        <v/>
      </c>
      <c r="W354" s="58" t="str">
        <f t="shared" si="120"/>
        <v/>
      </c>
      <c r="X354" s="8" t="str">
        <f t="shared" si="113"/>
        <v/>
      </c>
      <c r="Y354" s="8" t="str">
        <f t="shared" si="121"/>
        <v/>
      </c>
      <c r="Z354" s="57" t="str">
        <f t="shared" si="122"/>
        <v/>
      </c>
    </row>
    <row r="355" spans="1:26" x14ac:dyDescent="0.3">
      <c r="A355" s="8"/>
      <c r="B355" s="70" t="str">
        <f>IFERROR(VLOOKUP('1-2-2 关键绩效'!$A355,'1-1 基本信息'!$A:$K,7,0),"")</f>
        <v/>
      </c>
      <c r="C355" s="8" t="str">
        <f>IFERROR(VLOOKUP($A355,'1-1 基本信息'!$A:$J,10,0),"")</f>
        <v/>
      </c>
      <c r="D355" s="8" t="str">
        <f>IFERROR(VLOOKUP(A355,'1-1 基本信息'!$A:$I,8,0),"")</f>
        <v/>
      </c>
      <c r="E355" s="57" t="str">
        <f>IFERROR(VLOOKUP($A355,'1-2-1 绩效数据'!$A:$C,3,0),"")</f>
        <v/>
      </c>
      <c r="F355" s="8" t="str">
        <f t="shared" si="114"/>
        <v>2</v>
      </c>
      <c r="G355" s="8" t="str">
        <f t="shared" si="105"/>
        <v/>
      </c>
      <c r="H355" s="8" t="str">
        <f t="shared" si="106"/>
        <v/>
      </c>
      <c r="I355" s="58" t="str">
        <f t="shared" si="115"/>
        <v/>
      </c>
      <c r="J355" s="8" t="str">
        <f t="shared" si="111"/>
        <v/>
      </c>
      <c r="K355" s="8" t="str">
        <f t="shared" si="116"/>
        <v/>
      </c>
      <c r="L355" s="57" t="str">
        <f>IFERROR(VLOOKUP($A355,'1-2-1 绩效数据'!$D:$F,3,0),"")</f>
        <v/>
      </c>
      <c r="M355" s="8" t="str">
        <f t="shared" si="123"/>
        <v>2</v>
      </c>
      <c r="N355" s="8" t="str">
        <f t="shared" si="107"/>
        <v/>
      </c>
      <c r="O355" s="8" t="str">
        <f t="shared" si="108"/>
        <v/>
      </c>
      <c r="P355" s="58" t="str">
        <f t="shared" si="117"/>
        <v/>
      </c>
      <c r="Q355" s="8" t="str">
        <f t="shared" si="112"/>
        <v/>
      </c>
      <c r="R355" s="8" t="str">
        <f t="shared" si="118"/>
        <v/>
      </c>
      <c r="S355" s="57" t="str">
        <f>IFERROR(VLOOKUP(A355,'1-2-1 绩效数据'!$G:$I,3,0),"")</f>
        <v/>
      </c>
      <c r="T355" s="8" t="str">
        <f t="shared" si="119"/>
        <v>2</v>
      </c>
      <c r="U355" s="8" t="str">
        <f t="shared" si="109"/>
        <v/>
      </c>
      <c r="V355" s="8" t="str">
        <f t="shared" si="110"/>
        <v/>
      </c>
      <c r="W355" s="58" t="str">
        <f t="shared" si="120"/>
        <v/>
      </c>
      <c r="X355" s="8" t="str">
        <f t="shared" si="113"/>
        <v/>
      </c>
      <c r="Y355" s="8" t="str">
        <f t="shared" si="121"/>
        <v/>
      </c>
      <c r="Z355" s="57" t="str">
        <f t="shared" si="122"/>
        <v/>
      </c>
    </row>
    <row r="356" spans="1:26" x14ac:dyDescent="0.3">
      <c r="A356" s="8"/>
      <c r="B356" s="70" t="str">
        <f>IFERROR(VLOOKUP('1-2-2 关键绩效'!$A356,'1-1 基本信息'!$A:$K,7,0),"")</f>
        <v/>
      </c>
      <c r="C356" s="8" t="str">
        <f>IFERROR(VLOOKUP($A356,'1-1 基本信息'!$A:$J,10,0),"")</f>
        <v/>
      </c>
      <c r="D356" s="8" t="str">
        <f>IFERROR(VLOOKUP(A356,'1-1 基本信息'!$A:$I,8,0),"")</f>
        <v/>
      </c>
      <c r="E356" s="57" t="str">
        <f>IFERROR(VLOOKUP($A356,'1-2-1 绩效数据'!$A:$C,3,0),"")</f>
        <v/>
      </c>
      <c r="F356" s="8" t="str">
        <f t="shared" si="114"/>
        <v>2</v>
      </c>
      <c r="G356" s="8" t="str">
        <f t="shared" si="105"/>
        <v/>
      </c>
      <c r="H356" s="8" t="str">
        <f t="shared" si="106"/>
        <v/>
      </c>
      <c r="I356" s="58" t="str">
        <f t="shared" si="115"/>
        <v/>
      </c>
      <c r="J356" s="8" t="str">
        <f t="shared" si="111"/>
        <v/>
      </c>
      <c r="K356" s="8" t="str">
        <f t="shared" si="116"/>
        <v/>
      </c>
      <c r="L356" s="57" t="str">
        <f>IFERROR(VLOOKUP($A356,'1-2-1 绩效数据'!$D:$F,3,0),"")</f>
        <v/>
      </c>
      <c r="M356" s="8" t="str">
        <f t="shared" si="123"/>
        <v>2</v>
      </c>
      <c r="N356" s="8" t="str">
        <f t="shared" si="107"/>
        <v/>
      </c>
      <c r="O356" s="8" t="str">
        <f t="shared" si="108"/>
        <v/>
      </c>
      <c r="P356" s="58" t="str">
        <f t="shared" si="117"/>
        <v/>
      </c>
      <c r="Q356" s="8" t="str">
        <f t="shared" si="112"/>
        <v/>
      </c>
      <c r="R356" s="8" t="str">
        <f t="shared" si="118"/>
        <v/>
      </c>
      <c r="S356" s="57" t="str">
        <f>IFERROR(VLOOKUP(A356,'1-2-1 绩效数据'!$G:$I,3,0),"")</f>
        <v/>
      </c>
      <c r="T356" s="8" t="str">
        <f t="shared" si="119"/>
        <v>2</v>
      </c>
      <c r="U356" s="8" t="str">
        <f t="shared" si="109"/>
        <v/>
      </c>
      <c r="V356" s="8" t="str">
        <f t="shared" si="110"/>
        <v/>
      </c>
      <c r="W356" s="58" t="str">
        <f t="shared" si="120"/>
        <v/>
      </c>
      <c r="X356" s="8" t="str">
        <f t="shared" si="113"/>
        <v/>
      </c>
      <c r="Y356" s="8" t="str">
        <f t="shared" si="121"/>
        <v/>
      </c>
      <c r="Z356" s="57" t="str">
        <f t="shared" si="122"/>
        <v/>
      </c>
    </row>
    <row r="357" spans="1:26" x14ac:dyDescent="0.3">
      <c r="A357" s="8"/>
      <c r="B357" s="70" t="str">
        <f>IFERROR(VLOOKUP('1-2-2 关键绩效'!$A357,'1-1 基本信息'!$A:$K,7,0),"")</f>
        <v/>
      </c>
      <c r="C357" s="8" t="str">
        <f>IFERROR(VLOOKUP($A357,'1-1 基本信息'!$A:$J,10,0),"")</f>
        <v/>
      </c>
      <c r="D357" s="8" t="str">
        <f>IFERROR(VLOOKUP(A357,'1-1 基本信息'!$A:$I,8,0),"")</f>
        <v/>
      </c>
      <c r="E357" s="57" t="str">
        <f>IFERROR(VLOOKUP($A357,'1-2-1 绩效数据'!$A:$C,3,0),"")</f>
        <v/>
      </c>
      <c r="F357" s="8" t="str">
        <f t="shared" si="114"/>
        <v>2</v>
      </c>
      <c r="G357" s="8" t="str">
        <f t="shared" si="105"/>
        <v/>
      </c>
      <c r="H357" s="8" t="str">
        <f t="shared" si="106"/>
        <v/>
      </c>
      <c r="I357" s="58" t="str">
        <f t="shared" si="115"/>
        <v/>
      </c>
      <c r="J357" s="8" t="str">
        <f t="shared" si="111"/>
        <v/>
      </c>
      <c r="K357" s="8" t="str">
        <f t="shared" si="116"/>
        <v/>
      </c>
      <c r="L357" s="57" t="str">
        <f>IFERROR(VLOOKUP($A357,'1-2-1 绩效数据'!$D:$F,3,0),"")</f>
        <v/>
      </c>
      <c r="M357" s="8" t="str">
        <f t="shared" si="123"/>
        <v>2</v>
      </c>
      <c r="N357" s="8" t="str">
        <f t="shared" si="107"/>
        <v/>
      </c>
      <c r="O357" s="8" t="str">
        <f t="shared" si="108"/>
        <v/>
      </c>
      <c r="P357" s="58" t="str">
        <f t="shared" si="117"/>
        <v/>
      </c>
      <c r="Q357" s="8" t="str">
        <f t="shared" si="112"/>
        <v/>
      </c>
      <c r="R357" s="8" t="str">
        <f t="shared" si="118"/>
        <v/>
      </c>
      <c r="S357" s="57" t="str">
        <f>IFERROR(VLOOKUP(A357,'1-2-1 绩效数据'!$G:$I,3,0),"")</f>
        <v/>
      </c>
      <c r="T357" s="8" t="str">
        <f t="shared" si="119"/>
        <v>2</v>
      </c>
      <c r="U357" s="8" t="str">
        <f t="shared" si="109"/>
        <v/>
      </c>
      <c r="V357" s="8" t="str">
        <f t="shared" si="110"/>
        <v/>
      </c>
      <c r="W357" s="58" t="str">
        <f t="shared" si="120"/>
        <v/>
      </c>
      <c r="X357" s="8" t="str">
        <f t="shared" si="113"/>
        <v/>
      </c>
      <c r="Y357" s="8" t="str">
        <f t="shared" si="121"/>
        <v/>
      </c>
      <c r="Z357" s="57" t="str">
        <f t="shared" si="122"/>
        <v/>
      </c>
    </row>
    <row r="358" spans="1:26" x14ac:dyDescent="0.3">
      <c r="A358" s="8"/>
      <c r="B358" s="70" t="str">
        <f>IFERROR(VLOOKUP('1-2-2 关键绩效'!$A358,'1-1 基本信息'!$A:$K,7,0),"")</f>
        <v/>
      </c>
      <c r="C358" s="8" t="str">
        <f>IFERROR(VLOOKUP($A358,'1-1 基本信息'!$A:$J,10,0),"")</f>
        <v/>
      </c>
      <c r="D358" s="8" t="str">
        <f>IFERROR(VLOOKUP(A358,'1-1 基本信息'!$A:$I,8,0),"")</f>
        <v/>
      </c>
      <c r="E358" s="57" t="str">
        <f>IFERROR(VLOOKUP($A358,'1-2-1 绩效数据'!$A:$C,3,0),"")</f>
        <v/>
      </c>
      <c r="F358" s="8" t="str">
        <f t="shared" si="114"/>
        <v>2</v>
      </c>
      <c r="G358" s="8" t="str">
        <f t="shared" si="105"/>
        <v/>
      </c>
      <c r="H358" s="8" t="str">
        <f t="shared" si="106"/>
        <v/>
      </c>
      <c r="I358" s="58" t="str">
        <f t="shared" si="115"/>
        <v/>
      </c>
      <c r="J358" s="8" t="str">
        <f t="shared" si="111"/>
        <v/>
      </c>
      <c r="K358" s="8" t="str">
        <f t="shared" si="116"/>
        <v/>
      </c>
      <c r="L358" s="57" t="str">
        <f>IFERROR(VLOOKUP($A358,'1-2-1 绩效数据'!$D:$F,3,0),"")</f>
        <v/>
      </c>
      <c r="M358" s="8" t="str">
        <f t="shared" si="123"/>
        <v>2</v>
      </c>
      <c r="N358" s="8" t="str">
        <f t="shared" si="107"/>
        <v/>
      </c>
      <c r="O358" s="8" t="str">
        <f t="shared" si="108"/>
        <v/>
      </c>
      <c r="P358" s="58" t="str">
        <f t="shared" si="117"/>
        <v/>
      </c>
      <c r="Q358" s="8" t="str">
        <f t="shared" si="112"/>
        <v/>
      </c>
      <c r="R358" s="8" t="str">
        <f t="shared" si="118"/>
        <v/>
      </c>
      <c r="S358" s="57" t="str">
        <f>IFERROR(VLOOKUP(A358,'1-2-1 绩效数据'!$G:$I,3,0),"")</f>
        <v/>
      </c>
      <c r="T358" s="8" t="str">
        <f t="shared" si="119"/>
        <v>2</v>
      </c>
      <c r="U358" s="8" t="str">
        <f t="shared" si="109"/>
        <v/>
      </c>
      <c r="V358" s="8" t="str">
        <f t="shared" si="110"/>
        <v/>
      </c>
      <c r="W358" s="58" t="str">
        <f t="shared" si="120"/>
        <v/>
      </c>
      <c r="X358" s="8" t="str">
        <f t="shared" si="113"/>
        <v/>
      </c>
      <c r="Y358" s="8" t="str">
        <f t="shared" si="121"/>
        <v/>
      </c>
      <c r="Z358" s="57" t="str">
        <f t="shared" si="122"/>
        <v/>
      </c>
    </row>
    <row r="359" spans="1:26" x14ac:dyDescent="0.3">
      <c r="A359" s="8"/>
      <c r="B359" s="70" t="str">
        <f>IFERROR(VLOOKUP('1-2-2 关键绩效'!$A359,'1-1 基本信息'!$A:$K,7,0),"")</f>
        <v/>
      </c>
      <c r="C359" s="8" t="str">
        <f>IFERROR(VLOOKUP($A359,'1-1 基本信息'!$A:$J,10,0),"")</f>
        <v/>
      </c>
      <c r="D359" s="8" t="str">
        <f>IFERROR(VLOOKUP(A359,'1-1 基本信息'!$A:$I,8,0),"")</f>
        <v/>
      </c>
      <c r="E359" s="57" t="str">
        <f>IFERROR(VLOOKUP($A359,'1-2-1 绩效数据'!$A:$C,3,0),"")</f>
        <v/>
      </c>
      <c r="F359" s="8" t="str">
        <f t="shared" si="114"/>
        <v>2</v>
      </c>
      <c r="G359" s="8" t="str">
        <f t="shared" si="105"/>
        <v/>
      </c>
      <c r="H359" s="8" t="str">
        <f t="shared" si="106"/>
        <v/>
      </c>
      <c r="I359" s="58" t="str">
        <f t="shared" si="115"/>
        <v/>
      </c>
      <c r="J359" s="8" t="str">
        <f t="shared" si="111"/>
        <v/>
      </c>
      <c r="K359" s="8" t="str">
        <f t="shared" si="116"/>
        <v/>
      </c>
      <c r="L359" s="57" t="str">
        <f>IFERROR(VLOOKUP($A359,'1-2-1 绩效数据'!$D:$F,3,0),"")</f>
        <v/>
      </c>
      <c r="M359" s="8" t="str">
        <f t="shared" si="123"/>
        <v>2</v>
      </c>
      <c r="N359" s="8" t="str">
        <f t="shared" si="107"/>
        <v/>
      </c>
      <c r="O359" s="8" t="str">
        <f t="shared" si="108"/>
        <v/>
      </c>
      <c r="P359" s="58" t="str">
        <f t="shared" si="117"/>
        <v/>
      </c>
      <c r="Q359" s="8" t="str">
        <f t="shared" si="112"/>
        <v/>
      </c>
      <c r="R359" s="8" t="str">
        <f t="shared" si="118"/>
        <v/>
      </c>
      <c r="S359" s="57" t="str">
        <f>IFERROR(VLOOKUP(A359,'1-2-1 绩效数据'!$G:$I,3,0),"")</f>
        <v/>
      </c>
      <c r="T359" s="8" t="str">
        <f t="shared" si="119"/>
        <v>2</v>
      </c>
      <c r="U359" s="8" t="str">
        <f t="shared" si="109"/>
        <v/>
      </c>
      <c r="V359" s="8" t="str">
        <f t="shared" si="110"/>
        <v/>
      </c>
      <c r="W359" s="58" t="str">
        <f t="shared" si="120"/>
        <v/>
      </c>
      <c r="X359" s="8" t="str">
        <f t="shared" si="113"/>
        <v/>
      </c>
      <c r="Y359" s="8" t="str">
        <f t="shared" si="121"/>
        <v/>
      </c>
      <c r="Z359" s="57" t="str">
        <f t="shared" si="122"/>
        <v/>
      </c>
    </row>
    <row r="360" spans="1:26" x14ac:dyDescent="0.3">
      <c r="A360" s="8"/>
      <c r="B360" s="70" t="str">
        <f>IFERROR(VLOOKUP('1-2-2 关键绩效'!$A360,'1-1 基本信息'!$A:$K,7,0),"")</f>
        <v/>
      </c>
      <c r="C360" s="8" t="str">
        <f>IFERROR(VLOOKUP($A360,'1-1 基本信息'!$A:$J,10,0),"")</f>
        <v/>
      </c>
      <c r="D360" s="8" t="str">
        <f>IFERROR(VLOOKUP(A360,'1-1 基本信息'!$A:$I,8,0),"")</f>
        <v/>
      </c>
      <c r="E360" s="57" t="str">
        <f>IFERROR(VLOOKUP($A360,'1-2-1 绩效数据'!$A:$C,3,0),"")</f>
        <v/>
      </c>
      <c r="F360" s="8" t="str">
        <f t="shared" si="114"/>
        <v>2</v>
      </c>
      <c r="G360" s="8" t="str">
        <f t="shared" si="105"/>
        <v/>
      </c>
      <c r="H360" s="8" t="str">
        <f t="shared" si="106"/>
        <v/>
      </c>
      <c r="I360" s="58" t="str">
        <f t="shared" si="115"/>
        <v/>
      </c>
      <c r="J360" s="8" t="str">
        <f t="shared" si="111"/>
        <v/>
      </c>
      <c r="K360" s="8" t="str">
        <f t="shared" si="116"/>
        <v/>
      </c>
      <c r="L360" s="57" t="str">
        <f>IFERROR(VLOOKUP($A360,'1-2-1 绩效数据'!$D:$F,3,0),"")</f>
        <v/>
      </c>
      <c r="M360" s="8" t="str">
        <f t="shared" si="123"/>
        <v>2</v>
      </c>
      <c r="N360" s="8" t="str">
        <f t="shared" si="107"/>
        <v/>
      </c>
      <c r="O360" s="8" t="str">
        <f t="shared" si="108"/>
        <v/>
      </c>
      <c r="P360" s="58" t="str">
        <f t="shared" si="117"/>
        <v/>
      </c>
      <c r="Q360" s="8" t="str">
        <f t="shared" si="112"/>
        <v/>
      </c>
      <c r="R360" s="8" t="str">
        <f t="shared" si="118"/>
        <v/>
      </c>
      <c r="S360" s="57" t="str">
        <f>IFERROR(VLOOKUP(A360,'1-2-1 绩效数据'!$G:$I,3,0),"")</f>
        <v/>
      </c>
      <c r="T360" s="8" t="str">
        <f t="shared" si="119"/>
        <v>2</v>
      </c>
      <c r="U360" s="8" t="str">
        <f t="shared" si="109"/>
        <v/>
      </c>
      <c r="V360" s="8" t="str">
        <f t="shared" si="110"/>
        <v/>
      </c>
      <c r="W360" s="58" t="str">
        <f t="shared" si="120"/>
        <v/>
      </c>
      <c r="X360" s="8" t="str">
        <f t="shared" si="113"/>
        <v/>
      </c>
      <c r="Y360" s="8" t="str">
        <f t="shared" si="121"/>
        <v/>
      </c>
      <c r="Z360" s="57" t="str">
        <f t="shared" si="122"/>
        <v/>
      </c>
    </row>
    <row r="361" spans="1:26" x14ac:dyDescent="0.3">
      <c r="A361" s="8"/>
      <c r="B361" s="70" t="str">
        <f>IFERROR(VLOOKUP('1-2-2 关键绩效'!$A361,'1-1 基本信息'!$A:$K,7,0),"")</f>
        <v/>
      </c>
      <c r="C361" s="8" t="str">
        <f>IFERROR(VLOOKUP($A361,'1-1 基本信息'!$A:$J,10,0),"")</f>
        <v/>
      </c>
      <c r="D361" s="8" t="str">
        <f>IFERROR(VLOOKUP(A361,'1-1 基本信息'!$A:$I,8,0),"")</f>
        <v/>
      </c>
      <c r="E361" s="57" t="str">
        <f>IFERROR(VLOOKUP($A361,'1-2-1 绩效数据'!$A:$C,3,0),"")</f>
        <v/>
      </c>
      <c r="F361" s="8" t="str">
        <f t="shared" si="114"/>
        <v>2</v>
      </c>
      <c r="G361" s="8" t="str">
        <f t="shared" si="105"/>
        <v/>
      </c>
      <c r="H361" s="8" t="str">
        <f t="shared" si="106"/>
        <v/>
      </c>
      <c r="I361" s="58" t="str">
        <f t="shared" si="115"/>
        <v/>
      </c>
      <c r="J361" s="8" t="str">
        <f t="shared" si="111"/>
        <v/>
      </c>
      <c r="K361" s="8" t="str">
        <f t="shared" si="116"/>
        <v/>
      </c>
      <c r="L361" s="57" t="str">
        <f>IFERROR(VLOOKUP($A361,'1-2-1 绩效数据'!$D:$F,3,0),"")</f>
        <v/>
      </c>
      <c r="M361" s="8" t="str">
        <f t="shared" si="123"/>
        <v>2</v>
      </c>
      <c r="N361" s="8" t="str">
        <f t="shared" si="107"/>
        <v/>
      </c>
      <c r="O361" s="8" t="str">
        <f t="shared" si="108"/>
        <v/>
      </c>
      <c r="P361" s="58" t="str">
        <f t="shared" si="117"/>
        <v/>
      </c>
      <c r="Q361" s="8" t="str">
        <f t="shared" si="112"/>
        <v/>
      </c>
      <c r="R361" s="8" t="str">
        <f t="shared" si="118"/>
        <v/>
      </c>
      <c r="S361" s="57" t="str">
        <f>IFERROR(VLOOKUP(A361,'1-2-1 绩效数据'!$G:$I,3,0),"")</f>
        <v/>
      </c>
      <c r="T361" s="8" t="str">
        <f t="shared" si="119"/>
        <v>2</v>
      </c>
      <c r="U361" s="8" t="str">
        <f t="shared" si="109"/>
        <v/>
      </c>
      <c r="V361" s="8" t="str">
        <f t="shared" si="110"/>
        <v/>
      </c>
      <c r="W361" s="58" t="str">
        <f t="shared" si="120"/>
        <v/>
      </c>
      <c r="X361" s="8" t="str">
        <f t="shared" si="113"/>
        <v/>
      </c>
      <c r="Y361" s="8" t="str">
        <f t="shared" si="121"/>
        <v/>
      </c>
      <c r="Z361" s="57" t="str">
        <f t="shared" si="122"/>
        <v/>
      </c>
    </row>
    <row r="362" spans="1:26" x14ac:dyDescent="0.3">
      <c r="A362" s="8"/>
      <c r="B362" s="70" t="str">
        <f>IFERROR(VLOOKUP('1-2-2 关键绩效'!$A362,'1-1 基本信息'!$A:$K,7,0),"")</f>
        <v/>
      </c>
      <c r="C362" s="8" t="str">
        <f>IFERROR(VLOOKUP($A362,'1-1 基本信息'!$A:$J,10,0),"")</f>
        <v/>
      </c>
      <c r="D362" s="8" t="str">
        <f>IFERROR(VLOOKUP(A362,'1-1 基本信息'!$A:$I,8,0),"")</f>
        <v/>
      </c>
      <c r="E362" s="57" t="str">
        <f>IFERROR(VLOOKUP($A362,'1-2-1 绩效数据'!$A:$C,3,0),"")</f>
        <v/>
      </c>
      <c r="F362" s="8" t="str">
        <f t="shared" si="114"/>
        <v>2</v>
      </c>
      <c r="G362" s="8" t="str">
        <f t="shared" si="105"/>
        <v/>
      </c>
      <c r="H362" s="8" t="str">
        <f t="shared" si="106"/>
        <v/>
      </c>
      <c r="I362" s="58" t="str">
        <f t="shared" si="115"/>
        <v/>
      </c>
      <c r="J362" s="8" t="str">
        <f t="shared" si="111"/>
        <v/>
      </c>
      <c r="K362" s="8" t="str">
        <f t="shared" si="116"/>
        <v/>
      </c>
      <c r="L362" s="57" t="str">
        <f>IFERROR(VLOOKUP($A362,'1-2-1 绩效数据'!$D:$F,3,0),"")</f>
        <v/>
      </c>
      <c r="M362" s="8" t="str">
        <f t="shared" si="123"/>
        <v>2</v>
      </c>
      <c r="N362" s="8" t="str">
        <f t="shared" si="107"/>
        <v/>
      </c>
      <c r="O362" s="8" t="str">
        <f t="shared" si="108"/>
        <v/>
      </c>
      <c r="P362" s="58" t="str">
        <f t="shared" si="117"/>
        <v/>
      </c>
      <c r="Q362" s="8" t="str">
        <f t="shared" si="112"/>
        <v/>
      </c>
      <c r="R362" s="8" t="str">
        <f t="shared" si="118"/>
        <v/>
      </c>
      <c r="S362" s="57" t="str">
        <f>IFERROR(VLOOKUP(A362,'1-2-1 绩效数据'!$G:$I,3,0),"")</f>
        <v/>
      </c>
      <c r="T362" s="8" t="str">
        <f t="shared" si="119"/>
        <v>2</v>
      </c>
      <c r="U362" s="8" t="str">
        <f t="shared" si="109"/>
        <v/>
      </c>
      <c r="V362" s="8" t="str">
        <f t="shared" si="110"/>
        <v/>
      </c>
      <c r="W362" s="58" t="str">
        <f t="shared" si="120"/>
        <v/>
      </c>
      <c r="X362" s="8" t="str">
        <f t="shared" si="113"/>
        <v/>
      </c>
      <c r="Y362" s="8" t="str">
        <f t="shared" si="121"/>
        <v/>
      </c>
      <c r="Z362" s="57" t="str">
        <f t="shared" si="122"/>
        <v/>
      </c>
    </row>
    <row r="363" spans="1:26" x14ac:dyDescent="0.3">
      <c r="A363" s="8"/>
      <c r="B363" s="70" t="str">
        <f>IFERROR(VLOOKUP('1-2-2 关键绩效'!$A363,'1-1 基本信息'!$A:$K,7,0),"")</f>
        <v/>
      </c>
      <c r="C363" s="8" t="str">
        <f>IFERROR(VLOOKUP($A363,'1-1 基本信息'!$A:$J,10,0),"")</f>
        <v/>
      </c>
      <c r="D363" s="8" t="str">
        <f>IFERROR(VLOOKUP(A363,'1-1 基本信息'!$A:$I,8,0),"")</f>
        <v/>
      </c>
      <c r="E363" s="57" t="str">
        <f>IFERROR(VLOOKUP($A363,'1-2-1 绩效数据'!$A:$C,3,0),"")</f>
        <v/>
      </c>
      <c r="F363" s="8" t="str">
        <f t="shared" si="114"/>
        <v>2</v>
      </c>
      <c r="G363" s="8" t="str">
        <f t="shared" si="105"/>
        <v/>
      </c>
      <c r="H363" s="8" t="str">
        <f t="shared" si="106"/>
        <v/>
      </c>
      <c r="I363" s="58" t="str">
        <f t="shared" si="115"/>
        <v/>
      </c>
      <c r="J363" s="8" t="str">
        <f t="shared" si="111"/>
        <v/>
      </c>
      <c r="K363" s="8" t="str">
        <f t="shared" si="116"/>
        <v/>
      </c>
      <c r="L363" s="57" t="str">
        <f>IFERROR(VLOOKUP($A363,'1-2-1 绩效数据'!$D:$F,3,0),"")</f>
        <v/>
      </c>
      <c r="M363" s="8" t="str">
        <f t="shared" si="123"/>
        <v>2</v>
      </c>
      <c r="N363" s="8" t="str">
        <f t="shared" si="107"/>
        <v/>
      </c>
      <c r="O363" s="8" t="str">
        <f t="shared" si="108"/>
        <v/>
      </c>
      <c r="P363" s="58" t="str">
        <f t="shared" si="117"/>
        <v/>
      </c>
      <c r="Q363" s="8" t="str">
        <f t="shared" si="112"/>
        <v/>
      </c>
      <c r="R363" s="8" t="str">
        <f t="shared" si="118"/>
        <v/>
      </c>
      <c r="S363" s="57" t="str">
        <f>IFERROR(VLOOKUP(A363,'1-2-1 绩效数据'!$G:$I,3,0),"")</f>
        <v/>
      </c>
      <c r="T363" s="8" t="str">
        <f t="shared" si="119"/>
        <v>2</v>
      </c>
      <c r="U363" s="8" t="str">
        <f t="shared" si="109"/>
        <v/>
      </c>
      <c r="V363" s="8" t="str">
        <f t="shared" si="110"/>
        <v/>
      </c>
      <c r="W363" s="58" t="str">
        <f t="shared" si="120"/>
        <v/>
      </c>
      <c r="X363" s="8" t="str">
        <f t="shared" si="113"/>
        <v/>
      </c>
      <c r="Y363" s="8" t="str">
        <f t="shared" si="121"/>
        <v/>
      </c>
      <c r="Z363" s="57" t="str">
        <f t="shared" si="122"/>
        <v/>
      </c>
    </row>
    <row r="364" spans="1:26" x14ac:dyDescent="0.3">
      <c r="A364" s="8"/>
      <c r="B364" s="70" t="str">
        <f>IFERROR(VLOOKUP('1-2-2 关键绩效'!$A364,'1-1 基本信息'!$A:$K,7,0),"")</f>
        <v/>
      </c>
      <c r="C364" s="8" t="str">
        <f>IFERROR(VLOOKUP($A364,'1-1 基本信息'!$A:$J,10,0),"")</f>
        <v/>
      </c>
      <c r="D364" s="8" t="str">
        <f>IFERROR(VLOOKUP(A364,'1-1 基本信息'!$A:$I,8,0),"")</f>
        <v/>
      </c>
      <c r="E364" s="57" t="str">
        <f>IFERROR(VLOOKUP($A364,'1-2-1 绩效数据'!$A:$C,3,0),"")</f>
        <v/>
      </c>
      <c r="F364" s="8" t="str">
        <f t="shared" si="114"/>
        <v>2</v>
      </c>
      <c r="G364" s="8" t="str">
        <f t="shared" si="105"/>
        <v/>
      </c>
      <c r="H364" s="8" t="str">
        <f t="shared" si="106"/>
        <v/>
      </c>
      <c r="I364" s="58" t="str">
        <f t="shared" si="115"/>
        <v/>
      </c>
      <c r="J364" s="8" t="str">
        <f t="shared" si="111"/>
        <v/>
      </c>
      <c r="K364" s="8" t="str">
        <f t="shared" si="116"/>
        <v/>
      </c>
      <c r="L364" s="57" t="str">
        <f>IFERROR(VLOOKUP($A364,'1-2-1 绩效数据'!$D:$F,3,0),"")</f>
        <v/>
      </c>
      <c r="M364" s="8" t="str">
        <f t="shared" si="123"/>
        <v>2</v>
      </c>
      <c r="N364" s="8" t="str">
        <f t="shared" si="107"/>
        <v/>
      </c>
      <c r="O364" s="8" t="str">
        <f t="shared" si="108"/>
        <v/>
      </c>
      <c r="P364" s="58" t="str">
        <f t="shared" si="117"/>
        <v/>
      </c>
      <c r="Q364" s="8" t="str">
        <f t="shared" si="112"/>
        <v/>
      </c>
      <c r="R364" s="8" t="str">
        <f t="shared" si="118"/>
        <v/>
      </c>
      <c r="S364" s="57" t="str">
        <f>IFERROR(VLOOKUP(A364,'1-2-1 绩效数据'!$G:$I,3,0),"")</f>
        <v/>
      </c>
      <c r="T364" s="8" t="str">
        <f t="shared" si="119"/>
        <v>2</v>
      </c>
      <c r="U364" s="8" t="str">
        <f t="shared" si="109"/>
        <v/>
      </c>
      <c r="V364" s="8" t="str">
        <f t="shared" si="110"/>
        <v/>
      </c>
      <c r="W364" s="58" t="str">
        <f t="shared" si="120"/>
        <v/>
      </c>
      <c r="X364" s="8" t="str">
        <f t="shared" si="113"/>
        <v/>
      </c>
      <c r="Y364" s="8" t="str">
        <f t="shared" si="121"/>
        <v/>
      </c>
      <c r="Z364" s="57" t="str">
        <f t="shared" si="122"/>
        <v/>
      </c>
    </row>
    <row r="365" spans="1:26" x14ac:dyDescent="0.3">
      <c r="A365" s="8"/>
      <c r="B365" s="70" t="str">
        <f>IFERROR(VLOOKUP('1-2-2 关键绩效'!$A365,'1-1 基本信息'!$A:$K,7,0),"")</f>
        <v/>
      </c>
      <c r="C365" s="8" t="str">
        <f>IFERROR(VLOOKUP($A365,'1-1 基本信息'!$A:$J,10,0),"")</f>
        <v/>
      </c>
      <c r="D365" s="8" t="str">
        <f>IFERROR(VLOOKUP(A365,'1-1 基本信息'!$A:$I,8,0),"")</f>
        <v/>
      </c>
      <c r="E365" s="57" t="str">
        <f>IFERROR(VLOOKUP($A365,'1-2-1 绩效数据'!$A:$C,3,0),"")</f>
        <v/>
      </c>
      <c r="F365" s="8" t="str">
        <f t="shared" si="114"/>
        <v>2</v>
      </c>
      <c r="G365" s="8" t="str">
        <f t="shared" si="105"/>
        <v/>
      </c>
      <c r="H365" s="8" t="str">
        <f t="shared" si="106"/>
        <v/>
      </c>
      <c r="I365" s="58" t="str">
        <f t="shared" si="115"/>
        <v/>
      </c>
      <c r="J365" s="8" t="str">
        <f t="shared" si="111"/>
        <v/>
      </c>
      <c r="K365" s="8" t="str">
        <f t="shared" si="116"/>
        <v/>
      </c>
      <c r="L365" s="57" t="str">
        <f>IFERROR(VLOOKUP($A365,'1-2-1 绩效数据'!$D:$F,3,0),"")</f>
        <v/>
      </c>
      <c r="M365" s="8" t="str">
        <f t="shared" si="123"/>
        <v>2</v>
      </c>
      <c r="N365" s="8" t="str">
        <f t="shared" si="107"/>
        <v/>
      </c>
      <c r="O365" s="8" t="str">
        <f t="shared" si="108"/>
        <v/>
      </c>
      <c r="P365" s="58" t="str">
        <f t="shared" si="117"/>
        <v/>
      </c>
      <c r="Q365" s="8" t="str">
        <f t="shared" si="112"/>
        <v/>
      </c>
      <c r="R365" s="8" t="str">
        <f t="shared" si="118"/>
        <v/>
      </c>
      <c r="S365" s="57" t="str">
        <f>IFERROR(VLOOKUP(A365,'1-2-1 绩效数据'!$G:$I,3,0),"")</f>
        <v/>
      </c>
      <c r="T365" s="8" t="str">
        <f t="shared" si="119"/>
        <v>2</v>
      </c>
      <c r="U365" s="8" t="str">
        <f t="shared" si="109"/>
        <v/>
      </c>
      <c r="V365" s="8" t="str">
        <f t="shared" si="110"/>
        <v/>
      </c>
      <c r="W365" s="58" t="str">
        <f t="shared" si="120"/>
        <v/>
      </c>
      <c r="X365" s="8" t="str">
        <f t="shared" si="113"/>
        <v/>
      </c>
      <c r="Y365" s="8" t="str">
        <f t="shared" si="121"/>
        <v/>
      </c>
      <c r="Z365" s="57" t="str">
        <f t="shared" si="122"/>
        <v/>
      </c>
    </row>
    <row r="366" spans="1:26" x14ac:dyDescent="0.3">
      <c r="A366" s="8"/>
      <c r="B366" s="70" t="str">
        <f>IFERROR(VLOOKUP('1-2-2 关键绩效'!$A366,'1-1 基本信息'!$A:$K,7,0),"")</f>
        <v/>
      </c>
      <c r="C366" s="8" t="str">
        <f>IFERROR(VLOOKUP($A366,'1-1 基本信息'!$A:$J,10,0),"")</f>
        <v/>
      </c>
      <c r="D366" s="8" t="str">
        <f>IFERROR(VLOOKUP(A366,'1-1 基本信息'!$A:$I,8,0),"")</f>
        <v/>
      </c>
      <c r="E366" s="57" t="str">
        <f>IFERROR(VLOOKUP($A366,'1-2-1 绩效数据'!$A:$C,3,0),"")</f>
        <v/>
      </c>
      <c r="F366" s="8" t="str">
        <f t="shared" si="114"/>
        <v>2</v>
      </c>
      <c r="G366" s="8" t="str">
        <f t="shared" si="105"/>
        <v/>
      </c>
      <c r="H366" s="8" t="str">
        <f t="shared" si="106"/>
        <v/>
      </c>
      <c r="I366" s="58" t="str">
        <f t="shared" si="115"/>
        <v/>
      </c>
      <c r="J366" s="8" t="str">
        <f t="shared" si="111"/>
        <v/>
      </c>
      <c r="K366" s="8" t="str">
        <f t="shared" si="116"/>
        <v/>
      </c>
      <c r="L366" s="57" t="str">
        <f>IFERROR(VLOOKUP($A366,'1-2-1 绩效数据'!$D:$F,3,0),"")</f>
        <v/>
      </c>
      <c r="M366" s="8" t="str">
        <f t="shared" si="123"/>
        <v>2</v>
      </c>
      <c r="N366" s="8" t="str">
        <f t="shared" si="107"/>
        <v/>
      </c>
      <c r="O366" s="8" t="str">
        <f t="shared" si="108"/>
        <v/>
      </c>
      <c r="P366" s="58" t="str">
        <f t="shared" si="117"/>
        <v/>
      </c>
      <c r="Q366" s="8" t="str">
        <f t="shared" si="112"/>
        <v/>
      </c>
      <c r="R366" s="8" t="str">
        <f t="shared" si="118"/>
        <v/>
      </c>
      <c r="S366" s="57" t="str">
        <f>IFERROR(VLOOKUP(A366,'1-2-1 绩效数据'!$G:$I,3,0),"")</f>
        <v/>
      </c>
      <c r="T366" s="8" t="str">
        <f t="shared" si="119"/>
        <v>2</v>
      </c>
      <c r="U366" s="8" t="str">
        <f t="shared" si="109"/>
        <v/>
      </c>
      <c r="V366" s="8" t="str">
        <f t="shared" si="110"/>
        <v/>
      </c>
      <c r="W366" s="58" t="str">
        <f t="shared" si="120"/>
        <v/>
      </c>
      <c r="X366" s="8" t="str">
        <f t="shared" si="113"/>
        <v/>
      </c>
      <c r="Y366" s="8" t="str">
        <f t="shared" si="121"/>
        <v/>
      </c>
      <c r="Z366" s="57" t="str">
        <f t="shared" si="122"/>
        <v/>
      </c>
    </row>
    <row r="367" spans="1:26" x14ac:dyDescent="0.3">
      <c r="A367" s="8"/>
      <c r="B367" s="70" t="str">
        <f>IFERROR(VLOOKUP('1-2-2 关键绩效'!$A367,'1-1 基本信息'!$A:$K,7,0),"")</f>
        <v/>
      </c>
      <c r="C367" s="8" t="str">
        <f>IFERROR(VLOOKUP($A367,'1-1 基本信息'!$A:$J,10,0),"")</f>
        <v/>
      </c>
      <c r="D367" s="8" t="str">
        <f>IFERROR(VLOOKUP(A367,'1-1 基本信息'!$A:$I,8,0),"")</f>
        <v/>
      </c>
      <c r="E367" s="57" t="str">
        <f>IFERROR(VLOOKUP($A367,'1-2-1 绩效数据'!$A:$C,3,0),"")</f>
        <v/>
      </c>
      <c r="F367" s="8" t="str">
        <f t="shared" si="114"/>
        <v>2</v>
      </c>
      <c r="G367" s="8" t="str">
        <f t="shared" si="105"/>
        <v/>
      </c>
      <c r="H367" s="8" t="str">
        <f t="shared" si="106"/>
        <v/>
      </c>
      <c r="I367" s="58" t="str">
        <f t="shared" si="115"/>
        <v/>
      </c>
      <c r="J367" s="8" t="str">
        <f t="shared" si="111"/>
        <v/>
      </c>
      <c r="K367" s="8" t="str">
        <f t="shared" si="116"/>
        <v/>
      </c>
      <c r="L367" s="57" t="str">
        <f>IFERROR(VLOOKUP($A367,'1-2-1 绩效数据'!$D:$F,3,0),"")</f>
        <v/>
      </c>
      <c r="M367" s="8" t="str">
        <f t="shared" si="123"/>
        <v>2</v>
      </c>
      <c r="N367" s="8" t="str">
        <f t="shared" si="107"/>
        <v/>
      </c>
      <c r="O367" s="8" t="str">
        <f t="shared" si="108"/>
        <v/>
      </c>
      <c r="P367" s="58" t="str">
        <f t="shared" si="117"/>
        <v/>
      </c>
      <c r="Q367" s="8" t="str">
        <f t="shared" si="112"/>
        <v/>
      </c>
      <c r="R367" s="8" t="str">
        <f t="shared" si="118"/>
        <v/>
      </c>
      <c r="S367" s="57" t="str">
        <f>IFERROR(VLOOKUP(A367,'1-2-1 绩效数据'!$G:$I,3,0),"")</f>
        <v/>
      </c>
      <c r="T367" s="8" t="str">
        <f t="shared" si="119"/>
        <v>2</v>
      </c>
      <c r="U367" s="8" t="str">
        <f t="shared" si="109"/>
        <v/>
      </c>
      <c r="V367" s="8" t="str">
        <f t="shared" si="110"/>
        <v/>
      </c>
      <c r="W367" s="58" t="str">
        <f t="shared" si="120"/>
        <v/>
      </c>
      <c r="X367" s="8" t="str">
        <f t="shared" si="113"/>
        <v/>
      </c>
      <c r="Y367" s="8" t="str">
        <f t="shared" si="121"/>
        <v/>
      </c>
      <c r="Z367" s="57" t="str">
        <f t="shared" si="122"/>
        <v/>
      </c>
    </row>
    <row r="368" spans="1:26" x14ac:dyDescent="0.3">
      <c r="A368" s="8"/>
      <c r="B368" s="70" t="str">
        <f>IFERROR(VLOOKUP('1-2-2 关键绩效'!$A368,'1-1 基本信息'!$A:$K,7,0),"")</f>
        <v/>
      </c>
      <c r="C368" s="8" t="str">
        <f>IFERROR(VLOOKUP($A368,'1-1 基本信息'!$A:$J,10,0),"")</f>
        <v/>
      </c>
      <c r="D368" s="8" t="str">
        <f>IFERROR(VLOOKUP(A368,'1-1 基本信息'!$A:$I,8,0),"")</f>
        <v/>
      </c>
      <c r="E368" s="57" t="str">
        <f>IFERROR(VLOOKUP($A368,'1-2-1 绩效数据'!$A:$C,3,0),"")</f>
        <v/>
      </c>
      <c r="F368" s="8" t="str">
        <f t="shared" si="114"/>
        <v>2</v>
      </c>
      <c r="G368" s="8" t="str">
        <f t="shared" si="105"/>
        <v/>
      </c>
      <c r="H368" s="8" t="str">
        <f t="shared" si="106"/>
        <v/>
      </c>
      <c r="I368" s="58" t="str">
        <f t="shared" si="115"/>
        <v/>
      </c>
      <c r="J368" s="8" t="str">
        <f t="shared" si="111"/>
        <v/>
      </c>
      <c r="K368" s="8" t="str">
        <f t="shared" si="116"/>
        <v/>
      </c>
      <c r="L368" s="57" t="str">
        <f>IFERROR(VLOOKUP($A368,'1-2-1 绩效数据'!$D:$F,3,0),"")</f>
        <v/>
      </c>
      <c r="M368" s="8" t="str">
        <f t="shared" si="123"/>
        <v>2</v>
      </c>
      <c r="N368" s="8" t="str">
        <f t="shared" si="107"/>
        <v/>
      </c>
      <c r="O368" s="8" t="str">
        <f t="shared" si="108"/>
        <v/>
      </c>
      <c r="P368" s="58" t="str">
        <f t="shared" si="117"/>
        <v/>
      </c>
      <c r="Q368" s="8" t="str">
        <f t="shared" si="112"/>
        <v/>
      </c>
      <c r="R368" s="8" t="str">
        <f t="shared" si="118"/>
        <v/>
      </c>
      <c r="S368" s="57" t="str">
        <f>IFERROR(VLOOKUP(A368,'1-2-1 绩效数据'!$G:$I,3,0),"")</f>
        <v/>
      </c>
      <c r="T368" s="8" t="str">
        <f t="shared" si="119"/>
        <v>2</v>
      </c>
      <c r="U368" s="8" t="str">
        <f t="shared" si="109"/>
        <v/>
      </c>
      <c r="V368" s="8" t="str">
        <f t="shared" si="110"/>
        <v/>
      </c>
      <c r="W368" s="58" t="str">
        <f t="shared" si="120"/>
        <v/>
      </c>
      <c r="X368" s="8" t="str">
        <f t="shared" si="113"/>
        <v/>
      </c>
      <c r="Y368" s="8" t="str">
        <f t="shared" si="121"/>
        <v/>
      </c>
      <c r="Z368" s="57" t="str">
        <f t="shared" si="122"/>
        <v/>
      </c>
    </row>
    <row r="369" spans="1:26" x14ac:dyDescent="0.3">
      <c r="A369" s="8"/>
      <c r="B369" s="70" t="str">
        <f>IFERROR(VLOOKUP('1-2-2 关键绩效'!$A369,'1-1 基本信息'!$A:$K,7,0),"")</f>
        <v/>
      </c>
      <c r="C369" s="8" t="str">
        <f>IFERROR(VLOOKUP($A369,'1-1 基本信息'!$A:$J,10,0),"")</f>
        <v/>
      </c>
      <c r="D369" s="8" t="str">
        <f>IFERROR(VLOOKUP(A369,'1-1 基本信息'!$A:$I,8,0),"")</f>
        <v/>
      </c>
      <c r="E369" s="57" t="str">
        <f>IFERROR(VLOOKUP($A369,'1-2-1 绩效数据'!$A:$C,3,0),"")</f>
        <v/>
      </c>
      <c r="F369" s="8" t="str">
        <f t="shared" si="114"/>
        <v>2</v>
      </c>
      <c r="G369" s="8" t="str">
        <f t="shared" si="105"/>
        <v/>
      </c>
      <c r="H369" s="8" t="str">
        <f t="shared" si="106"/>
        <v/>
      </c>
      <c r="I369" s="58" t="str">
        <f t="shared" si="115"/>
        <v/>
      </c>
      <c r="J369" s="8" t="str">
        <f t="shared" si="111"/>
        <v/>
      </c>
      <c r="K369" s="8" t="str">
        <f t="shared" si="116"/>
        <v/>
      </c>
      <c r="L369" s="57" t="str">
        <f>IFERROR(VLOOKUP($A369,'1-2-1 绩效数据'!$D:$F,3,0),"")</f>
        <v/>
      </c>
      <c r="M369" s="8" t="str">
        <f t="shared" si="123"/>
        <v>2</v>
      </c>
      <c r="N369" s="8" t="str">
        <f t="shared" si="107"/>
        <v/>
      </c>
      <c r="O369" s="8" t="str">
        <f t="shared" si="108"/>
        <v/>
      </c>
      <c r="P369" s="58" t="str">
        <f t="shared" si="117"/>
        <v/>
      </c>
      <c r="Q369" s="8" t="str">
        <f t="shared" si="112"/>
        <v/>
      </c>
      <c r="R369" s="8" t="str">
        <f t="shared" si="118"/>
        <v/>
      </c>
      <c r="S369" s="57" t="str">
        <f>IFERROR(VLOOKUP(A369,'1-2-1 绩效数据'!$G:$I,3,0),"")</f>
        <v/>
      </c>
      <c r="T369" s="8" t="str">
        <f t="shared" si="119"/>
        <v>2</v>
      </c>
      <c r="U369" s="8" t="str">
        <f t="shared" si="109"/>
        <v/>
      </c>
      <c r="V369" s="8" t="str">
        <f t="shared" si="110"/>
        <v/>
      </c>
      <c r="W369" s="58" t="str">
        <f t="shared" si="120"/>
        <v/>
      </c>
      <c r="X369" s="8" t="str">
        <f t="shared" si="113"/>
        <v/>
      </c>
      <c r="Y369" s="8" t="str">
        <f t="shared" si="121"/>
        <v/>
      </c>
      <c r="Z369" s="57" t="str">
        <f t="shared" si="122"/>
        <v/>
      </c>
    </row>
    <row r="370" spans="1:26" x14ac:dyDescent="0.3">
      <c r="A370" s="8"/>
      <c r="B370" s="70" t="str">
        <f>IFERROR(VLOOKUP('1-2-2 关键绩效'!$A370,'1-1 基本信息'!$A:$K,7,0),"")</f>
        <v/>
      </c>
      <c r="C370" s="8" t="str">
        <f>IFERROR(VLOOKUP($A370,'1-1 基本信息'!$A:$J,10,0),"")</f>
        <v/>
      </c>
      <c r="D370" s="8" t="str">
        <f>IFERROR(VLOOKUP(A370,'1-1 基本信息'!$A:$I,8,0),"")</f>
        <v/>
      </c>
      <c r="E370" s="57" t="str">
        <f>IFERROR(VLOOKUP($A370,'1-2-1 绩效数据'!$A:$C,3,0),"")</f>
        <v/>
      </c>
      <c r="F370" s="8" t="str">
        <f t="shared" si="114"/>
        <v>2</v>
      </c>
      <c r="G370" s="8" t="str">
        <f t="shared" si="105"/>
        <v/>
      </c>
      <c r="H370" s="8" t="str">
        <f t="shared" si="106"/>
        <v/>
      </c>
      <c r="I370" s="58" t="str">
        <f t="shared" si="115"/>
        <v/>
      </c>
      <c r="J370" s="8" t="str">
        <f t="shared" si="111"/>
        <v/>
      </c>
      <c r="K370" s="8" t="str">
        <f t="shared" si="116"/>
        <v/>
      </c>
      <c r="L370" s="57" t="str">
        <f>IFERROR(VLOOKUP($A370,'1-2-1 绩效数据'!$D:$F,3,0),"")</f>
        <v/>
      </c>
      <c r="M370" s="8" t="str">
        <f t="shared" si="123"/>
        <v>2</v>
      </c>
      <c r="N370" s="8" t="str">
        <f t="shared" si="107"/>
        <v/>
      </c>
      <c r="O370" s="8" t="str">
        <f t="shared" si="108"/>
        <v/>
      </c>
      <c r="P370" s="58" t="str">
        <f t="shared" si="117"/>
        <v/>
      </c>
      <c r="Q370" s="8" t="str">
        <f t="shared" si="112"/>
        <v/>
      </c>
      <c r="R370" s="8" t="str">
        <f t="shared" si="118"/>
        <v/>
      </c>
      <c r="S370" s="57" t="str">
        <f>IFERROR(VLOOKUP(A370,'1-2-1 绩效数据'!$G:$I,3,0),"")</f>
        <v/>
      </c>
      <c r="T370" s="8" t="str">
        <f t="shared" si="119"/>
        <v>2</v>
      </c>
      <c r="U370" s="8" t="str">
        <f t="shared" si="109"/>
        <v/>
      </c>
      <c r="V370" s="8" t="str">
        <f t="shared" si="110"/>
        <v/>
      </c>
      <c r="W370" s="58" t="str">
        <f t="shared" si="120"/>
        <v/>
      </c>
      <c r="X370" s="8" t="str">
        <f t="shared" si="113"/>
        <v/>
      </c>
      <c r="Y370" s="8" t="str">
        <f t="shared" si="121"/>
        <v/>
      </c>
      <c r="Z370" s="57" t="str">
        <f t="shared" si="122"/>
        <v/>
      </c>
    </row>
    <row r="371" spans="1:26" x14ac:dyDescent="0.3">
      <c r="A371" s="8"/>
      <c r="B371" s="70" t="str">
        <f>IFERROR(VLOOKUP('1-2-2 关键绩效'!$A371,'1-1 基本信息'!$A:$K,7,0),"")</f>
        <v/>
      </c>
      <c r="C371" s="8" t="str">
        <f>IFERROR(VLOOKUP($A371,'1-1 基本信息'!$A:$J,10,0),"")</f>
        <v/>
      </c>
      <c r="D371" s="8" t="str">
        <f>IFERROR(VLOOKUP(A371,'1-1 基本信息'!$A:$I,8,0),"")</f>
        <v/>
      </c>
      <c r="E371" s="57" t="str">
        <f>IFERROR(VLOOKUP($A371,'1-2-1 绩效数据'!$A:$C,3,0),"")</f>
        <v/>
      </c>
      <c r="F371" s="8" t="str">
        <f t="shared" si="114"/>
        <v>2</v>
      </c>
      <c r="G371" s="8" t="str">
        <f t="shared" si="105"/>
        <v/>
      </c>
      <c r="H371" s="8" t="str">
        <f t="shared" si="106"/>
        <v/>
      </c>
      <c r="I371" s="58" t="str">
        <f t="shared" si="115"/>
        <v/>
      </c>
      <c r="J371" s="8" t="str">
        <f t="shared" si="111"/>
        <v/>
      </c>
      <c r="K371" s="8" t="str">
        <f t="shared" si="116"/>
        <v/>
      </c>
      <c r="L371" s="57" t="str">
        <f>IFERROR(VLOOKUP($A371,'1-2-1 绩效数据'!$D:$F,3,0),"")</f>
        <v/>
      </c>
      <c r="M371" s="8" t="str">
        <f t="shared" si="123"/>
        <v>2</v>
      </c>
      <c r="N371" s="8" t="str">
        <f t="shared" si="107"/>
        <v/>
      </c>
      <c r="O371" s="8" t="str">
        <f t="shared" si="108"/>
        <v/>
      </c>
      <c r="P371" s="58" t="str">
        <f t="shared" si="117"/>
        <v/>
      </c>
      <c r="Q371" s="8" t="str">
        <f t="shared" si="112"/>
        <v/>
      </c>
      <c r="R371" s="8" t="str">
        <f t="shared" si="118"/>
        <v/>
      </c>
      <c r="S371" s="57" t="str">
        <f>IFERROR(VLOOKUP(A371,'1-2-1 绩效数据'!$G:$I,3,0),"")</f>
        <v/>
      </c>
      <c r="T371" s="8" t="str">
        <f t="shared" si="119"/>
        <v>2</v>
      </c>
      <c r="U371" s="8" t="str">
        <f t="shared" si="109"/>
        <v/>
      </c>
      <c r="V371" s="8" t="str">
        <f t="shared" si="110"/>
        <v/>
      </c>
      <c r="W371" s="58" t="str">
        <f t="shared" si="120"/>
        <v/>
      </c>
      <c r="X371" s="8" t="str">
        <f t="shared" si="113"/>
        <v/>
      </c>
      <c r="Y371" s="8" t="str">
        <f t="shared" si="121"/>
        <v/>
      </c>
      <c r="Z371" s="57" t="str">
        <f t="shared" si="122"/>
        <v/>
      </c>
    </row>
    <row r="372" spans="1:26" x14ac:dyDescent="0.3">
      <c r="A372" s="8"/>
      <c r="B372" s="70" t="str">
        <f>IFERROR(VLOOKUP('1-2-2 关键绩效'!$A372,'1-1 基本信息'!$A:$K,7,0),"")</f>
        <v/>
      </c>
      <c r="C372" s="8" t="str">
        <f>IFERROR(VLOOKUP($A372,'1-1 基本信息'!$A:$J,10,0),"")</f>
        <v/>
      </c>
      <c r="D372" s="8" t="str">
        <f>IFERROR(VLOOKUP(A372,'1-1 基本信息'!$A:$I,8,0),"")</f>
        <v/>
      </c>
      <c r="E372" s="57" t="str">
        <f>IFERROR(VLOOKUP($A372,'1-2-1 绩效数据'!$A:$C,3,0),"")</f>
        <v/>
      </c>
      <c r="F372" s="8" t="str">
        <f t="shared" si="114"/>
        <v>2</v>
      </c>
      <c r="G372" s="8" t="str">
        <f t="shared" si="105"/>
        <v/>
      </c>
      <c r="H372" s="8" t="str">
        <f t="shared" si="106"/>
        <v/>
      </c>
      <c r="I372" s="58" t="str">
        <f t="shared" si="115"/>
        <v/>
      </c>
      <c r="J372" s="8" t="str">
        <f t="shared" si="111"/>
        <v/>
      </c>
      <c r="K372" s="8" t="str">
        <f t="shared" si="116"/>
        <v/>
      </c>
      <c r="L372" s="57" t="str">
        <f>IFERROR(VLOOKUP($A372,'1-2-1 绩效数据'!$D:$F,3,0),"")</f>
        <v/>
      </c>
      <c r="M372" s="8" t="str">
        <f t="shared" si="123"/>
        <v>2</v>
      </c>
      <c r="N372" s="8" t="str">
        <f t="shared" si="107"/>
        <v/>
      </c>
      <c r="O372" s="8" t="str">
        <f t="shared" si="108"/>
        <v/>
      </c>
      <c r="P372" s="58" t="str">
        <f t="shared" si="117"/>
        <v/>
      </c>
      <c r="Q372" s="8" t="str">
        <f t="shared" si="112"/>
        <v/>
      </c>
      <c r="R372" s="8" t="str">
        <f t="shared" si="118"/>
        <v/>
      </c>
      <c r="S372" s="57" t="str">
        <f>IFERROR(VLOOKUP(A372,'1-2-1 绩效数据'!$G:$I,3,0),"")</f>
        <v/>
      </c>
      <c r="T372" s="8" t="str">
        <f t="shared" si="119"/>
        <v>2</v>
      </c>
      <c r="U372" s="8" t="str">
        <f t="shared" si="109"/>
        <v/>
      </c>
      <c r="V372" s="8" t="str">
        <f t="shared" si="110"/>
        <v/>
      </c>
      <c r="W372" s="58" t="str">
        <f t="shared" si="120"/>
        <v/>
      </c>
      <c r="X372" s="8" t="str">
        <f t="shared" si="113"/>
        <v/>
      </c>
      <c r="Y372" s="8" t="str">
        <f t="shared" si="121"/>
        <v/>
      </c>
      <c r="Z372" s="57" t="str">
        <f t="shared" si="122"/>
        <v/>
      </c>
    </row>
    <row r="373" spans="1:26" x14ac:dyDescent="0.3">
      <c r="A373" s="8"/>
      <c r="B373" s="70" t="str">
        <f>IFERROR(VLOOKUP('1-2-2 关键绩效'!$A373,'1-1 基本信息'!$A:$K,7,0),"")</f>
        <v/>
      </c>
      <c r="C373" s="8" t="str">
        <f>IFERROR(VLOOKUP($A373,'1-1 基本信息'!$A:$J,10,0),"")</f>
        <v/>
      </c>
      <c r="D373" s="8" t="str">
        <f>IFERROR(VLOOKUP(A373,'1-1 基本信息'!$A:$I,8,0),"")</f>
        <v/>
      </c>
      <c r="E373" s="57" t="str">
        <f>IFERROR(VLOOKUP($A373,'1-2-1 绩效数据'!$A:$C,3,0),"")</f>
        <v/>
      </c>
      <c r="F373" s="8" t="str">
        <f t="shared" si="114"/>
        <v>2</v>
      </c>
      <c r="G373" s="8" t="str">
        <f t="shared" si="105"/>
        <v/>
      </c>
      <c r="H373" s="8" t="str">
        <f t="shared" si="106"/>
        <v/>
      </c>
      <c r="I373" s="58" t="str">
        <f t="shared" si="115"/>
        <v/>
      </c>
      <c r="J373" s="8" t="str">
        <f t="shared" si="111"/>
        <v/>
      </c>
      <c r="K373" s="8" t="str">
        <f t="shared" si="116"/>
        <v/>
      </c>
      <c r="L373" s="57" t="str">
        <f>IFERROR(VLOOKUP($A373,'1-2-1 绩效数据'!$D:$F,3,0),"")</f>
        <v/>
      </c>
      <c r="M373" s="8" t="str">
        <f t="shared" si="123"/>
        <v>2</v>
      </c>
      <c r="N373" s="8" t="str">
        <f t="shared" si="107"/>
        <v/>
      </c>
      <c r="O373" s="8" t="str">
        <f t="shared" si="108"/>
        <v/>
      </c>
      <c r="P373" s="58" t="str">
        <f t="shared" si="117"/>
        <v/>
      </c>
      <c r="Q373" s="8" t="str">
        <f t="shared" si="112"/>
        <v/>
      </c>
      <c r="R373" s="8" t="str">
        <f t="shared" si="118"/>
        <v/>
      </c>
      <c r="S373" s="57" t="str">
        <f>IFERROR(VLOOKUP(A373,'1-2-1 绩效数据'!$G:$I,3,0),"")</f>
        <v/>
      </c>
      <c r="T373" s="8" t="str">
        <f t="shared" si="119"/>
        <v>2</v>
      </c>
      <c r="U373" s="8" t="str">
        <f t="shared" si="109"/>
        <v/>
      </c>
      <c r="V373" s="8" t="str">
        <f t="shared" si="110"/>
        <v/>
      </c>
      <c r="W373" s="58" t="str">
        <f t="shared" si="120"/>
        <v/>
      </c>
      <c r="X373" s="8" t="str">
        <f t="shared" si="113"/>
        <v/>
      </c>
      <c r="Y373" s="8" t="str">
        <f t="shared" si="121"/>
        <v/>
      </c>
      <c r="Z373" s="57" t="str">
        <f t="shared" si="122"/>
        <v/>
      </c>
    </row>
    <row r="374" spans="1:26" x14ac:dyDescent="0.3">
      <c r="A374" s="8"/>
      <c r="B374" s="70" t="str">
        <f>IFERROR(VLOOKUP('1-2-2 关键绩效'!$A374,'1-1 基本信息'!$A:$K,7,0),"")</f>
        <v/>
      </c>
      <c r="C374" s="8" t="str">
        <f>IFERROR(VLOOKUP($A374,'1-1 基本信息'!$A:$J,10,0),"")</f>
        <v/>
      </c>
      <c r="D374" s="8" t="str">
        <f>IFERROR(VLOOKUP(A374,'1-1 基本信息'!$A:$I,8,0),"")</f>
        <v/>
      </c>
      <c r="E374" s="57" t="str">
        <f>IFERROR(VLOOKUP($A374,'1-2-1 绩效数据'!$A:$C,3,0),"")</f>
        <v/>
      </c>
      <c r="F374" s="8" t="str">
        <f t="shared" si="114"/>
        <v>2</v>
      </c>
      <c r="G374" s="8" t="str">
        <f t="shared" si="105"/>
        <v/>
      </c>
      <c r="H374" s="8" t="str">
        <f t="shared" si="106"/>
        <v/>
      </c>
      <c r="I374" s="58" t="str">
        <f t="shared" si="115"/>
        <v/>
      </c>
      <c r="J374" s="8" t="str">
        <f t="shared" si="111"/>
        <v/>
      </c>
      <c r="K374" s="8" t="str">
        <f t="shared" si="116"/>
        <v/>
      </c>
      <c r="L374" s="57" t="str">
        <f>IFERROR(VLOOKUP($A374,'1-2-1 绩效数据'!$D:$F,3,0),"")</f>
        <v/>
      </c>
      <c r="M374" s="8" t="str">
        <f t="shared" si="123"/>
        <v>2</v>
      </c>
      <c r="N374" s="8" t="str">
        <f t="shared" si="107"/>
        <v/>
      </c>
      <c r="O374" s="8" t="str">
        <f t="shared" si="108"/>
        <v/>
      </c>
      <c r="P374" s="58" t="str">
        <f t="shared" si="117"/>
        <v/>
      </c>
      <c r="Q374" s="8" t="str">
        <f t="shared" si="112"/>
        <v/>
      </c>
      <c r="R374" s="8" t="str">
        <f t="shared" si="118"/>
        <v/>
      </c>
      <c r="S374" s="57" t="str">
        <f>IFERROR(VLOOKUP(A374,'1-2-1 绩效数据'!$G:$I,3,0),"")</f>
        <v/>
      </c>
      <c r="T374" s="8" t="str">
        <f t="shared" si="119"/>
        <v>2</v>
      </c>
      <c r="U374" s="8" t="str">
        <f t="shared" si="109"/>
        <v/>
      </c>
      <c r="V374" s="8" t="str">
        <f t="shared" si="110"/>
        <v/>
      </c>
      <c r="W374" s="58" t="str">
        <f t="shared" si="120"/>
        <v/>
      </c>
      <c r="X374" s="8" t="str">
        <f t="shared" si="113"/>
        <v/>
      </c>
      <c r="Y374" s="8" t="str">
        <f t="shared" si="121"/>
        <v/>
      </c>
      <c r="Z374" s="57" t="str">
        <f t="shared" si="122"/>
        <v/>
      </c>
    </row>
    <row r="375" spans="1:26" x14ac:dyDescent="0.3">
      <c r="A375" s="8"/>
      <c r="B375" s="70" t="str">
        <f>IFERROR(VLOOKUP('1-2-2 关键绩效'!$A375,'1-1 基本信息'!$A:$K,7,0),"")</f>
        <v/>
      </c>
      <c r="C375" s="8" t="str">
        <f>IFERROR(VLOOKUP($A375,'1-1 基本信息'!$A:$J,10,0),"")</f>
        <v/>
      </c>
      <c r="D375" s="8" t="str">
        <f>IFERROR(VLOOKUP(A375,'1-1 基本信息'!$A:$I,8,0),"")</f>
        <v/>
      </c>
      <c r="E375" s="57" t="str">
        <f>IFERROR(VLOOKUP($A375,'1-2-1 绩效数据'!$A:$C,3,0),"")</f>
        <v/>
      </c>
      <c r="F375" s="8" t="str">
        <f t="shared" si="114"/>
        <v>2</v>
      </c>
      <c r="G375" s="8" t="str">
        <f t="shared" si="105"/>
        <v/>
      </c>
      <c r="H375" s="8" t="str">
        <f t="shared" si="106"/>
        <v/>
      </c>
      <c r="I375" s="58" t="str">
        <f t="shared" si="115"/>
        <v/>
      </c>
      <c r="J375" s="8" t="str">
        <f t="shared" si="111"/>
        <v/>
      </c>
      <c r="K375" s="8" t="str">
        <f t="shared" si="116"/>
        <v/>
      </c>
      <c r="L375" s="57" t="str">
        <f>IFERROR(VLOOKUP($A375,'1-2-1 绩效数据'!$D:$F,3,0),"")</f>
        <v/>
      </c>
      <c r="M375" s="8" t="str">
        <f t="shared" si="123"/>
        <v>2</v>
      </c>
      <c r="N375" s="8" t="str">
        <f t="shared" si="107"/>
        <v/>
      </c>
      <c r="O375" s="8" t="str">
        <f t="shared" si="108"/>
        <v/>
      </c>
      <c r="P375" s="58" t="str">
        <f t="shared" si="117"/>
        <v/>
      </c>
      <c r="Q375" s="8" t="str">
        <f t="shared" si="112"/>
        <v/>
      </c>
      <c r="R375" s="8" t="str">
        <f t="shared" si="118"/>
        <v/>
      </c>
      <c r="S375" s="57" t="str">
        <f>IFERROR(VLOOKUP(A375,'1-2-1 绩效数据'!$G:$I,3,0),"")</f>
        <v/>
      </c>
      <c r="T375" s="8" t="str">
        <f t="shared" si="119"/>
        <v>2</v>
      </c>
      <c r="U375" s="8" t="str">
        <f t="shared" si="109"/>
        <v/>
      </c>
      <c r="V375" s="8" t="str">
        <f t="shared" si="110"/>
        <v/>
      </c>
      <c r="W375" s="58" t="str">
        <f t="shared" si="120"/>
        <v/>
      </c>
      <c r="X375" s="8" t="str">
        <f t="shared" si="113"/>
        <v/>
      </c>
      <c r="Y375" s="8" t="str">
        <f t="shared" si="121"/>
        <v/>
      </c>
      <c r="Z375" s="57" t="str">
        <f t="shared" si="122"/>
        <v/>
      </c>
    </row>
    <row r="376" spans="1:26" x14ac:dyDescent="0.3">
      <c r="A376" s="8"/>
      <c r="B376" s="70" t="str">
        <f>IFERROR(VLOOKUP('1-2-2 关键绩效'!$A376,'1-1 基本信息'!$A:$K,7,0),"")</f>
        <v/>
      </c>
      <c r="C376" s="8" t="str">
        <f>IFERROR(VLOOKUP($A376,'1-1 基本信息'!$A:$J,10,0),"")</f>
        <v/>
      </c>
      <c r="D376" s="8" t="str">
        <f>IFERROR(VLOOKUP(A376,'1-1 基本信息'!$A:$I,8,0),"")</f>
        <v/>
      </c>
      <c r="E376" s="57" t="str">
        <f>IFERROR(VLOOKUP($A376,'1-2-1 绩效数据'!$A:$C,3,0),"")</f>
        <v/>
      </c>
      <c r="F376" s="8" t="str">
        <f t="shared" si="114"/>
        <v>2</v>
      </c>
      <c r="G376" s="8" t="str">
        <f t="shared" si="105"/>
        <v/>
      </c>
      <c r="H376" s="8" t="str">
        <f t="shared" si="106"/>
        <v/>
      </c>
      <c r="I376" s="58" t="str">
        <f t="shared" si="115"/>
        <v/>
      </c>
      <c r="J376" s="8" t="str">
        <f t="shared" si="111"/>
        <v/>
      </c>
      <c r="K376" s="8" t="str">
        <f t="shared" si="116"/>
        <v/>
      </c>
      <c r="L376" s="57" t="str">
        <f>IFERROR(VLOOKUP($A376,'1-2-1 绩效数据'!$D:$F,3,0),"")</f>
        <v/>
      </c>
      <c r="M376" s="8" t="str">
        <f t="shared" si="123"/>
        <v>2</v>
      </c>
      <c r="N376" s="8" t="str">
        <f t="shared" si="107"/>
        <v/>
      </c>
      <c r="O376" s="8" t="str">
        <f t="shared" si="108"/>
        <v/>
      </c>
      <c r="P376" s="58" t="str">
        <f t="shared" si="117"/>
        <v/>
      </c>
      <c r="Q376" s="8" t="str">
        <f t="shared" si="112"/>
        <v/>
      </c>
      <c r="R376" s="8" t="str">
        <f t="shared" si="118"/>
        <v/>
      </c>
      <c r="S376" s="57" t="str">
        <f>IFERROR(VLOOKUP(A376,'1-2-1 绩效数据'!$G:$I,3,0),"")</f>
        <v/>
      </c>
      <c r="T376" s="8" t="str">
        <f t="shared" si="119"/>
        <v>2</v>
      </c>
      <c r="U376" s="8" t="str">
        <f t="shared" si="109"/>
        <v/>
      </c>
      <c r="V376" s="8" t="str">
        <f t="shared" si="110"/>
        <v/>
      </c>
      <c r="W376" s="58" t="str">
        <f t="shared" si="120"/>
        <v/>
      </c>
      <c r="X376" s="8" t="str">
        <f t="shared" si="113"/>
        <v/>
      </c>
      <c r="Y376" s="8" t="str">
        <f t="shared" si="121"/>
        <v/>
      </c>
      <c r="Z376" s="57" t="str">
        <f t="shared" si="122"/>
        <v/>
      </c>
    </row>
    <row r="377" spans="1:26" x14ac:dyDescent="0.3">
      <c r="A377" s="8"/>
      <c r="B377" s="70" t="str">
        <f>IFERROR(VLOOKUP('1-2-2 关键绩效'!$A377,'1-1 基本信息'!$A:$K,7,0),"")</f>
        <v/>
      </c>
      <c r="C377" s="8" t="str">
        <f>IFERROR(VLOOKUP($A377,'1-1 基本信息'!$A:$J,10,0),"")</f>
        <v/>
      </c>
      <c r="D377" s="8" t="str">
        <f>IFERROR(VLOOKUP(A377,'1-1 基本信息'!$A:$I,8,0),"")</f>
        <v/>
      </c>
      <c r="E377" s="57" t="str">
        <f>IFERROR(VLOOKUP($A377,'1-2-1 绩效数据'!$A:$C,3,0),"")</f>
        <v/>
      </c>
      <c r="F377" s="8" t="str">
        <f t="shared" si="114"/>
        <v>2</v>
      </c>
      <c r="G377" s="8" t="str">
        <f t="shared" si="105"/>
        <v/>
      </c>
      <c r="H377" s="8" t="str">
        <f t="shared" si="106"/>
        <v/>
      </c>
      <c r="I377" s="58" t="str">
        <f t="shared" si="115"/>
        <v/>
      </c>
      <c r="J377" s="8" t="str">
        <f t="shared" si="111"/>
        <v/>
      </c>
      <c r="K377" s="8" t="str">
        <f t="shared" si="116"/>
        <v/>
      </c>
      <c r="L377" s="57" t="str">
        <f>IFERROR(VLOOKUP($A377,'1-2-1 绩效数据'!$D:$F,3,0),"")</f>
        <v/>
      </c>
      <c r="M377" s="8" t="str">
        <f t="shared" si="123"/>
        <v>2</v>
      </c>
      <c r="N377" s="8" t="str">
        <f t="shared" si="107"/>
        <v/>
      </c>
      <c r="O377" s="8" t="str">
        <f t="shared" si="108"/>
        <v/>
      </c>
      <c r="P377" s="58" t="str">
        <f t="shared" si="117"/>
        <v/>
      </c>
      <c r="Q377" s="8" t="str">
        <f t="shared" si="112"/>
        <v/>
      </c>
      <c r="R377" s="8" t="str">
        <f t="shared" si="118"/>
        <v/>
      </c>
      <c r="S377" s="57" t="str">
        <f>IFERROR(VLOOKUP(A377,'1-2-1 绩效数据'!$G:$I,3,0),"")</f>
        <v/>
      </c>
      <c r="T377" s="8" t="str">
        <f t="shared" si="119"/>
        <v>2</v>
      </c>
      <c r="U377" s="8" t="str">
        <f t="shared" si="109"/>
        <v/>
      </c>
      <c r="V377" s="8" t="str">
        <f t="shared" si="110"/>
        <v/>
      </c>
      <c r="W377" s="58" t="str">
        <f t="shared" si="120"/>
        <v/>
      </c>
      <c r="X377" s="8" t="str">
        <f t="shared" si="113"/>
        <v/>
      </c>
      <c r="Y377" s="8" t="str">
        <f t="shared" si="121"/>
        <v/>
      </c>
      <c r="Z377" s="57" t="str">
        <f t="shared" si="122"/>
        <v/>
      </c>
    </row>
    <row r="378" spans="1:26" x14ac:dyDescent="0.3">
      <c r="A378" s="8"/>
      <c r="B378" s="70" t="str">
        <f>IFERROR(VLOOKUP('1-2-2 关键绩效'!$A378,'1-1 基本信息'!$A:$K,7,0),"")</f>
        <v/>
      </c>
      <c r="C378" s="8" t="str">
        <f>IFERROR(VLOOKUP($A378,'1-1 基本信息'!$A:$J,10,0),"")</f>
        <v/>
      </c>
      <c r="D378" s="8" t="str">
        <f>IFERROR(VLOOKUP(A378,'1-1 基本信息'!$A:$I,8,0),"")</f>
        <v/>
      </c>
      <c r="E378" s="57" t="str">
        <f>IFERROR(VLOOKUP($A378,'1-2-1 绩效数据'!$A:$C,3,0),"")</f>
        <v/>
      </c>
      <c r="F378" s="8" t="str">
        <f t="shared" si="114"/>
        <v>2</v>
      </c>
      <c r="G378" s="8" t="str">
        <f t="shared" si="105"/>
        <v/>
      </c>
      <c r="H378" s="8" t="str">
        <f t="shared" si="106"/>
        <v/>
      </c>
      <c r="I378" s="58" t="str">
        <f t="shared" si="115"/>
        <v/>
      </c>
      <c r="J378" s="8" t="str">
        <f t="shared" si="111"/>
        <v/>
      </c>
      <c r="K378" s="8" t="str">
        <f t="shared" si="116"/>
        <v/>
      </c>
      <c r="L378" s="57" t="str">
        <f>IFERROR(VLOOKUP($A378,'1-2-1 绩效数据'!$D:$F,3,0),"")</f>
        <v/>
      </c>
      <c r="M378" s="8" t="str">
        <f t="shared" si="123"/>
        <v>2</v>
      </c>
      <c r="N378" s="8" t="str">
        <f t="shared" si="107"/>
        <v/>
      </c>
      <c r="O378" s="8" t="str">
        <f t="shared" si="108"/>
        <v/>
      </c>
      <c r="P378" s="58" t="str">
        <f t="shared" si="117"/>
        <v/>
      </c>
      <c r="Q378" s="8" t="str">
        <f t="shared" si="112"/>
        <v/>
      </c>
      <c r="R378" s="8" t="str">
        <f t="shared" si="118"/>
        <v/>
      </c>
      <c r="S378" s="57" t="str">
        <f>IFERROR(VLOOKUP(A378,'1-2-1 绩效数据'!$G:$I,3,0),"")</f>
        <v/>
      </c>
      <c r="T378" s="8" t="str">
        <f t="shared" si="119"/>
        <v>2</v>
      </c>
      <c r="U378" s="8" t="str">
        <f t="shared" si="109"/>
        <v/>
      </c>
      <c r="V378" s="8" t="str">
        <f t="shared" si="110"/>
        <v/>
      </c>
      <c r="W378" s="58" t="str">
        <f t="shared" si="120"/>
        <v/>
      </c>
      <c r="X378" s="8" t="str">
        <f t="shared" si="113"/>
        <v/>
      </c>
      <c r="Y378" s="8" t="str">
        <f t="shared" si="121"/>
        <v/>
      </c>
      <c r="Z378" s="57" t="str">
        <f t="shared" si="122"/>
        <v/>
      </c>
    </row>
    <row r="379" spans="1:26" x14ac:dyDescent="0.3">
      <c r="A379" s="8"/>
      <c r="B379" s="70" t="str">
        <f>IFERROR(VLOOKUP('1-2-2 关键绩效'!$A379,'1-1 基本信息'!$A:$K,7,0),"")</f>
        <v/>
      </c>
      <c r="C379" s="8" t="str">
        <f>IFERROR(VLOOKUP($A379,'1-1 基本信息'!$A:$J,10,0),"")</f>
        <v/>
      </c>
      <c r="D379" s="8" t="str">
        <f>IFERROR(VLOOKUP(A379,'1-1 基本信息'!$A:$I,8,0),"")</f>
        <v/>
      </c>
      <c r="E379" s="57" t="str">
        <f>IFERROR(VLOOKUP($A379,'1-2-1 绩效数据'!$A:$C,3,0),"")</f>
        <v/>
      </c>
      <c r="F379" s="8" t="str">
        <f t="shared" si="114"/>
        <v>2</v>
      </c>
      <c r="G379" s="8" t="str">
        <f t="shared" si="105"/>
        <v/>
      </c>
      <c r="H379" s="8" t="str">
        <f t="shared" si="106"/>
        <v/>
      </c>
      <c r="I379" s="58" t="str">
        <f t="shared" si="115"/>
        <v/>
      </c>
      <c r="J379" s="8" t="str">
        <f t="shared" si="111"/>
        <v/>
      </c>
      <c r="K379" s="8" t="str">
        <f t="shared" si="116"/>
        <v/>
      </c>
      <c r="L379" s="57" t="str">
        <f>IFERROR(VLOOKUP($A379,'1-2-1 绩效数据'!$D:$F,3,0),"")</f>
        <v/>
      </c>
      <c r="M379" s="8" t="str">
        <f t="shared" si="123"/>
        <v>2</v>
      </c>
      <c r="N379" s="8" t="str">
        <f t="shared" si="107"/>
        <v/>
      </c>
      <c r="O379" s="8" t="str">
        <f t="shared" si="108"/>
        <v/>
      </c>
      <c r="P379" s="58" t="str">
        <f t="shared" si="117"/>
        <v/>
      </c>
      <c r="Q379" s="8" t="str">
        <f t="shared" si="112"/>
        <v/>
      </c>
      <c r="R379" s="8" t="str">
        <f t="shared" si="118"/>
        <v/>
      </c>
      <c r="S379" s="57" t="str">
        <f>IFERROR(VLOOKUP(A379,'1-2-1 绩效数据'!$G:$I,3,0),"")</f>
        <v/>
      </c>
      <c r="T379" s="8" t="str">
        <f t="shared" si="119"/>
        <v>2</v>
      </c>
      <c r="U379" s="8" t="str">
        <f t="shared" si="109"/>
        <v/>
      </c>
      <c r="V379" s="8" t="str">
        <f t="shared" si="110"/>
        <v/>
      </c>
      <c r="W379" s="58" t="str">
        <f t="shared" si="120"/>
        <v/>
      </c>
      <c r="X379" s="8" t="str">
        <f t="shared" si="113"/>
        <v/>
      </c>
      <c r="Y379" s="8" t="str">
        <f t="shared" si="121"/>
        <v/>
      </c>
      <c r="Z379" s="57" t="str">
        <f t="shared" si="122"/>
        <v/>
      </c>
    </row>
    <row r="380" spans="1:26" x14ac:dyDescent="0.3">
      <c r="A380" s="8"/>
      <c r="B380" s="70" t="str">
        <f>IFERROR(VLOOKUP('1-2-2 关键绩效'!$A380,'1-1 基本信息'!$A:$K,7,0),"")</f>
        <v/>
      </c>
      <c r="C380" s="8" t="str">
        <f>IFERROR(VLOOKUP($A380,'1-1 基本信息'!$A:$J,10,0),"")</f>
        <v/>
      </c>
      <c r="D380" s="8" t="str">
        <f>IFERROR(VLOOKUP(A380,'1-1 基本信息'!$A:$I,8,0),"")</f>
        <v/>
      </c>
      <c r="E380" s="57" t="str">
        <f>IFERROR(VLOOKUP($A380,'1-2-1 绩效数据'!$A:$C,3,0),"")</f>
        <v/>
      </c>
      <c r="F380" s="8" t="str">
        <f t="shared" si="114"/>
        <v>2</v>
      </c>
      <c r="G380" s="8" t="str">
        <f t="shared" si="105"/>
        <v/>
      </c>
      <c r="H380" s="8" t="str">
        <f t="shared" si="106"/>
        <v/>
      </c>
      <c r="I380" s="58" t="str">
        <f t="shared" si="115"/>
        <v/>
      </c>
      <c r="J380" s="8" t="str">
        <f t="shared" si="111"/>
        <v/>
      </c>
      <c r="K380" s="8" t="str">
        <f t="shared" si="116"/>
        <v/>
      </c>
      <c r="L380" s="57" t="str">
        <f>IFERROR(VLOOKUP($A380,'1-2-1 绩效数据'!$D:$F,3,0),"")</f>
        <v/>
      </c>
      <c r="M380" s="8" t="str">
        <f t="shared" si="123"/>
        <v>2</v>
      </c>
      <c r="N380" s="8" t="str">
        <f t="shared" si="107"/>
        <v/>
      </c>
      <c r="O380" s="8" t="str">
        <f t="shared" si="108"/>
        <v/>
      </c>
      <c r="P380" s="58" t="str">
        <f t="shared" si="117"/>
        <v/>
      </c>
      <c r="Q380" s="8" t="str">
        <f t="shared" si="112"/>
        <v/>
      </c>
      <c r="R380" s="8" t="str">
        <f t="shared" si="118"/>
        <v/>
      </c>
      <c r="S380" s="57" t="str">
        <f>IFERROR(VLOOKUP(A380,'1-2-1 绩效数据'!$G:$I,3,0),"")</f>
        <v/>
      </c>
      <c r="T380" s="8" t="str">
        <f t="shared" si="119"/>
        <v>2</v>
      </c>
      <c r="U380" s="8" t="str">
        <f t="shared" si="109"/>
        <v/>
      </c>
      <c r="V380" s="8" t="str">
        <f t="shared" si="110"/>
        <v/>
      </c>
      <c r="W380" s="58" t="str">
        <f t="shared" si="120"/>
        <v/>
      </c>
      <c r="X380" s="8" t="str">
        <f t="shared" si="113"/>
        <v/>
      </c>
      <c r="Y380" s="8" t="str">
        <f t="shared" si="121"/>
        <v/>
      </c>
      <c r="Z380" s="57" t="str">
        <f t="shared" si="122"/>
        <v/>
      </c>
    </row>
    <row r="381" spans="1:26" x14ac:dyDescent="0.3">
      <c r="A381" s="8"/>
      <c r="B381" s="70" t="str">
        <f>IFERROR(VLOOKUP('1-2-2 关键绩效'!$A381,'1-1 基本信息'!$A:$K,7,0),"")</f>
        <v/>
      </c>
      <c r="C381" s="8" t="str">
        <f>IFERROR(VLOOKUP($A381,'1-1 基本信息'!$A:$J,10,0),"")</f>
        <v/>
      </c>
      <c r="D381" s="8" t="str">
        <f>IFERROR(VLOOKUP(A381,'1-1 基本信息'!$A:$I,8,0),"")</f>
        <v/>
      </c>
      <c r="E381" s="57" t="str">
        <f>IFERROR(VLOOKUP($A381,'1-2-1 绩效数据'!$A:$C,3,0),"")</f>
        <v/>
      </c>
      <c r="F381" s="8" t="str">
        <f t="shared" si="114"/>
        <v>2</v>
      </c>
      <c r="G381" s="8" t="str">
        <f t="shared" si="105"/>
        <v/>
      </c>
      <c r="H381" s="8" t="str">
        <f t="shared" si="106"/>
        <v/>
      </c>
      <c r="I381" s="58" t="str">
        <f t="shared" si="115"/>
        <v/>
      </c>
      <c r="J381" s="8" t="str">
        <f t="shared" si="111"/>
        <v/>
      </c>
      <c r="K381" s="8" t="str">
        <f t="shared" si="116"/>
        <v/>
      </c>
      <c r="L381" s="57" t="str">
        <f>IFERROR(VLOOKUP($A381,'1-2-1 绩效数据'!$D:$F,3,0),"")</f>
        <v/>
      </c>
      <c r="M381" s="8" t="str">
        <f t="shared" si="123"/>
        <v>2</v>
      </c>
      <c r="N381" s="8" t="str">
        <f t="shared" si="107"/>
        <v/>
      </c>
      <c r="O381" s="8" t="str">
        <f t="shared" si="108"/>
        <v/>
      </c>
      <c r="P381" s="58" t="str">
        <f t="shared" si="117"/>
        <v/>
      </c>
      <c r="Q381" s="8" t="str">
        <f t="shared" si="112"/>
        <v/>
      </c>
      <c r="R381" s="8" t="str">
        <f t="shared" si="118"/>
        <v/>
      </c>
      <c r="S381" s="57" t="str">
        <f>IFERROR(VLOOKUP(A381,'1-2-1 绩效数据'!$G:$I,3,0),"")</f>
        <v/>
      </c>
      <c r="T381" s="8" t="str">
        <f t="shared" si="119"/>
        <v>2</v>
      </c>
      <c r="U381" s="8" t="str">
        <f t="shared" si="109"/>
        <v/>
      </c>
      <c r="V381" s="8" t="str">
        <f t="shared" si="110"/>
        <v/>
      </c>
      <c r="W381" s="58" t="str">
        <f t="shared" si="120"/>
        <v/>
      </c>
      <c r="X381" s="8" t="str">
        <f t="shared" si="113"/>
        <v/>
      </c>
      <c r="Y381" s="8" t="str">
        <f t="shared" si="121"/>
        <v/>
      </c>
      <c r="Z381" s="57" t="str">
        <f t="shared" si="122"/>
        <v/>
      </c>
    </row>
    <row r="382" spans="1:26" x14ac:dyDescent="0.3">
      <c r="A382" s="8"/>
      <c r="B382" s="70" t="str">
        <f>IFERROR(VLOOKUP('1-2-2 关键绩效'!$A382,'1-1 基本信息'!$A:$K,7,0),"")</f>
        <v/>
      </c>
      <c r="C382" s="8" t="str">
        <f>IFERROR(VLOOKUP($A382,'1-1 基本信息'!$A:$J,10,0),"")</f>
        <v/>
      </c>
      <c r="D382" s="8" t="str">
        <f>IFERROR(VLOOKUP(A382,'1-1 基本信息'!$A:$I,8,0),"")</f>
        <v/>
      </c>
      <c r="E382" s="57" t="str">
        <f>IFERROR(VLOOKUP($A382,'1-2-1 绩效数据'!$A:$C,3,0),"")</f>
        <v/>
      </c>
      <c r="F382" s="8" t="str">
        <f t="shared" si="114"/>
        <v>2</v>
      </c>
      <c r="G382" s="8" t="str">
        <f t="shared" si="105"/>
        <v/>
      </c>
      <c r="H382" s="8" t="str">
        <f t="shared" si="106"/>
        <v/>
      </c>
      <c r="I382" s="58" t="str">
        <f t="shared" si="115"/>
        <v/>
      </c>
      <c r="J382" s="8" t="str">
        <f t="shared" si="111"/>
        <v/>
      </c>
      <c r="K382" s="8" t="str">
        <f t="shared" si="116"/>
        <v/>
      </c>
      <c r="L382" s="57" t="str">
        <f>IFERROR(VLOOKUP($A382,'1-2-1 绩效数据'!$D:$F,3,0),"")</f>
        <v/>
      </c>
      <c r="M382" s="8" t="str">
        <f t="shared" si="123"/>
        <v>2</v>
      </c>
      <c r="N382" s="8" t="str">
        <f t="shared" si="107"/>
        <v/>
      </c>
      <c r="O382" s="8" t="str">
        <f t="shared" si="108"/>
        <v/>
      </c>
      <c r="P382" s="58" t="str">
        <f t="shared" si="117"/>
        <v/>
      </c>
      <c r="Q382" s="8" t="str">
        <f t="shared" si="112"/>
        <v/>
      </c>
      <c r="R382" s="8" t="str">
        <f t="shared" si="118"/>
        <v/>
      </c>
      <c r="S382" s="57" t="str">
        <f>IFERROR(VLOOKUP(A382,'1-2-1 绩效数据'!$G:$I,3,0),"")</f>
        <v/>
      </c>
      <c r="T382" s="8" t="str">
        <f t="shared" si="119"/>
        <v>2</v>
      </c>
      <c r="U382" s="8" t="str">
        <f t="shared" si="109"/>
        <v/>
      </c>
      <c r="V382" s="8" t="str">
        <f t="shared" si="110"/>
        <v/>
      </c>
      <c r="W382" s="58" t="str">
        <f t="shared" si="120"/>
        <v/>
      </c>
      <c r="X382" s="8" t="str">
        <f t="shared" si="113"/>
        <v/>
      </c>
      <c r="Y382" s="8" t="str">
        <f t="shared" si="121"/>
        <v/>
      </c>
      <c r="Z382" s="57" t="str">
        <f t="shared" si="122"/>
        <v/>
      </c>
    </row>
    <row r="383" spans="1:26" x14ac:dyDescent="0.3">
      <c r="A383" s="8"/>
      <c r="B383" s="70" t="str">
        <f>IFERROR(VLOOKUP('1-2-2 关键绩效'!$A383,'1-1 基本信息'!$A:$K,7,0),"")</f>
        <v/>
      </c>
      <c r="C383" s="8" t="str">
        <f>IFERROR(VLOOKUP($A383,'1-1 基本信息'!$A:$J,10,0),"")</f>
        <v/>
      </c>
      <c r="D383" s="8" t="str">
        <f>IFERROR(VLOOKUP(A383,'1-1 基本信息'!$A:$I,8,0),"")</f>
        <v/>
      </c>
      <c r="E383" s="57" t="str">
        <f>IFERROR(VLOOKUP($A383,'1-2-1 绩效数据'!$A:$C,3,0),"")</f>
        <v/>
      </c>
      <c r="F383" s="8" t="str">
        <f t="shared" si="114"/>
        <v>2</v>
      </c>
      <c r="G383" s="8" t="str">
        <f t="shared" si="105"/>
        <v/>
      </c>
      <c r="H383" s="8" t="str">
        <f t="shared" si="106"/>
        <v/>
      </c>
      <c r="I383" s="58" t="str">
        <f t="shared" si="115"/>
        <v/>
      </c>
      <c r="J383" s="8" t="str">
        <f t="shared" si="111"/>
        <v/>
      </c>
      <c r="K383" s="8" t="str">
        <f t="shared" si="116"/>
        <v/>
      </c>
      <c r="L383" s="57" t="str">
        <f>IFERROR(VLOOKUP($A383,'1-2-1 绩效数据'!$D:$F,3,0),"")</f>
        <v/>
      </c>
      <c r="M383" s="8" t="str">
        <f t="shared" si="123"/>
        <v>2</v>
      </c>
      <c r="N383" s="8" t="str">
        <f t="shared" si="107"/>
        <v/>
      </c>
      <c r="O383" s="8" t="str">
        <f t="shared" si="108"/>
        <v/>
      </c>
      <c r="P383" s="58" t="str">
        <f t="shared" si="117"/>
        <v/>
      </c>
      <c r="Q383" s="8" t="str">
        <f t="shared" si="112"/>
        <v/>
      </c>
      <c r="R383" s="8" t="str">
        <f t="shared" si="118"/>
        <v/>
      </c>
      <c r="S383" s="57" t="str">
        <f>IFERROR(VLOOKUP(A383,'1-2-1 绩效数据'!$G:$I,3,0),"")</f>
        <v/>
      </c>
      <c r="T383" s="8" t="str">
        <f t="shared" si="119"/>
        <v>2</v>
      </c>
      <c r="U383" s="8" t="str">
        <f t="shared" si="109"/>
        <v/>
      </c>
      <c r="V383" s="8" t="str">
        <f t="shared" si="110"/>
        <v/>
      </c>
      <c r="W383" s="58" t="str">
        <f t="shared" si="120"/>
        <v/>
      </c>
      <c r="X383" s="8" t="str">
        <f t="shared" si="113"/>
        <v/>
      </c>
      <c r="Y383" s="8" t="str">
        <f t="shared" si="121"/>
        <v/>
      </c>
      <c r="Z383" s="57" t="str">
        <f t="shared" si="122"/>
        <v/>
      </c>
    </row>
    <row r="384" spans="1:26" x14ac:dyDescent="0.3">
      <c r="A384" s="8"/>
      <c r="B384" s="70" t="str">
        <f>IFERROR(VLOOKUP('1-2-2 关键绩效'!$A384,'1-1 基本信息'!$A:$K,7,0),"")</f>
        <v/>
      </c>
      <c r="C384" s="8" t="str">
        <f>IFERROR(VLOOKUP($A384,'1-1 基本信息'!$A:$J,10,0),"")</f>
        <v/>
      </c>
      <c r="D384" s="8" t="str">
        <f>IFERROR(VLOOKUP(A384,'1-1 基本信息'!$A:$I,8,0),"")</f>
        <v/>
      </c>
      <c r="E384" s="57" t="str">
        <f>IFERROR(VLOOKUP($A384,'1-2-1 绩效数据'!$A:$C,3,0),"")</f>
        <v/>
      </c>
      <c r="F384" s="8" t="str">
        <f t="shared" si="114"/>
        <v>2</v>
      </c>
      <c r="G384" s="8" t="str">
        <f t="shared" si="105"/>
        <v/>
      </c>
      <c r="H384" s="8" t="str">
        <f t="shared" si="106"/>
        <v/>
      </c>
      <c r="I384" s="58" t="str">
        <f t="shared" si="115"/>
        <v/>
      </c>
      <c r="J384" s="8" t="str">
        <f t="shared" si="111"/>
        <v/>
      </c>
      <c r="K384" s="8" t="str">
        <f t="shared" si="116"/>
        <v/>
      </c>
      <c r="L384" s="57" t="str">
        <f>IFERROR(VLOOKUP($A384,'1-2-1 绩效数据'!$D:$F,3,0),"")</f>
        <v/>
      </c>
      <c r="M384" s="8" t="str">
        <f t="shared" si="123"/>
        <v>2</v>
      </c>
      <c r="N384" s="8" t="str">
        <f t="shared" si="107"/>
        <v/>
      </c>
      <c r="O384" s="8" t="str">
        <f t="shared" si="108"/>
        <v/>
      </c>
      <c r="P384" s="58" t="str">
        <f t="shared" si="117"/>
        <v/>
      </c>
      <c r="Q384" s="8" t="str">
        <f t="shared" si="112"/>
        <v/>
      </c>
      <c r="R384" s="8" t="str">
        <f t="shared" si="118"/>
        <v/>
      </c>
      <c r="S384" s="57" t="str">
        <f>IFERROR(VLOOKUP(A384,'1-2-1 绩效数据'!$G:$I,3,0),"")</f>
        <v/>
      </c>
      <c r="T384" s="8" t="str">
        <f t="shared" si="119"/>
        <v>2</v>
      </c>
      <c r="U384" s="8" t="str">
        <f t="shared" si="109"/>
        <v/>
      </c>
      <c r="V384" s="8" t="str">
        <f t="shared" si="110"/>
        <v/>
      </c>
      <c r="W384" s="58" t="str">
        <f t="shared" si="120"/>
        <v/>
      </c>
      <c r="X384" s="8" t="str">
        <f t="shared" si="113"/>
        <v/>
      </c>
      <c r="Y384" s="8" t="str">
        <f t="shared" si="121"/>
        <v/>
      </c>
      <c r="Z384" s="57" t="str">
        <f t="shared" si="122"/>
        <v/>
      </c>
    </row>
    <row r="385" spans="1:26" x14ac:dyDescent="0.3">
      <c r="A385" s="8"/>
      <c r="B385" s="70" t="str">
        <f>IFERROR(VLOOKUP('1-2-2 关键绩效'!$A385,'1-1 基本信息'!$A:$K,7,0),"")</f>
        <v/>
      </c>
      <c r="C385" s="8" t="str">
        <f>IFERROR(VLOOKUP($A385,'1-1 基本信息'!$A:$J,10,0),"")</f>
        <v/>
      </c>
      <c r="D385" s="8" t="str">
        <f>IFERROR(VLOOKUP(A385,'1-1 基本信息'!$A:$I,8,0),"")</f>
        <v/>
      </c>
      <c r="E385" s="57" t="str">
        <f>IFERROR(VLOOKUP($A385,'1-2-1 绩效数据'!$A:$C,3,0),"")</f>
        <v/>
      </c>
      <c r="F385" s="8" t="str">
        <f t="shared" si="114"/>
        <v>2</v>
      </c>
      <c r="G385" s="8" t="str">
        <f t="shared" si="105"/>
        <v/>
      </c>
      <c r="H385" s="8" t="str">
        <f t="shared" si="106"/>
        <v/>
      </c>
      <c r="I385" s="58" t="str">
        <f t="shared" si="115"/>
        <v/>
      </c>
      <c r="J385" s="8" t="str">
        <f t="shared" si="111"/>
        <v/>
      </c>
      <c r="K385" s="8" t="str">
        <f t="shared" si="116"/>
        <v/>
      </c>
      <c r="L385" s="57" t="str">
        <f>IFERROR(VLOOKUP($A385,'1-2-1 绩效数据'!$D:$F,3,0),"")</f>
        <v/>
      </c>
      <c r="M385" s="8" t="str">
        <f t="shared" si="123"/>
        <v>2</v>
      </c>
      <c r="N385" s="8" t="str">
        <f t="shared" si="107"/>
        <v/>
      </c>
      <c r="O385" s="8" t="str">
        <f t="shared" si="108"/>
        <v/>
      </c>
      <c r="P385" s="58" t="str">
        <f t="shared" si="117"/>
        <v/>
      </c>
      <c r="Q385" s="8" t="str">
        <f t="shared" si="112"/>
        <v/>
      </c>
      <c r="R385" s="8" t="str">
        <f t="shared" si="118"/>
        <v/>
      </c>
      <c r="S385" s="57" t="str">
        <f>IFERROR(VLOOKUP(A385,'1-2-1 绩效数据'!$G:$I,3,0),"")</f>
        <v/>
      </c>
      <c r="T385" s="8" t="str">
        <f t="shared" si="119"/>
        <v>2</v>
      </c>
      <c r="U385" s="8" t="str">
        <f t="shared" si="109"/>
        <v/>
      </c>
      <c r="V385" s="8" t="str">
        <f t="shared" si="110"/>
        <v/>
      </c>
      <c r="W385" s="58" t="str">
        <f t="shared" si="120"/>
        <v/>
      </c>
      <c r="X385" s="8" t="str">
        <f t="shared" si="113"/>
        <v/>
      </c>
      <c r="Y385" s="8" t="str">
        <f t="shared" si="121"/>
        <v/>
      </c>
      <c r="Z385" s="57" t="str">
        <f t="shared" si="122"/>
        <v/>
      </c>
    </row>
    <row r="386" spans="1:26" x14ac:dyDescent="0.3">
      <c r="A386" s="8"/>
      <c r="B386" s="70" t="str">
        <f>IFERROR(VLOOKUP('1-2-2 关键绩效'!$A386,'1-1 基本信息'!$A:$K,7,0),"")</f>
        <v/>
      </c>
      <c r="C386" s="8" t="str">
        <f>IFERROR(VLOOKUP($A386,'1-1 基本信息'!$A:$J,10,0),"")</f>
        <v/>
      </c>
      <c r="D386" s="8" t="str">
        <f>IFERROR(VLOOKUP(A386,'1-1 基本信息'!$A:$I,8,0),"")</f>
        <v/>
      </c>
      <c r="E386" s="57" t="str">
        <f>IFERROR(VLOOKUP($A386,'1-2-1 绩效数据'!$A:$C,3,0),"")</f>
        <v/>
      </c>
      <c r="F386" s="8" t="str">
        <f t="shared" si="114"/>
        <v>2</v>
      </c>
      <c r="G386" s="8" t="str">
        <f t="shared" si="105"/>
        <v/>
      </c>
      <c r="H386" s="8" t="str">
        <f t="shared" si="106"/>
        <v/>
      </c>
      <c r="I386" s="58" t="str">
        <f t="shared" si="115"/>
        <v/>
      </c>
      <c r="J386" s="8" t="str">
        <f t="shared" si="111"/>
        <v/>
      </c>
      <c r="K386" s="8" t="str">
        <f t="shared" si="116"/>
        <v/>
      </c>
      <c r="L386" s="57" t="str">
        <f>IFERROR(VLOOKUP($A386,'1-2-1 绩效数据'!$D:$F,3,0),"")</f>
        <v/>
      </c>
      <c r="M386" s="8" t="str">
        <f t="shared" si="123"/>
        <v>2</v>
      </c>
      <c r="N386" s="8" t="str">
        <f t="shared" si="107"/>
        <v/>
      </c>
      <c r="O386" s="8" t="str">
        <f t="shared" si="108"/>
        <v/>
      </c>
      <c r="P386" s="58" t="str">
        <f t="shared" si="117"/>
        <v/>
      </c>
      <c r="Q386" s="8" t="str">
        <f t="shared" si="112"/>
        <v/>
      </c>
      <c r="R386" s="8" t="str">
        <f t="shared" si="118"/>
        <v/>
      </c>
      <c r="S386" s="57" t="str">
        <f>IFERROR(VLOOKUP(A386,'1-2-1 绩效数据'!$G:$I,3,0),"")</f>
        <v/>
      </c>
      <c r="T386" s="8" t="str">
        <f t="shared" si="119"/>
        <v>2</v>
      </c>
      <c r="U386" s="8" t="str">
        <f t="shared" si="109"/>
        <v/>
      </c>
      <c r="V386" s="8" t="str">
        <f t="shared" si="110"/>
        <v/>
      </c>
      <c r="W386" s="58" t="str">
        <f t="shared" si="120"/>
        <v/>
      </c>
      <c r="X386" s="8" t="str">
        <f t="shared" si="113"/>
        <v/>
      </c>
      <c r="Y386" s="8" t="str">
        <f t="shared" si="121"/>
        <v/>
      </c>
      <c r="Z386" s="57" t="str">
        <f t="shared" si="122"/>
        <v/>
      </c>
    </row>
    <row r="387" spans="1:26" x14ac:dyDescent="0.3">
      <c r="A387" s="8"/>
      <c r="B387" s="70" t="str">
        <f>IFERROR(VLOOKUP('1-2-2 关键绩效'!$A387,'1-1 基本信息'!$A:$K,7,0),"")</f>
        <v/>
      </c>
      <c r="C387" s="8" t="str">
        <f>IFERROR(VLOOKUP($A387,'1-1 基本信息'!$A:$J,10,0),"")</f>
        <v/>
      </c>
      <c r="D387" s="8" t="str">
        <f>IFERROR(VLOOKUP(A387,'1-1 基本信息'!$A:$I,8,0),"")</f>
        <v/>
      </c>
      <c r="E387" s="57" t="str">
        <f>IFERROR(VLOOKUP($A387,'1-2-1 绩效数据'!$A:$C,3,0),"")</f>
        <v/>
      </c>
      <c r="F387" s="8" t="str">
        <f t="shared" si="114"/>
        <v>2</v>
      </c>
      <c r="G387" s="8" t="str">
        <f t="shared" ref="G387:G450" si="124">IF(E387&lt;&gt;"",COUNTIFS($C:$C,$C387,F:F,"1"),"")</f>
        <v/>
      </c>
      <c r="H387" s="8" t="str">
        <f t="shared" ref="H387:H418" si="125">IF(E387&lt;&gt;"",COUNTIFS($C:$C,$C387,E:E,"&gt;"&amp;E387)+1,"")</f>
        <v/>
      </c>
      <c r="I387" s="58" t="str">
        <f t="shared" si="115"/>
        <v/>
      </c>
      <c r="J387" s="8" t="str">
        <f t="shared" si="111"/>
        <v/>
      </c>
      <c r="K387" s="8" t="str">
        <f t="shared" si="116"/>
        <v/>
      </c>
      <c r="L387" s="57" t="str">
        <f>IFERROR(VLOOKUP($A387,'1-2-1 绩效数据'!$D:$F,3,0),"")</f>
        <v/>
      </c>
      <c r="M387" s="8" t="str">
        <f t="shared" si="123"/>
        <v>2</v>
      </c>
      <c r="N387" s="8" t="str">
        <f t="shared" ref="N387:N450" si="126">IF(L387&lt;&gt;"",COUNTIFS($C:$C,$C387,M:M,"1"),"")</f>
        <v/>
      </c>
      <c r="O387" s="8" t="str">
        <f t="shared" ref="O387:O418" si="127">IF(L387&lt;&gt;"",COUNTIFS($C:$C,$C387,L:L,"&gt;"&amp;L387)+1,"")</f>
        <v/>
      </c>
      <c r="P387" s="58" t="str">
        <f t="shared" si="117"/>
        <v/>
      </c>
      <c r="Q387" s="8" t="str">
        <f t="shared" si="112"/>
        <v/>
      </c>
      <c r="R387" s="8" t="str">
        <f t="shared" si="118"/>
        <v/>
      </c>
      <c r="S387" s="57" t="str">
        <f>IFERROR(VLOOKUP(A387,'1-2-1 绩效数据'!$G:$I,3,0),"")</f>
        <v/>
      </c>
      <c r="T387" s="8" t="str">
        <f t="shared" si="119"/>
        <v>2</v>
      </c>
      <c r="U387" s="8" t="str">
        <f t="shared" ref="U387:U450" si="128">IF(S387&lt;&gt;"",COUNTIFS($C:$C,$C387,T:T,"1"),"")</f>
        <v/>
      </c>
      <c r="V387" s="8" t="str">
        <f t="shared" ref="V387:V418" si="129">IF(S387&lt;&gt;"",COUNTIFS($C:$C,$C387,S:S,"&gt;"&amp;S387)+1,"")</f>
        <v/>
      </c>
      <c r="W387" s="58" t="str">
        <f t="shared" si="120"/>
        <v/>
      </c>
      <c r="X387" s="8" t="str">
        <f t="shared" si="113"/>
        <v/>
      </c>
      <c r="Y387" s="8" t="str">
        <f t="shared" si="121"/>
        <v/>
      </c>
      <c r="Z387" s="57" t="str">
        <f t="shared" si="122"/>
        <v/>
      </c>
    </row>
    <row r="388" spans="1:26" x14ac:dyDescent="0.3">
      <c r="A388" s="8"/>
      <c r="B388" s="70" t="str">
        <f>IFERROR(VLOOKUP('1-2-2 关键绩效'!$A388,'1-1 基本信息'!$A:$K,7,0),"")</f>
        <v/>
      </c>
      <c r="C388" s="8" t="str">
        <f>IFERROR(VLOOKUP($A388,'1-1 基本信息'!$A:$J,10,0),"")</f>
        <v/>
      </c>
      <c r="D388" s="8" t="str">
        <f>IFERROR(VLOOKUP(A388,'1-1 基本信息'!$A:$I,8,0),"")</f>
        <v/>
      </c>
      <c r="E388" s="57" t="str">
        <f>IFERROR(VLOOKUP($A388,'1-2-1 绩效数据'!$A:$C,3,0),"")</f>
        <v/>
      </c>
      <c r="F388" s="8" t="str">
        <f t="shared" si="114"/>
        <v>2</v>
      </c>
      <c r="G388" s="8" t="str">
        <f t="shared" si="124"/>
        <v/>
      </c>
      <c r="H388" s="8" t="str">
        <f t="shared" si="125"/>
        <v/>
      </c>
      <c r="I388" s="58" t="str">
        <f t="shared" si="115"/>
        <v/>
      </c>
      <c r="J388" s="8" t="str">
        <f t="shared" ref="J388:J418" si="130">IF(I388&lt;&gt;"",IF(G388&gt;=10,IF(I388&lt;=10%,1,IF(I388&lt;=20%,2,IF(I388&lt;=80%,3,IF(I388&lt;=90%,4,5)))),IF(G388=8,IF(I388=1,1,IF(I388=2,2,IF(I388=3,3,IF(I388=4,3,IF(I388=5,4,IF(I388=6,4,IF(I388=7,5,5))))))),IF(G388=7,IF(I388=1,1,IF(I388=2,2,IF(I388=3,3,IF(I388=4,4,IF(I388=5,4,IF(I388=6,5,5)))))),IF(G388=6,IF(I388=1,1,IF(I388=2,2,IF(I388=3,3,IF(I388=4,4,IF(I388=5,5,5))))),IF(G388=5,IF(I388=1,1,IF(I388=2,2,IF(I388=3,3,IF(I388=4,4,5)))),IF(G388=4,IF(I388=1,1,IF(I388=2,2,IF(I388=3,3,4))),IF(G388=3,IF(I388=1,1,IF(I388=2,2,3)),IF(G388=2,IF(I388=1,1,2),IF(G388=1,IF(I388=1,1,"")))))))))),"")</f>
        <v/>
      </c>
      <c r="K388" s="8" t="str">
        <f t="shared" si="116"/>
        <v/>
      </c>
      <c r="L388" s="57" t="str">
        <f>IFERROR(VLOOKUP($A388,'1-2-1 绩效数据'!$D:$F,3,0),"")</f>
        <v/>
      </c>
      <c r="M388" s="8" t="str">
        <f t="shared" si="123"/>
        <v>2</v>
      </c>
      <c r="N388" s="8" t="str">
        <f t="shared" si="126"/>
        <v/>
      </c>
      <c r="O388" s="8" t="str">
        <f t="shared" si="127"/>
        <v/>
      </c>
      <c r="P388" s="58" t="str">
        <f t="shared" si="117"/>
        <v/>
      </c>
      <c r="Q388" s="8" t="str">
        <f t="shared" ref="Q388:Q418" si="131">IF(P388&lt;&gt;"",IF(N388&gt;=10,IF(P388&lt;=10%,1,IF(P388&lt;=20%,2,IF(P388&lt;=80%,3,IF(P388&lt;=90%,4,5)))),IF(N388=8,IF(P388=1,1,IF(P388=2,2,IF(P388=3,3,IF(P388=4,3,IF(P388=5,4,IF(P388=6,4,IF(P388=7,5,5))))))),IF(N388=7,IF(P388=1,1,IF(P388=2,2,IF(P388=3,3,IF(P388=4,4,IF(P388=5,4,IF(P388=6,5,5)))))),IF(N388=6,IF(P388=1,1,IF(P388=2,2,IF(P388=3,3,IF(P388=4,4,IF(P388=5,5,5))))),IF(N388=5,IF(P388=1,1,IF(P388=2,2,IF(P388=3,3,IF(P388=4,4,5)))),IF(N388=4,IF(P388=1,1,IF(P388=2,2,IF(P388=3,3,4))),IF(N388=3,IF(P388=1,1,IF(P388=2,2,3)),IF(N388=2,IF(P388=1,1,2),IF(N388=1,IF(P388=1,1,"")))))))))),"")</f>
        <v/>
      </c>
      <c r="R388" s="8" t="str">
        <f t="shared" si="118"/>
        <v/>
      </c>
      <c r="S388" s="57" t="str">
        <f>IFERROR(VLOOKUP(A388,'1-2-1 绩效数据'!$G:$I,3,0),"")</f>
        <v/>
      </c>
      <c r="T388" s="8" t="str">
        <f t="shared" si="119"/>
        <v>2</v>
      </c>
      <c r="U388" s="8" t="str">
        <f t="shared" si="128"/>
        <v/>
      </c>
      <c r="V388" s="8" t="str">
        <f t="shared" si="129"/>
        <v/>
      </c>
      <c r="W388" s="58" t="str">
        <f t="shared" si="120"/>
        <v/>
      </c>
      <c r="X388" s="8" t="str">
        <f t="shared" ref="X388:X418" si="132">IF(W388&lt;&gt;"",IF(U388&gt;=10,IF(W388&lt;=10%,1,IF(W388&lt;=20%,2,IF(W388&lt;=80%,3,IF(W388&lt;=90%,4,5)))),IF(U388=8,IF(W388=1,1,IF(W388=2,2,IF(W388=3,3,IF(W388=4,3,IF(W388=5,4,IF(W388=6,4,IF(W388=7,5,5))))))),IF(U388=7,IF(W388=1,1,IF(W388=2,2,IF(W388=3,3,IF(W388=4,4,IF(W388=5,4,IF(W388=6,5,5)))))),IF(U388=6,IF(W388=1,1,IF(W388=2,2,IF(W388=3,3,IF(W388=4,4,IF(W388=5,5,5))))),IF(U388=5,IF(W388=1,1,IF(W388=2,2,IF(W388=3,3,IF(W388=4,4,5)))),IF(U388=4,IF(W388=1,1,IF(W388=2,2,IF(W388=3,3,4))),IF(U388=3,IF(W388=1,1,IF(W388=2,2,3)),IF(U388=2,IF(W388=1,1,2),IF(U388=1,IF(W388=1,1,"")))))))))),"")</f>
        <v/>
      </c>
      <c r="Y388" s="8" t="str">
        <f t="shared" si="121"/>
        <v/>
      </c>
      <c r="Z388" s="57" t="str">
        <f t="shared" si="122"/>
        <v/>
      </c>
    </row>
    <row r="389" spans="1:26" x14ac:dyDescent="0.3">
      <c r="A389" s="8"/>
      <c r="B389" s="70" t="str">
        <f>IFERROR(VLOOKUP('1-2-2 关键绩效'!$A389,'1-1 基本信息'!$A:$K,7,0),"")</f>
        <v/>
      </c>
      <c r="C389" s="8" t="str">
        <f>IFERROR(VLOOKUP($A389,'1-1 基本信息'!$A:$J,10,0),"")</f>
        <v/>
      </c>
      <c r="D389" s="8" t="str">
        <f>IFERROR(VLOOKUP(A389,'1-1 基本信息'!$A:$I,8,0),"")</f>
        <v/>
      </c>
      <c r="E389" s="57" t="str">
        <f>IFERROR(VLOOKUP($A389,'1-2-1 绩效数据'!$A:$C,3,0),"")</f>
        <v/>
      </c>
      <c r="F389" s="8" t="str">
        <f t="shared" si="114"/>
        <v>2</v>
      </c>
      <c r="G389" s="8" t="str">
        <f t="shared" si="124"/>
        <v/>
      </c>
      <c r="H389" s="8" t="str">
        <f t="shared" si="125"/>
        <v/>
      </c>
      <c r="I389" s="58" t="str">
        <f t="shared" si="115"/>
        <v/>
      </c>
      <c r="J389" s="8" t="str">
        <f t="shared" si="130"/>
        <v/>
      </c>
      <c r="K389" s="8" t="str">
        <f t="shared" si="116"/>
        <v/>
      </c>
      <c r="L389" s="57" t="str">
        <f>IFERROR(VLOOKUP($A389,'1-2-1 绩效数据'!$D:$F,3,0),"")</f>
        <v/>
      </c>
      <c r="M389" s="8" t="str">
        <f t="shared" si="123"/>
        <v>2</v>
      </c>
      <c r="N389" s="8" t="str">
        <f t="shared" si="126"/>
        <v/>
      </c>
      <c r="O389" s="8" t="str">
        <f t="shared" si="127"/>
        <v/>
      </c>
      <c r="P389" s="58" t="str">
        <f t="shared" si="117"/>
        <v/>
      </c>
      <c r="Q389" s="8" t="str">
        <f t="shared" si="131"/>
        <v/>
      </c>
      <c r="R389" s="8" t="str">
        <f t="shared" si="118"/>
        <v/>
      </c>
      <c r="S389" s="57" t="str">
        <f>IFERROR(VLOOKUP(A389,'1-2-1 绩效数据'!$G:$I,3,0),"")</f>
        <v/>
      </c>
      <c r="T389" s="8" t="str">
        <f t="shared" si="119"/>
        <v>2</v>
      </c>
      <c r="U389" s="8" t="str">
        <f t="shared" si="128"/>
        <v/>
      </c>
      <c r="V389" s="8" t="str">
        <f t="shared" si="129"/>
        <v/>
      </c>
      <c r="W389" s="58" t="str">
        <f t="shared" si="120"/>
        <v/>
      </c>
      <c r="X389" s="8" t="str">
        <f t="shared" si="132"/>
        <v/>
      </c>
      <c r="Y389" s="8" t="str">
        <f t="shared" si="121"/>
        <v/>
      </c>
      <c r="Z389" s="57" t="str">
        <f t="shared" si="122"/>
        <v/>
      </c>
    </row>
    <row r="390" spans="1:26" x14ac:dyDescent="0.3">
      <c r="A390" s="8"/>
      <c r="B390" s="70" t="str">
        <f>IFERROR(VLOOKUP('1-2-2 关键绩效'!$A390,'1-1 基本信息'!$A:$K,7,0),"")</f>
        <v/>
      </c>
      <c r="C390" s="8" t="str">
        <f>IFERROR(VLOOKUP($A390,'1-1 基本信息'!$A:$J,10,0),"")</f>
        <v/>
      </c>
      <c r="D390" s="8" t="str">
        <f>IFERROR(VLOOKUP(A390,'1-1 基本信息'!$A:$I,8,0),"")</f>
        <v/>
      </c>
      <c r="E390" s="57" t="str">
        <f>IFERROR(VLOOKUP($A390,'1-2-1 绩效数据'!$A:$C,3,0),"")</f>
        <v/>
      </c>
      <c r="F390" s="8" t="str">
        <f t="shared" ref="F390:F418" si="133">IF(E390&lt;&gt;"","1","2")</f>
        <v>2</v>
      </c>
      <c r="G390" s="8" t="str">
        <f t="shared" si="124"/>
        <v/>
      </c>
      <c r="H390" s="8" t="str">
        <f t="shared" si="125"/>
        <v/>
      </c>
      <c r="I390" s="58" t="str">
        <f t="shared" ref="I390:I418" si="134">IFERROR(H390/G390,"")</f>
        <v/>
      </c>
      <c r="J390" s="8" t="str">
        <f t="shared" si="130"/>
        <v/>
      </c>
      <c r="K390" s="8" t="str">
        <f t="shared" ref="K390:K418" si="135">IF(J390&lt;&gt;"",IF(J390=1,100,IF(J390=2,90,IF(J390=3,80,IF(J390=4,70,IF(J390=5,60))))),"")</f>
        <v/>
      </c>
      <c r="L390" s="57" t="str">
        <f>IFERROR(VLOOKUP($A390,'1-2-1 绩效数据'!$D:$F,3,0),"")</f>
        <v/>
      </c>
      <c r="M390" s="8" t="str">
        <f t="shared" si="123"/>
        <v>2</v>
      </c>
      <c r="N390" s="8" t="str">
        <f t="shared" si="126"/>
        <v/>
      </c>
      <c r="O390" s="8" t="str">
        <f t="shared" si="127"/>
        <v/>
      </c>
      <c r="P390" s="58" t="str">
        <f t="shared" ref="P390:P418" si="136">IFERROR(O390/N390,"")</f>
        <v/>
      </c>
      <c r="Q390" s="8" t="str">
        <f t="shared" si="131"/>
        <v/>
      </c>
      <c r="R390" s="8" t="str">
        <f t="shared" ref="R390:R418" si="137">IF(Q390&lt;&gt;"",IF(Q390=1,100,IF(Q390=2,90,IF(Q390=3,80,IF(Q390=4,70,IF(Q390=5,60))))),"")</f>
        <v/>
      </c>
      <c r="S390" s="57" t="str">
        <f>IFERROR(VLOOKUP(A390,'1-2-1 绩效数据'!$G:$I,3,0),"")</f>
        <v/>
      </c>
      <c r="T390" s="8" t="str">
        <f t="shared" ref="T390:T418" si="138">IF(S390&lt;&gt;"","1","2")</f>
        <v>2</v>
      </c>
      <c r="U390" s="8" t="str">
        <f t="shared" si="128"/>
        <v/>
      </c>
      <c r="V390" s="8" t="str">
        <f t="shared" si="129"/>
        <v/>
      </c>
      <c r="W390" s="58" t="str">
        <f t="shared" ref="W390:W418" si="139">IFERROR(V390/U390,"")</f>
        <v/>
      </c>
      <c r="X390" s="8" t="str">
        <f t="shared" si="132"/>
        <v/>
      </c>
      <c r="Y390" s="8" t="str">
        <f t="shared" ref="Y390:Y418" si="140">IF(X390&lt;&gt;"",IF(X390=1,100,IF(X390=2,90,IF(X390=3,80,IF(X390=4,70,IF(X390=5,60))))),"")</f>
        <v/>
      </c>
      <c r="Z390" s="57" t="str">
        <f t="shared" ref="Z390:Z418" si="141">IFERROR(AVERAGE(K390,R390,Y390),"")</f>
        <v/>
      </c>
    </row>
    <row r="391" spans="1:26" x14ac:dyDescent="0.3">
      <c r="A391" s="8"/>
      <c r="B391" s="70" t="str">
        <f>IFERROR(VLOOKUP('1-2-2 关键绩效'!$A391,'1-1 基本信息'!$A:$K,7,0),"")</f>
        <v/>
      </c>
      <c r="C391" s="8" t="str">
        <f>IFERROR(VLOOKUP($A391,'1-1 基本信息'!$A:$J,10,0),"")</f>
        <v/>
      </c>
      <c r="D391" s="8" t="str">
        <f>IFERROR(VLOOKUP(A391,'1-1 基本信息'!$A:$I,8,0),"")</f>
        <v/>
      </c>
      <c r="E391" s="57" t="str">
        <f>IFERROR(VLOOKUP($A391,'1-2-1 绩效数据'!$A:$C,3,0),"")</f>
        <v/>
      </c>
      <c r="F391" s="8" t="str">
        <f t="shared" si="133"/>
        <v>2</v>
      </c>
      <c r="G391" s="8" t="str">
        <f t="shared" si="124"/>
        <v/>
      </c>
      <c r="H391" s="8" t="str">
        <f t="shared" si="125"/>
        <v/>
      </c>
      <c r="I391" s="58" t="str">
        <f t="shared" si="134"/>
        <v/>
      </c>
      <c r="J391" s="8" t="str">
        <f t="shared" si="130"/>
        <v/>
      </c>
      <c r="K391" s="8" t="str">
        <f t="shared" si="135"/>
        <v/>
      </c>
      <c r="L391" s="57" t="str">
        <f>IFERROR(VLOOKUP($A391,'1-2-1 绩效数据'!$D:$F,3,0),"")</f>
        <v/>
      </c>
      <c r="M391" s="8" t="str">
        <f t="shared" ref="M391:M418" si="142">IF($L391&lt;&gt;"","1","2")</f>
        <v>2</v>
      </c>
      <c r="N391" s="8" t="str">
        <f t="shared" si="126"/>
        <v/>
      </c>
      <c r="O391" s="8" t="str">
        <f t="shared" si="127"/>
        <v/>
      </c>
      <c r="P391" s="58" t="str">
        <f t="shared" si="136"/>
        <v/>
      </c>
      <c r="Q391" s="8" t="str">
        <f t="shared" si="131"/>
        <v/>
      </c>
      <c r="R391" s="8" t="str">
        <f t="shared" si="137"/>
        <v/>
      </c>
      <c r="S391" s="57" t="str">
        <f>IFERROR(VLOOKUP(A391,'1-2-1 绩效数据'!$G:$I,3,0),"")</f>
        <v/>
      </c>
      <c r="T391" s="8" t="str">
        <f t="shared" si="138"/>
        <v>2</v>
      </c>
      <c r="U391" s="8" t="str">
        <f t="shared" si="128"/>
        <v/>
      </c>
      <c r="V391" s="8" t="str">
        <f t="shared" si="129"/>
        <v/>
      </c>
      <c r="W391" s="58" t="str">
        <f t="shared" si="139"/>
        <v/>
      </c>
      <c r="X391" s="8" t="str">
        <f t="shared" si="132"/>
        <v/>
      </c>
      <c r="Y391" s="8" t="str">
        <f t="shared" si="140"/>
        <v/>
      </c>
      <c r="Z391" s="57" t="str">
        <f t="shared" si="141"/>
        <v/>
      </c>
    </row>
    <row r="392" spans="1:26" x14ac:dyDescent="0.3">
      <c r="A392" s="8"/>
      <c r="B392" s="70" t="str">
        <f>IFERROR(VLOOKUP('1-2-2 关键绩效'!$A392,'1-1 基本信息'!$A:$K,7,0),"")</f>
        <v/>
      </c>
      <c r="C392" s="8" t="str">
        <f>IFERROR(VLOOKUP($A392,'1-1 基本信息'!$A:$J,10,0),"")</f>
        <v/>
      </c>
      <c r="D392" s="8" t="str">
        <f>IFERROR(VLOOKUP(A392,'1-1 基本信息'!$A:$I,8,0),"")</f>
        <v/>
      </c>
      <c r="E392" s="57" t="str">
        <f>IFERROR(VLOOKUP($A392,'1-2-1 绩效数据'!$A:$C,3,0),"")</f>
        <v/>
      </c>
      <c r="F392" s="8" t="str">
        <f t="shared" si="133"/>
        <v>2</v>
      </c>
      <c r="G392" s="8" t="str">
        <f t="shared" si="124"/>
        <v/>
      </c>
      <c r="H392" s="8" t="str">
        <f t="shared" si="125"/>
        <v/>
      </c>
      <c r="I392" s="58" t="str">
        <f t="shared" si="134"/>
        <v/>
      </c>
      <c r="J392" s="8" t="str">
        <f t="shared" si="130"/>
        <v/>
      </c>
      <c r="K392" s="8" t="str">
        <f t="shared" si="135"/>
        <v/>
      </c>
      <c r="L392" s="57" t="str">
        <f>IFERROR(VLOOKUP($A392,'1-2-1 绩效数据'!$D:$F,3,0),"")</f>
        <v/>
      </c>
      <c r="M392" s="8" t="str">
        <f t="shared" si="142"/>
        <v>2</v>
      </c>
      <c r="N392" s="8" t="str">
        <f t="shared" si="126"/>
        <v/>
      </c>
      <c r="O392" s="8" t="str">
        <f t="shared" si="127"/>
        <v/>
      </c>
      <c r="P392" s="58" t="str">
        <f t="shared" si="136"/>
        <v/>
      </c>
      <c r="Q392" s="8" t="str">
        <f t="shared" si="131"/>
        <v/>
      </c>
      <c r="R392" s="8" t="str">
        <f t="shared" si="137"/>
        <v/>
      </c>
      <c r="S392" s="57" t="str">
        <f>IFERROR(VLOOKUP(A392,'1-2-1 绩效数据'!$G:$I,3,0),"")</f>
        <v/>
      </c>
      <c r="T392" s="8" t="str">
        <f t="shared" si="138"/>
        <v>2</v>
      </c>
      <c r="U392" s="8" t="str">
        <f t="shared" si="128"/>
        <v/>
      </c>
      <c r="V392" s="8" t="str">
        <f t="shared" si="129"/>
        <v/>
      </c>
      <c r="W392" s="58" t="str">
        <f t="shared" si="139"/>
        <v/>
      </c>
      <c r="X392" s="8" t="str">
        <f t="shared" si="132"/>
        <v/>
      </c>
      <c r="Y392" s="8" t="str">
        <f t="shared" si="140"/>
        <v/>
      </c>
      <c r="Z392" s="57" t="str">
        <f t="shared" si="141"/>
        <v/>
      </c>
    </row>
    <row r="393" spans="1:26" x14ac:dyDescent="0.3">
      <c r="A393" s="8"/>
      <c r="B393" s="70" t="str">
        <f>IFERROR(VLOOKUP('1-2-2 关键绩效'!$A393,'1-1 基本信息'!$A:$K,7,0),"")</f>
        <v/>
      </c>
      <c r="C393" s="8" t="str">
        <f>IFERROR(VLOOKUP($A393,'1-1 基本信息'!$A:$J,10,0),"")</f>
        <v/>
      </c>
      <c r="D393" s="8" t="str">
        <f>IFERROR(VLOOKUP(A393,'1-1 基本信息'!$A:$I,8,0),"")</f>
        <v/>
      </c>
      <c r="E393" s="57" t="str">
        <f>IFERROR(VLOOKUP($A393,'1-2-1 绩效数据'!$A:$C,3,0),"")</f>
        <v/>
      </c>
      <c r="F393" s="8" t="str">
        <f t="shared" si="133"/>
        <v>2</v>
      </c>
      <c r="G393" s="8" t="str">
        <f t="shared" si="124"/>
        <v/>
      </c>
      <c r="H393" s="8" t="str">
        <f t="shared" si="125"/>
        <v/>
      </c>
      <c r="I393" s="58" t="str">
        <f t="shared" si="134"/>
        <v/>
      </c>
      <c r="J393" s="8" t="str">
        <f t="shared" si="130"/>
        <v/>
      </c>
      <c r="K393" s="8" t="str">
        <f t="shared" si="135"/>
        <v/>
      </c>
      <c r="L393" s="57" t="str">
        <f>IFERROR(VLOOKUP($A393,'1-2-1 绩效数据'!$D:$F,3,0),"")</f>
        <v/>
      </c>
      <c r="M393" s="8" t="str">
        <f t="shared" si="142"/>
        <v>2</v>
      </c>
      <c r="N393" s="8" t="str">
        <f t="shared" si="126"/>
        <v/>
      </c>
      <c r="O393" s="8" t="str">
        <f t="shared" si="127"/>
        <v/>
      </c>
      <c r="P393" s="58" t="str">
        <f t="shared" si="136"/>
        <v/>
      </c>
      <c r="Q393" s="8" t="str">
        <f t="shared" si="131"/>
        <v/>
      </c>
      <c r="R393" s="8" t="str">
        <f t="shared" si="137"/>
        <v/>
      </c>
      <c r="S393" s="57" t="str">
        <f>IFERROR(VLOOKUP(A393,'1-2-1 绩效数据'!$G:$I,3,0),"")</f>
        <v/>
      </c>
      <c r="T393" s="8" t="str">
        <f t="shared" si="138"/>
        <v>2</v>
      </c>
      <c r="U393" s="8" t="str">
        <f t="shared" si="128"/>
        <v/>
      </c>
      <c r="V393" s="8" t="str">
        <f t="shared" si="129"/>
        <v/>
      </c>
      <c r="W393" s="58" t="str">
        <f t="shared" si="139"/>
        <v/>
      </c>
      <c r="X393" s="8" t="str">
        <f t="shared" si="132"/>
        <v/>
      </c>
      <c r="Y393" s="8" t="str">
        <f t="shared" si="140"/>
        <v/>
      </c>
      <c r="Z393" s="57" t="str">
        <f t="shared" si="141"/>
        <v/>
      </c>
    </row>
    <row r="394" spans="1:26" x14ac:dyDescent="0.3">
      <c r="A394" s="8"/>
      <c r="B394" s="70" t="str">
        <f>IFERROR(VLOOKUP('1-2-2 关键绩效'!$A394,'1-1 基本信息'!$A:$K,7,0),"")</f>
        <v/>
      </c>
      <c r="C394" s="8" t="str">
        <f>IFERROR(VLOOKUP($A394,'1-1 基本信息'!$A:$J,10,0),"")</f>
        <v/>
      </c>
      <c r="D394" s="8" t="str">
        <f>IFERROR(VLOOKUP(A394,'1-1 基本信息'!$A:$I,8,0),"")</f>
        <v/>
      </c>
      <c r="E394" s="57" t="str">
        <f>IFERROR(VLOOKUP($A394,'1-2-1 绩效数据'!$A:$C,3,0),"")</f>
        <v/>
      </c>
      <c r="F394" s="8" t="str">
        <f t="shared" si="133"/>
        <v>2</v>
      </c>
      <c r="G394" s="8" t="str">
        <f t="shared" si="124"/>
        <v/>
      </c>
      <c r="H394" s="8" t="str">
        <f t="shared" si="125"/>
        <v/>
      </c>
      <c r="I394" s="58" t="str">
        <f t="shared" si="134"/>
        <v/>
      </c>
      <c r="J394" s="8" t="str">
        <f t="shared" si="130"/>
        <v/>
      </c>
      <c r="K394" s="8" t="str">
        <f t="shared" si="135"/>
        <v/>
      </c>
      <c r="L394" s="57" t="str">
        <f>IFERROR(VLOOKUP($A394,'1-2-1 绩效数据'!$D:$F,3,0),"")</f>
        <v/>
      </c>
      <c r="M394" s="8" t="str">
        <f t="shared" si="142"/>
        <v>2</v>
      </c>
      <c r="N394" s="8" t="str">
        <f t="shared" si="126"/>
        <v/>
      </c>
      <c r="O394" s="8" t="str">
        <f t="shared" si="127"/>
        <v/>
      </c>
      <c r="P394" s="58" t="str">
        <f t="shared" si="136"/>
        <v/>
      </c>
      <c r="Q394" s="8" t="str">
        <f t="shared" si="131"/>
        <v/>
      </c>
      <c r="R394" s="8" t="str">
        <f t="shared" si="137"/>
        <v/>
      </c>
      <c r="S394" s="57" t="str">
        <f>IFERROR(VLOOKUP(A394,'1-2-1 绩效数据'!$G:$I,3,0),"")</f>
        <v/>
      </c>
      <c r="T394" s="8" t="str">
        <f t="shared" si="138"/>
        <v>2</v>
      </c>
      <c r="U394" s="8" t="str">
        <f t="shared" si="128"/>
        <v/>
      </c>
      <c r="V394" s="8" t="str">
        <f t="shared" si="129"/>
        <v/>
      </c>
      <c r="W394" s="58" t="str">
        <f t="shared" si="139"/>
        <v/>
      </c>
      <c r="X394" s="8" t="str">
        <f t="shared" si="132"/>
        <v/>
      </c>
      <c r="Y394" s="8" t="str">
        <f t="shared" si="140"/>
        <v/>
      </c>
      <c r="Z394" s="57" t="str">
        <f t="shared" si="141"/>
        <v/>
      </c>
    </row>
    <row r="395" spans="1:26" x14ac:dyDescent="0.3">
      <c r="A395" s="8"/>
      <c r="B395" s="70" t="str">
        <f>IFERROR(VLOOKUP('1-2-2 关键绩效'!$A395,'1-1 基本信息'!$A:$K,7,0),"")</f>
        <v/>
      </c>
      <c r="C395" s="8" t="str">
        <f>IFERROR(VLOOKUP($A395,'1-1 基本信息'!$A:$J,10,0),"")</f>
        <v/>
      </c>
      <c r="D395" s="8" t="str">
        <f>IFERROR(VLOOKUP(A395,'1-1 基本信息'!$A:$I,8,0),"")</f>
        <v/>
      </c>
      <c r="E395" s="57" t="str">
        <f>IFERROR(VLOOKUP($A395,'1-2-1 绩效数据'!$A:$C,3,0),"")</f>
        <v/>
      </c>
      <c r="F395" s="8" t="str">
        <f t="shared" si="133"/>
        <v>2</v>
      </c>
      <c r="G395" s="8" t="str">
        <f t="shared" si="124"/>
        <v/>
      </c>
      <c r="H395" s="8" t="str">
        <f t="shared" si="125"/>
        <v/>
      </c>
      <c r="I395" s="58" t="str">
        <f t="shared" si="134"/>
        <v/>
      </c>
      <c r="J395" s="8" t="str">
        <f t="shared" si="130"/>
        <v/>
      </c>
      <c r="K395" s="8" t="str">
        <f t="shared" si="135"/>
        <v/>
      </c>
      <c r="L395" s="57" t="str">
        <f>IFERROR(VLOOKUP($A395,'1-2-1 绩效数据'!$D:$F,3,0),"")</f>
        <v/>
      </c>
      <c r="M395" s="8" t="str">
        <f t="shared" si="142"/>
        <v>2</v>
      </c>
      <c r="N395" s="8" t="str">
        <f t="shared" si="126"/>
        <v/>
      </c>
      <c r="O395" s="8" t="str">
        <f t="shared" si="127"/>
        <v/>
      </c>
      <c r="P395" s="58" t="str">
        <f t="shared" si="136"/>
        <v/>
      </c>
      <c r="Q395" s="8" t="str">
        <f t="shared" si="131"/>
        <v/>
      </c>
      <c r="R395" s="8" t="str">
        <f t="shared" si="137"/>
        <v/>
      </c>
      <c r="S395" s="57" t="str">
        <f>IFERROR(VLOOKUP(A395,'1-2-1 绩效数据'!$G:$I,3,0),"")</f>
        <v/>
      </c>
      <c r="T395" s="8" t="str">
        <f t="shared" si="138"/>
        <v>2</v>
      </c>
      <c r="U395" s="8" t="str">
        <f t="shared" si="128"/>
        <v/>
      </c>
      <c r="V395" s="8" t="str">
        <f t="shared" si="129"/>
        <v/>
      </c>
      <c r="W395" s="58" t="str">
        <f t="shared" si="139"/>
        <v/>
      </c>
      <c r="X395" s="8" t="str">
        <f t="shared" si="132"/>
        <v/>
      </c>
      <c r="Y395" s="8" t="str">
        <f t="shared" si="140"/>
        <v/>
      </c>
      <c r="Z395" s="57" t="str">
        <f t="shared" si="141"/>
        <v/>
      </c>
    </row>
    <row r="396" spans="1:26" x14ac:dyDescent="0.3">
      <c r="A396" s="8"/>
      <c r="B396" s="70" t="str">
        <f>IFERROR(VLOOKUP('1-2-2 关键绩效'!$A396,'1-1 基本信息'!$A:$K,7,0),"")</f>
        <v/>
      </c>
      <c r="C396" s="8" t="str">
        <f>IFERROR(VLOOKUP($A396,'1-1 基本信息'!$A:$J,10,0),"")</f>
        <v/>
      </c>
      <c r="D396" s="8" t="str">
        <f>IFERROR(VLOOKUP(A396,'1-1 基本信息'!$A:$I,8,0),"")</f>
        <v/>
      </c>
      <c r="E396" s="57" t="str">
        <f>IFERROR(VLOOKUP($A396,'1-2-1 绩效数据'!$A:$C,3,0),"")</f>
        <v/>
      </c>
      <c r="F396" s="8" t="str">
        <f t="shared" si="133"/>
        <v>2</v>
      </c>
      <c r="G396" s="8" t="str">
        <f t="shared" si="124"/>
        <v/>
      </c>
      <c r="H396" s="8" t="str">
        <f t="shared" si="125"/>
        <v/>
      </c>
      <c r="I396" s="58" t="str">
        <f t="shared" si="134"/>
        <v/>
      </c>
      <c r="J396" s="8" t="str">
        <f t="shared" si="130"/>
        <v/>
      </c>
      <c r="K396" s="8" t="str">
        <f t="shared" si="135"/>
        <v/>
      </c>
      <c r="L396" s="57" t="str">
        <f>IFERROR(VLOOKUP($A396,'1-2-1 绩效数据'!$D:$F,3,0),"")</f>
        <v/>
      </c>
      <c r="M396" s="8" t="str">
        <f t="shared" si="142"/>
        <v>2</v>
      </c>
      <c r="N396" s="8" t="str">
        <f t="shared" si="126"/>
        <v/>
      </c>
      <c r="O396" s="8" t="str">
        <f t="shared" si="127"/>
        <v/>
      </c>
      <c r="P396" s="58" t="str">
        <f t="shared" si="136"/>
        <v/>
      </c>
      <c r="Q396" s="8" t="str">
        <f t="shared" si="131"/>
        <v/>
      </c>
      <c r="R396" s="8" t="str">
        <f t="shared" si="137"/>
        <v/>
      </c>
      <c r="S396" s="57" t="str">
        <f>IFERROR(VLOOKUP(A396,'1-2-1 绩效数据'!$G:$I,3,0),"")</f>
        <v/>
      </c>
      <c r="T396" s="8" t="str">
        <f t="shared" si="138"/>
        <v>2</v>
      </c>
      <c r="U396" s="8" t="str">
        <f t="shared" si="128"/>
        <v/>
      </c>
      <c r="V396" s="8" t="str">
        <f t="shared" si="129"/>
        <v/>
      </c>
      <c r="W396" s="58" t="str">
        <f t="shared" si="139"/>
        <v/>
      </c>
      <c r="X396" s="8" t="str">
        <f t="shared" si="132"/>
        <v/>
      </c>
      <c r="Y396" s="8" t="str">
        <f t="shared" si="140"/>
        <v/>
      </c>
      <c r="Z396" s="57" t="str">
        <f t="shared" si="141"/>
        <v/>
      </c>
    </row>
    <row r="397" spans="1:26" x14ac:dyDescent="0.3">
      <c r="A397" s="8"/>
      <c r="B397" s="70" t="str">
        <f>IFERROR(VLOOKUP('1-2-2 关键绩效'!$A397,'1-1 基本信息'!$A:$K,7,0),"")</f>
        <v/>
      </c>
      <c r="C397" s="8" t="str">
        <f>IFERROR(VLOOKUP($A397,'1-1 基本信息'!$A:$J,10,0),"")</f>
        <v/>
      </c>
      <c r="D397" s="8" t="str">
        <f>IFERROR(VLOOKUP(A397,'1-1 基本信息'!$A:$I,8,0),"")</f>
        <v/>
      </c>
      <c r="E397" s="57" t="str">
        <f>IFERROR(VLOOKUP($A397,'1-2-1 绩效数据'!$A:$C,3,0),"")</f>
        <v/>
      </c>
      <c r="F397" s="8" t="str">
        <f t="shared" si="133"/>
        <v>2</v>
      </c>
      <c r="G397" s="8" t="str">
        <f t="shared" si="124"/>
        <v/>
      </c>
      <c r="H397" s="8" t="str">
        <f t="shared" si="125"/>
        <v/>
      </c>
      <c r="I397" s="58" t="str">
        <f t="shared" si="134"/>
        <v/>
      </c>
      <c r="J397" s="8" t="str">
        <f t="shared" si="130"/>
        <v/>
      </c>
      <c r="K397" s="8" t="str">
        <f t="shared" si="135"/>
        <v/>
      </c>
      <c r="L397" s="57" t="str">
        <f>IFERROR(VLOOKUP($A397,'1-2-1 绩效数据'!$D:$F,3,0),"")</f>
        <v/>
      </c>
      <c r="M397" s="8" t="str">
        <f t="shared" si="142"/>
        <v>2</v>
      </c>
      <c r="N397" s="8" t="str">
        <f t="shared" si="126"/>
        <v/>
      </c>
      <c r="O397" s="8" t="str">
        <f t="shared" si="127"/>
        <v/>
      </c>
      <c r="P397" s="58" t="str">
        <f t="shared" si="136"/>
        <v/>
      </c>
      <c r="Q397" s="8" t="str">
        <f t="shared" si="131"/>
        <v/>
      </c>
      <c r="R397" s="8" t="str">
        <f t="shared" si="137"/>
        <v/>
      </c>
      <c r="S397" s="57" t="str">
        <f>IFERROR(VLOOKUP(A397,'1-2-1 绩效数据'!$G:$I,3,0),"")</f>
        <v/>
      </c>
      <c r="T397" s="8" t="str">
        <f t="shared" si="138"/>
        <v>2</v>
      </c>
      <c r="U397" s="8" t="str">
        <f t="shared" si="128"/>
        <v/>
      </c>
      <c r="V397" s="8" t="str">
        <f t="shared" si="129"/>
        <v/>
      </c>
      <c r="W397" s="58" t="str">
        <f t="shared" si="139"/>
        <v/>
      </c>
      <c r="X397" s="8" t="str">
        <f t="shared" si="132"/>
        <v/>
      </c>
      <c r="Y397" s="8" t="str">
        <f t="shared" si="140"/>
        <v/>
      </c>
      <c r="Z397" s="57" t="str">
        <f t="shared" si="141"/>
        <v/>
      </c>
    </row>
    <row r="398" spans="1:26" x14ac:dyDescent="0.3">
      <c r="A398" s="8"/>
      <c r="B398" s="70" t="str">
        <f>IFERROR(VLOOKUP('1-2-2 关键绩效'!$A398,'1-1 基本信息'!$A:$K,7,0),"")</f>
        <v/>
      </c>
      <c r="C398" s="8" t="str">
        <f>IFERROR(VLOOKUP($A398,'1-1 基本信息'!$A:$J,10,0),"")</f>
        <v/>
      </c>
      <c r="D398" s="8" t="str">
        <f>IFERROR(VLOOKUP(A398,'1-1 基本信息'!$A:$I,8,0),"")</f>
        <v/>
      </c>
      <c r="E398" s="57" t="str">
        <f>IFERROR(VLOOKUP($A398,'1-2-1 绩效数据'!$A:$C,3,0),"")</f>
        <v/>
      </c>
      <c r="F398" s="8" t="str">
        <f t="shared" si="133"/>
        <v>2</v>
      </c>
      <c r="G398" s="8" t="str">
        <f t="shared" si="124"/>
        <v/>
      </c>
      <c r="H398" s="8" t="str">
        <f t="shared" si="125"/>
        <v/>
      </c>
      <c r="I398" s="58" t="str">
        <f t="shared" si="134"/>
        <v/>
      </c>
      <c r="J398" s="8" t="str">
        <f t="shared" si="130"/>
        <v/>
      </c>
      <c r="K398" s="8" t="str">
        <f t="shared" si="135"/>
        <v/>
      </c>
      <c r="L398" s="57" t="str">
        <f>IFERROR(VLOOKUP($A398,'1-2-1 绩效数据'!$D:$F,3,0),"")</f>
        <v/>
      </c>
      <c r="M398" s="8" t="str">
        <f t="shared" si="142"/>
        <v>2</v>
      </c>
      <c r="N398" s="8" t="str">
        <f t="shared" si="126"/>
        <v/>
      </c>
      <c r="O398" s="8" t="str">
        <f t="shared" si="127"/>
        <v/>
      </c>
      <c r="P398" s="58" t="str">
        <f t="shared" si="136"/>
        <v/>
      </c>
      <c r="Q398" s="8" t="str">
        <f t="shared" si="131"/>
        <v/>
      </c>
      <c r="R398" s="8" t="str">
        <f t="shared" si="137"/>
        <v/>
      </c>
      <c r="S398" s="57" t="str">
        <f>IFERROR(VLOOKUP(A398,'1-2-1 绩效数据'!$G:$I,3,0),"")</f>
        <v/>
      </c>
      <c r="T398" s="8" t="str">
        <f t="shared" si="138"/>
        <v>2</v>
      </c>
      <c r="U398" s="8" t="str">
        <f t="shared" si="128"/>
        <v/>
      </c>
      <c r="V398" s="8" t="str">
        <f t="shared" si="129"/>
        <v/>
      </c>
      <c r="W398" s="58" t="str">
        <f t="shared" si="139"/>
        <v/>
      </c>
      <c r="X398" s="8" t="str">
        <f t="shared" si="132"/>
        <v/>
      </c>
      <c r="Y398" s="8" t="str">
        <f t="shared" si="140"/>
        <v/>
      </c>
      <c r="Z398" s="57" t="str">
        <f t="shared" si="141"/>
        <v/>
      </c>
    </row>
    <row r="399" spans="1:26" x14ac:dyDescent="0.3">
      <c r="A399" s="8"/>
      <c r="B399" s="70" t="str">
        <f>IFERROR(VLOOKUP('1-2-2 关键绩效'!$A399,'1-1 基本信息'!$A:$K,7,0),"")</f>
        <v/>
      </c>
      <c r="C399" s="8" t="str">
        <f>IFERROR(VLOOKUP($A399,'1-1 基本信息'!$A:$J,10,0),"")</f>
        <v/>
      </c>
      <c r="D399" s="8" t="str">
        <f>IFERROR(VLOOKUP(A399,'1-1 基本信息'!$A:$I,8,0),"")</f>
        <v/>
      </c>
      <c r="E399" s="57" t="str">
        <f>IFERROR(VLOOKUP($A399,'1-2-1 绩效数据'!$A:$C,3,0),"")</f>
        <v/>
      </c>
      <c r="F399" s="8" t="str">
        <f t="shared" si="133"/>
        <v>2</v>
      </c>
      <c r="G399" s="8" t="str">
        <f t="shared" si="124"/>
        <v/>
      </c>
      <c r="H399" s="8" t="str">
        <f t="shared" si="125"/>
        <v/>
      </c>
      <c r="I399" s="58" t="str">
        <f t="shared" si="134"/>
        <v/>
      </c>
      <c r="J399" s="8" t="str">
        <f t="shared" si="130"/>
        <v/>
      </c>
      <c r="K399" s="8" t="str">
        <f t="shared" si="135"/>
        <v/>
      </c>
      <c r="L399" s="57" t="str">
        <f>IFERROR(VLOOKUP($A399,'1-2-1 绩效数据'!$D:$F,3,0),"")</f>
        <v/>
      </c>
      <c r="M399" s="8" t="str">
        <f t="shared" si="142"/>
        <v>2</v>
      </c>
      <c r="N399" s="8" t="str">
        <f t="shared" si="126"/>
        <v/>
      </c>
      <c r="O399" s="8" t="str">
        <f t="shared" si="127"/>
        <v/>
      </c>
      <c r="P399" s="58" t="str">
        <f t="shared" si="136"/>
        <v/>
      </c>
      <c r="Q399" s="8" t="str">
        <f t="shared" si="131"/>
        <v/>
      </c>
      <c r="R399" s="8" t="str">
        <f t="shared" si="137"/>
        <v/>
      </c>
      <c r="S399" s="57" t="str">
        <f>IFERROR(VLOOKUP(A399,'1-2-1 绩效数据'!$G:$I,3,0),"")</f>
        <v/>
      </c>
      <c r="T399" s="8" t="str">
        <f t="shared" si="138"/>
        <v>2</v>
      </c>
      <c r="U399" s="8" t="str">
        <f t="shared" si="128"/>
        <v/>
      </c>
      <c r="V399" s="8" t="str">
        <f t="shared" si="129"/>
        <v/>
      </c>
      <c r="W399" s="58" t="str">
        <f t="shared" si="139"/>
        <v/>
      </c>
      <c r="X399" s="8" t="str">
        <f t="shared" si="132"/>
        <v/>
      </c>
      <c r="Y399" s="8" t="str">
        <f t="shared" si="140"/>
        <v/>
      </c>
      <c r="Z399" s="57" t="str">
        <f t="shared" si="141"/>
        <v/>
      </c>
    </row>
    <row r="400" spans="1:26" x14ac:dyDescent="0.3">
      <c r="A400" s="8"/>
      <c r="B400" s="70" t="str">
        <f>IFERROR(VLOOKUP('1-2-2 关键绩效'!$A400,'1-1 基本信息'!$A:$K,7,0),"")</f>
        <v/>
      </c>
      <c r="C400" s="8" t="str">
        <f>IFERROR(VLOOKUP($A400,'1-1 基本信息'!$A:$J,10,0),"")</f>
        <v/>
      </c>
      <c r="D400" s="8" t="str">
        <f>IFERROR(VLOOKUP(A400,'1-1 基本信息'!$A:$I,8,0),"")</f>
        <v/>
      </c>
      <c r="E400" s="57" t="str">
        <f>IFERROR(VLOOKUP($A400,'1-2-1 绩效数据'!$A:$C,3,0),"")</f>
        <v/>
      </c>
      <c r="F400" s="8" t="str">
        <f t="shared" si="133"/>
        <v>2</v>
      </c>
      <c r="G400" s="8" t="str">
        <f t="shared" si="124"/>
        <v/>
      </c>
      <c r="H400" s="8" t="str">
        <f t="shared" si="125"/>
        <v/>
      </c>
      <c r="I400" s="58" t="str">
        <f t="shared" si="134"/>
        <v/>
      </c>
      <c r="J400" s="8" t="str">
        <f t="shared" si="130"/>
        <v/>
      </c>
      <c r="K400" s="8" t="str">
        <f t="shared" si="135"/>
        <v/>
      </c>
      <c r="L400" s="57" t="str">
        <f>IFERROR(VLOOKUP($A400,'1-2-1 绩效数据'!$D:$F,3,0),"")</f>
        <v/>
      </c>
      <c r="M400" s="8" t="str">
        <f t="shared" si="142"/>
        <v>2</v>
      </c>
      <c r="N400" s="8" t="str">
        <f t="shared" si="126"/>
        <v/>
      </c>
      <c r="O400" s="8" t="str">
        <f t="shared" si="127"/>
        <v/>
      </c>
      <c r="P400" s="58" t="str">
        <f t="shared" si="136"/>
        <v/>
      </c>
      <c r="Q400" s="8" t="str">
        <f t="shared" si="131"/>
        <v/>
      </c>
      <c r="R400" s="8" t="str">
        <f t="shared" si="137"/>
        <v/>
      </c>
      <c r="S400" s="57" t="str">
        <f>IFERROR(VLOOKUP(A400,'1-2-1 绩效数据'!$G:$I,3,0),"")</f>
        <v/>
      </c>
      <c r="T400" s="8" t="str">
        <f t="shared" si="138"/>
        <v>2</v>
      </c>
      <c r="U400" s="8" t="str">
        <f t="shared" si="128"/>
        <v/>
      </c>
      <c r="V400" s="8" t="str">
        <f t="shared" si="129"/>
        <v/>
      </c>
      <c r="W400" s="58" t="str">
        <f t="shared" si="139"/>
        <v/>
      </c>
      <c r="X400" s="8" t="str">
        <f t="shared" si="132"/>
        <v/>
      </c>
      <c r="Y400" s="8" t="str">
        <f t="shared" si="140"/>
        <v/>
      </c>
      <c r="Z400" s="57" t="str">
        <f t="shared" si="141"/>
        <v/>
      </c>
    </row>
    <row r="401" spans="1:26" x14ac:dyDescent="0.3">
      <c r="A401" s="8"/>
      <c r="B401" s="70" t="str">
        <f>IFERROR(VLOOKUP('1-2-2 关键绩效'!$A401,'1-1 基本信息'!$A:$K,7,0),"")</f>
        <v/>
      </c>
      <c r="C401" s="8" t="str">
        <f>IFERROR(VLOOKUP($A401,'1-1 基本信息'!$A:$J,10,0),"")</f>
        <v/>
      </c>
      <c r="D401" s="8" t="str">
        <f>IFERROR(VLOOKUP(A401,'1-1 基本信息'!$A:$I,8,0),"")</f>
        <v/>
      </c>
      <c r="E401" s="57" t="str">
        <f>IFERROR(VLOOKUP($A401,'1-2-1 绩效数据'!$A:$C,3,0),"")</f>
        <v/>
      </c>
      <c r="F401" s="8" t="str">
        <f t="shared" si="133"/>
        <v>2</v>
      </c>
      <c r="G401" s="8" t="str">
        <f t="shared" si="124"/>
        <v/>
      </c>
      <c r="H401" s="8" t="str">
        <f t="shared" si="125"/>
        <v/>
      </c>
      <c r="I401" s="58" t="str">
        <f t="shared" si="134"/>
        <v/>
      </c>
      <c r="J401" s="8" t="str">
        <f t="shared" si="130"/>
        <v/>
      </c>
      <c r="K401" s="8" t="str">
        <f t="shared" si="135"/>
        <v/>
      </c>
      <c r="L401" s="57" t="str">
        <f>IFERROR(VLOOKUP($A401,'1-2-1 绩效数据'!$D:$F,3,0),"")</f>
        <v/>
      </c>
      <c r="M401" s="8" t="str">
        <f t="shared" si="142"/>
        <v>2</v>
      </c>
      <c r="N401" s="8" t="str">
        <f t="shared" si="126"/>
        <v/>
      </c>
      <c r="O401" s="8" t="str">
        <f t="shared" si="127"/>
        <v/>
      </c>
      <c r="P401" s="58" t="str">
        <f t="shared" si="136"/>
        <v/>
      </c>
      <c r="Q401" s="8" t="str">
        <f t="shared" si="131"/>
        <v/>
      </c>
      <c r="R401" s="8" t="str">
        <f t="shared" si="137"/>
        <v/>
      </c>
      <c r="S401" s="57" t="str">
        <f>IFERROR(VLOOKUP(A401,'1-2-1 绩效数据'!$G:$I,3,0),"")</f>
        <v/>
      </c>
      <c r="T401" s="8" t="str">
        <f t="shared" si="138"/>
        <v>2</v>
      </c>
      <c r="U401" s="8" t="str">
        <f t="shared" si="128"/>
        <v/>
      </c>
      <c r="V401" s="8" t="str">
        <f t="shared" si="129"/>
        <v/>
      </c>
      <c r="W401" s="58" t="str">
        <f t="shared" si="139"/>
        <v/>
      </c>
      <c r="X401" s="8" t="str">
        <f t="shared" si="132"/>
        <v/>
      </c>
      <c r="Y401" s="8" t="str">
        <f t="shared" si="140"/>
        <v/>
      </c>
      <c r="Z401" s="57" t="str">
        <f t="shared" si="141"/>
        <v/>
      </c>
    </row>
    <row r="402" spans="1:26" x14ac:dyDescent="0.3">
      <c r="A402" s="8"/>
      <c r="B402" s="70" t="str">
        <f>IFERROR(VLOOKUP('1-2-2 关键绩效'!$A402,'1-1 基本信息'!$A:$K,7,0),"")</f>
        <v/>
      </c>
      <c r="C402" s="8" t="str">
        <f>IFERROR(VLOOKUP($A402,'1-1 基本信息'!$A:$J,10,0),"")</f>
        <v/>
      </c>
      <c r="D402" s="8" t="str">
        <f>IFERROR(VLOOKUP(A402,'1-1 基本信息'!$A:$I,8,0),"")</f>
        <v/>
      </c>
      <c r="E402" s="57" t="str">
        <f>IFERROR(VLOOKUP($A402,'1-2-1 绩效数据'!$A:$C,3,0),"")</f>
        <v/>
      </c>
      <c r="F402" s="8" t="str">
        <f t="shared" si="133"/>
        <v>2</v>
      </c>
      <c r="G402" s="8" t="str">
        <f t="shared" si="124"/>
        <v/>
      </c>
      <c r="H402" s="8" t="str">
        <f t="shared" si="125"/>
        <v/>
      </c>
      <c r="I402" s="58" t="str">
        <f t="shared" si="134"/>
        <v/>
      </c>
      <c r="J402" s="8" t="str">
        <f t="shared" si="130"/>
        <v/>
      </c>
      <c r="K402" s="8" t="str">
        <f t="shared" si="135"/>
        <v/>
      </c>
      <c r="L402" s="57" t="str">
        <f>IFERROR(VLOOKUP($A402,'1-2-1 绩效数据'!$D:$F,3,0),"")</f>
        <v/>
      </c>
      <c r="M402" s="8" t="str">
        <f t="shared" si="142"/>
        <v>2</v>
      </c>
      <c r="N402" s="8" t="str">
        <f t="shared" si="126"/>
        <v/>
      </c>
      <c r="O402" s="8" t="str">
        <f t="shared" si="127"/>
        <v/>
      </c>
      <c r="P402" s="58" t="str">
        <f t="shared" si="136"/>
        <v/>
      </c>
      <c r="Q402" s="8" t="str">
        <f t="shared" si="131"/>
        <v/>
      </c>
      <c r="R402" s="8" t="str">
        <f t="shared" si="137"/>
        <v/>
      </c>
      <c r="S402" s="57" t="str">
        <f>IFERROR(VLOOKUP(A402,'1-2-1 绩效数据'!$G:$I,3,0),"")</f>
        <v/>
      </c>
      <c r="T402" s="8" t="str">
        <f t="shared" si="138"/>
        <v>2</v>
      </c>
      <c r="U402" s="8" t="str">
        <f t="shared" si="128"/>
        <v/>
      </c>
      <c r="V402" s="8" t="str">
        <f t="shared" si="129"/>
        <v/>
      </c>
      <c r="W402" s="58" t="str">
        <f t="shared" si="139"/>
        <v/>
      </c>
      <c r="X402" s="8" t="str">
        <f t="shared" si="132"/>
        <v/>
      </c>
      <c r="Y402" s="8" t="str">
        <f t="shared" si="140"/>
        <v/>
      </c>
      <c r="Z402" s="57" t="str">
        <f t="shared" si="141"/>
        <v/>
      </c>
    </row>
    <row r="403" spans="1:26" x14ac:dyDescent="0.3">
      <c r="A403" s="8"/>
      <c r="B403" s="70" t="str">
        <f>IFERROR(VLOOKUP('1-2-2 关键绩效'!$A403,'1-1 基本信息'!$A:$K,7,0),"")</f>
        <v/>
      </c>
      <c r="C403" s="8" t="str">
        <f>IFERROR(VLOOKUP($A403,'1-1 基本信息'!$A:$J,10,0),"")</f>
        <v/>
      </c>
      <c r="D403" s="8" t="str">
        <f>IFERROR(VLOOKUP(A403,'1-1 基本信息'!$A:$I,8,0),"")</f>
        <v/>
      </c>
      <c r="E403" s="57" t="str">
        <f>IFERROR(VLOOKUP($A403,'1-2-1 绩效数据'!$A:$C,3,0),"")</f>
        <v/>
      </c>
      <c r="F403" s="8" t="str">
        <f t="shared" si="133"/>
        <v>2</v>
      </c>
      <c r="G403" s="8" t="str">
        <f t="shared" si="124"/>
        <v/>
      </c>
      <c r="H403" s="8" t="str">
        <f t="shared" si="125"/>
        <v/>
      </c>
      <c r="I403" s="58" t="str">
        <f t="shared" si="134"/>
        <v/>
      </c>
      <c r="J403" s="8" t="str">
        <f t="shared" si="130"/>
        <v/>
      </c>
      <c r="K403" s="8" t="str">
        <f t="shared" si="135"/>
        <v/>
      </c>
      <c r="L403" s="57" t="str">
        <f>IFERROR(VLOOKUP($A403,'1-2-1 绩效数据'!$D:$F,3,0),"")</f>
        <v/>
      </c>
      <c r="M403" s="8" t="str">
        <f t="shared" si="142"/>
        <v>2</v>
      </c>
      <c r="N403" s="8" t="str">
        <f t="shared" si="126"/>
        <v/>
      </c>
      <c r="O403" s="8" t="str">
        <f t="shared" si="127"/>
        <v/>
      </c>
      <c r="P403" s="58" t="str">
        <f t="shared" si="136"/>
        <v/>
      </c>
      <c r="Q403" s="8" t="str">
        <f t="shared" si="131"/>
        <v/>
      </c>
      <c r="R403" s="8" t="str">
        <f t="shared" si="137"/>
        <v/>
      </c>
      <c r="S403" s="57" t="str">
        <f>IFERROR(VLOOKUP(A403,'1-2-1 绩效数据'!$G:$I,3,0),"")</f>
        <v/>
      </c>
      <c r="T403" s="8" t="str">
        <f t="shared" si="138"/>
        <v>2</v>
      </c>
      <c r="U403" s="8" t="str">
        <f t="shared" si="128"/>
        <v/>
      </c>
      <c r="V403" s="8" t="str">
        <f t="shared" si="129"/>
        <v/>
      </c>
      <c r="W403" s="58" t="str">
        <f t="shared" si="139"/>
        <v/>
      </c>
      <c r="X403" s="8" t="str">
        <f t="shared" si="132"/>
        <v/>
      </c>
      <c r="Y403" s="8" t="str">
        <f t="shared" si="140"/>
        <v/>
      </c>
      <c r="Z403" s="57" t="str">
        <f t="shared" si="141"/>
        <v/>
      </c>
    </row>
    <row r="404" spans="1:26" x14ac:dyDescent="0.3">
      <c r="A404" s="8"/>
      <c r="B404" s="70" t="str">
        <f>IFERROR(VLOOKUP('1-2-2 关键绩效'!$A404,'1-1 基本信息'!$A:$K,7,0),"")</f>
        <v/>
      </c>
      <c r="C404" s="8" t="str">
        <f>IFERROR(VLOOKUP($A404,'1-1 基本信息'!$A:$J,10,0),"")</f>
        <v/>
      </c>
      <c r="D404" s="8" t="str">
        <f>IFERROR(VLOOKUP(A404,'1-1 基本信息'!$A:$I,8,0),"")</f>
        <v/>
      </c>
      <c r="E404" s="57" t="str">
        <f>IFERROR(VLOOKUP($A404,'1-2-1 绩效数据'!$A:$C,3,0),"")</f>
        <v/>
      </c>
      <c r="F404" s="8" t="str">
        <f t="shared" si="133"/>
        <v>2</v>
      </c>
      <c r="G404" s="8" t="str">
        <f t="shared" si="124"/>
        <v/>
      </c>
      <c r="H404" s="8" t="str">
        <f t="shared" si="125"/>
        <v/>
      </c>
      <c r="I404" s="58" t="str">
        <f t="shared" si="134"/>
        <v/>
      </c>
      <c r="J404" s="8" t="str">
        <f t="shared" si="130"/>
        <v/>
      </c>
      <c r="K404" s="8" t="str">
        <f t="shared" si="135"/>
        <v/>
      </c>
      <c r="L404" s="57" t="str">
        <f>IFERROR(VLOOKUP($A404,'1-2-1 绩效数据'!$D:$F,3,0),"")</f>
        <v/>
      </c>
      <c r="M404" s="8" t="str">
        <f t="shared" si="142"/>
        <v>2</v>
      </c>
      <c r="N404" s="8" t="str">
        <f t="shared" si="126"/>
        <v/>
      </c>
      <c r="O404" s="8" t="str">
        <f t="shared" si="127"/>
        <v/>
      </c>
      <c r="P404" s="58" t="str">
        <f t="shared" si="136"/>
        <v/>
      </c>
      <c r="Q404" s="8" t="str">
        <f t="shared" si="131"/>
        <v/>
      </c>
      <c r="R404" s="8" t="str">
        <f t="shared" si="137"/>
        <v/>
      </c>
      <c r="S404" s="57" t="str">
        <f>IFERROR(VLOOKUP(A404,'1-2-1 绩效数据'!$G:$I,3,0),"")</f>
        <v/>
      </c>
      <c r="T404" s="8" t="str">
        <f t="shared" si="138"/>
        <v>2</v>
      </c>
      <c r="U404" s="8" t="str">
        <f t="shared" si="128"/>
        <v/>
      </c>
      <c r="V404" s="8" t="str">
        <f t="shared" si="129"/>
        <v/>
      </c>
      <c r="W404" s="58" t="str">
        <f t="shared" si="139"/>
        <v/>
      </c>
      <c r="X404" s="8" t="str">
        <f t="shared" si="132"/>
        <v/>
      </c>
      <c r="Y404" s="8" t="str">
        <f t="shared" si="140"/>
        <v/>
      </c>
      <c r="Z404" s="57" t="str">
        <f t="shared" si="141"/>
        <v/>
      </c>
    </row>
    <row r="405" spans="1:26" x14ac:dyDescent="0.3">
      <c r="A405" s="8"/>
      <c r="B405" s="70" t="str">
        <f>IFERROR(VLOOKUP('1-2-2 关键绩效'!$A405,'1-1 基本信息'!$A:$K,7,0),"")</f>
        <v/>
      </c>
      <c r="C405" s="8" t="str">
        <f>IFERROR(VLOOKUP($A405,'1-1 基本信息'!$A:$J,10,0),"")</f>
        <v/>
      </c>
      <c r="D405" s="8" t="str">
        <f>IFERROR(VLOOKUP(A405,'1-1 基本信息'!$A:$I,8,0),"")</f>
        <v/>
      </c>
      <c r="E405" s="57" t="str">
        <f>IFERROR(VLOOKUP($A405,'1-2-1 绩效数据'!$A:$C,3,0),"")</f>
        <v/>
      </c>
      <c r="F405" s="8" t="str">
        <f t="shared" si="133"/>
        <v>2</v>
      </c>
      <c r="G405" s="8" t="str">
        <f t="shared" si="124"/>
        <v/>
      </c>
      <c r="H405" s="8" t="str">
        <f t="shared" si="125"/>
        <v/>
      </c>
      <c r="I405" s="58" t="str">
        <f t="shared" si="134"/>
        <v/>
      </c>
      <c r="J405" s="8" t="str">
        <f t="shared" si="130"/>
        <v/>
      </c>
      <c r="K405" s="8" t="str">
        <f t="shared" si="135"/>
        <v/>
      </c>
      <c r="L405" s="57" t="str">
        <f>IFERROR(VLOOKUP($A405,'1-2-1 绩效数据'!$D:$F,3,0),"")</f>
        <v/>
      </c>
      <c r="M405" s="8" t="str">
        <f t="shared" si="142"/>
        <v>2</v>
      </c>
      <c r="N405" s="8" t="str">
        <f t="shared" si="126"/>
        <v/>
      </c>
      <c r="O405" s="8" t="str">
        <f t="shared" si="127"/>
        <v/>
      </c>
      <c r="P405" s="58" t="str">
        <f t="shared" si="136"/>
        <v/>
      </c>
      <c r="Q405" s="8" t="str">
        <f t="shared" si="131"/>
        <v/>
      </c>
      <c r="R405" s="8" t="str">
        <f t="shared" si="137"/>
        <v/>
      </c>
      <c r="S405" s="57" t="str">
        <f>IFERROR(VLOOKUP(A405,'1-2-1 绩效数据'!$G:$I,3,0),"")</f>
        <v/>
      </c>
      <c r="T405" s="8" t="str">
        <f t="shared" si="138"/>
        <v>2</v>
      </c>
      <c r="U405" s="8" t="str">
        <f t="shared" si="128"/>
        <v/>
      </c>
      <c r="V405" s="8" t="str">
        <f t="shared" si="129"/>
        <v/>
      </c>
      <c r="W405" s="58" t="str">
        <f t="shared" si="139"/>
        <v/>
      </c>
      <c r="X405" s="8" t="str">
        <f t="shared" si="132"/>
        <v/>
      </c>
      <c r="Y405" s="8" t="str">
        <f t="shared" si="140"/>
        <v/>
      </c>
      <c r="Z405" s="57" t="str">
        <f t="shared" si="141"/>
        <v/>
      </c>
    </row>
    <row r="406" spans="1:26" x14ac:dyDescent="0.3">
      <c r="A406" s="8"/>
      <c r="B406" s="70" t="str">
        <f>IFERROR(VLOOKUP('1-2-2 关键绩效'!$A406,'1-1 基本信息'!$A:$K,7,0),"")</f>
        <v/>
      </c>
      <c r="C406" s="8" t="str">
        <f>IFERROR(VLOOKUP($A406,'1-1 基本信息'!$A:$J,10,0),"")</f>
        <v/>
      </c>
      <c r="D406" s="8" t="str">
        <f>IFERROR(VLOOKUP(A406,'1-1 基本信息'!$A:$I,8,0),"")</f>
        <v/>
      </c>
      <c r="E406" s="57" t="str">
        <f>IFERROR(VLOOKUP($A406,'1-2-1 绩效数据'!$A:$C,3,0),"")</f>
        <v/>
      </c>
      <c r="F406" s="8" t="str">
        <f t="shared" si="133"/>
        <v>2</v>
      </c>
      <c r="G406" s="8" t="str">
        <f t="shared" si="124"/>
        <v/>
      </c>
      <c r="H406" s="8" t="str">
        <f t="shared" si="125"/>
        <v/>
      </c>
      <c r="I406" s="58" t="str">
        <f t="shared" si="134"/>
        <v/>
      </c>
      <c r="J406" s="8" t="str">
        <f t="shared" si="130"/>
        <v/>
      </c>
      <c r="K406" s="8" t="str">
        <f t="shared" si="135"/>
        <v/>
      </c>
      <c r="L406" s="57" t="str">
        <f>IFERROR(VLOOKUP($A406,'1-2-1 绩效数据'!$D:$F,3,0),"")</f>
        <v/>
      </c>
      <c r="M406" s="8" t="str">
        <f t="shared" si="142"/>
        <v>2</v>
      </c>
      <c r="N406" s="8" t="str">
        <f t="shared" si="126"/>
        <v/>
      </c>
      <c r="O406" s="8" t="str">
        <f t="shared" si="127"/>
        <v/>
      </c>
      <c r="P406" s="58" t="str">
        <f t="shared" si="136"/>
        <v/>
      </c>
      <c r="Q406" s="8" t="str">
        <f t="shared" si="131"/>
        <v/>
      </c>
      <c r="R406" s="8" t="str">
        <f t="shared" si="137"/>
        <v/>
      </c>
      <c r="S406" s="57" t="str">
        <f>IFERROR(VLOOKUP(A406,'1-2-1 绩效数据'!$G:$I,3,0),"")</f>
        <v/>
      </c>
      <c r="T406" s="8" t="str">
        <f t="shared" si="138"/>
        <v>2</v>
      </c>
      <c r="U406" s="8" t="str">
        <f t="shared" si="128"/>
        <v/>
      </c>
      <c r="V406" s="8" t="str">
        <f t="shared" si="129"/>
        <v/>
      </c>
      <c r="W406" s="58" t="str">
        <f t="shared" si="139"/>
        <v/>
      </c>
      <c r="X406" s="8" t="str">
        <f t="shared" si="132"/>
        <v/>
      </c>
      <c r="Y406" s="8" t="str">
        <f t="shared" si="140"/>
        <v/>
      </c>
      <c r="Z406" s="57" t="str">
        <f t="shared" si="141"/>
        <v/>
      </c>
    </row>
    <row r="407" spans="1:26" x14ac:dyDescent="0.3">
      <c r="A407" s="8"/>
      <c r="B407" s="70" t="str">
        <f>IFERROR(VLOOKUP('1-2-2 关键绩效'!$A407,'1-1 基本信息'!$A:$K,7,0),"")</f>
        <v/>
      </c>
      <c r="C407" s="8" t="str">
        <f>IFERROR(VLOOKUP($A407,'1-1 基本信息'!$A:$J,10,0),"")</f>
        <v/>
      </c>
      <c r="D407" s="8" t="str">
        <f>IFERROR(VLOOKUP(A407,'1-1 基本信息'!$A:$I,8,0),"")</f>
        <v/>
      </c>
      <c r="E407" s="57" t="str">
        <f>IFERROR(VLOOKUP($A407,'1-2-1 绩效数据'!$A:$C,3,0),"")</f>
        <v/>
      </c>
      <c r="F407" s="8" t="str">
        <f t="shared" si="133"/>
        <v>2</v>
      </c>
      <c r="G407" s="8" t="str">
        <f t="shared" si="124"/>
        <v/>
      </c>
      <c r="H407" s="8" t="str">
        <f t="shared" si="125"/>
        <v/>
      </c>
      <c r="I407" s="58" t="str">
        <f t="shared" si="134"/>
        <v/>
      </c>
      <c r="J407" s="8" t="str">
        <f t="shared" si="130"/>
        <v/>
      </c>
      <c r="K407" s="8" t="str">
        <f t="shared" si="135"/>
        <v/>
      </c>
      <c r="L407" s="57" t="str">
        <f>IFERROR(VLOOKUP($A407,'1-2-1 绩效数据'!$D:$F,3,0),"")</f>
        <v/>
      </c>
      <c r="M407" s="8" t="str">
        <f t="shared" si="142"/>
        <v>2</v>
      </c>
      <c r="N407" s="8" t="str">
        <f t="shared" si="126"/>
        <v/>
      </c>
      <c r="O407" s="8" t="str">
        <f t="shared" si="127"/>
        <v/>
      </c>
      <c r="P407" s="58" t="str">
        <f t="shared" si="136"/>
        <v/>
      </c>
      <c r="Q407" s="8" t="str">
        <f t="shared" si="131"/>
        <v/>
      </c>
      <c r="R407" s="8" t="str">
        <f t="shared" si="137"/>
        <v/>
      </c>
      <c r="S407" s="57" t="str">
        <f>IFERROR(VLOOKUP(A407,'1-2-1 绩效数据'!$G:$I,3,0),"")</f>
        <v/>
      </c>
      <c r="T407" s="8" t="str">
        <f t="shared" si="138"/>
        <v>2</v>
      </c>
      <c r="U407" s="8" t="str">
        <f t="shared" si="128"/>
        <v/>
      </c>
      <c r="V407" s="8" t="str">
        <f t="shared" si="129"/>
        <v/>
      </c>
      <c r="W407" s="58" t="str">
        <f t="shared" si="139"/>
        <v/>
      </c>
      <c r="X407" s="8" t="str">
        <f t="shared" si="132"/>
        <v/>
      </c>
      <c r="Y407" s="8" t="str">
        <f t="shared" si="140"/>
        <v/>
      </c>
      <c r="Z407" s="57" t="str">
        <f t="shared" si="141"/>
        <v/>
      </c>
    </row>
    <row r="408" spans="1:26" x14ac:dyDescent="0.3">
      <c r="A408" s="8"/>
      <c r="B408" s="70" t="str">
        <f>IFERROR(VLOOKUP('1-2-2 关键绩效'!$A408,'1-1 基本信息'!$A:$K,7,0),"")</f>
        <v/>
      </c>
      <c r="C408" s="8" t="str">
        <f>IFERROR(VLOOKUP($A408,'1-1 基本信息'!$A:$J,10,0),"")</f>
        <v/>
      </c>
      <c r="D408" s="8" t="str">
        <f>IFERROR(VLOOKUP(A408,'1-1 基本信息'!$A:$I,8,0),"")</f>
        <v/>
      </c>
      <c r="E408" s="57" t="str">
        <f>IFERROR(VLOOKUP($A408,'1-2-1 绩效数据'!$A:$C,3,0),"")</f>
        <v/>
      </c>
      <c r="F408" s="8" t="str">
        <f t="shared" si="133"/>
        <v>2</v>
      </c>
      <c r="G408" s="8" t="str">
        <f t="shared" si="124"/>
        <v/>
      </c>
      <c r="H408" s="8" t="str">
        <f t="shared" si="125"/>
        <v/>
      </c>
      <c r="I408" s="58" t="str">
        <f t="shared" si="134"/>
        <v/>
      </c>
      <c r="J408" s="8" t="str">
        <f t="shared" si="130"/>
        <v/>
      </c>
      <c r="K408" s="8" t="str">
        <f t="shared" si="135"/>
        <v/>
      </c>
      <c r="L408" s="57" t="str">
        <f>IFERROR(VLOOKUP($A408,'1-2-1 绩效数据'!$D:$F,3,0),"")</f>
        <v/>
      </c>
      <c r="M408" s="8" t="str">
        <f t="shared" si="142"/>
        <v>2</v>
      </c>
      <c r="N408" s="8" t="str">
        <f t="shared" si="126"/>
        <v/>
      </c>
      <c r="O408" s="8" t="str">
        <f t="shared" si="127"/>
        <v/>
      </c>
      <c r="P408" s="58" t="str">
        <f t="shared" si="136"/>
        <v/>
      </c>
      <c r="Q408" s="8" t="str">
        <f t="shared" si="131"/>
        <v/>
      </c>
      <c r="R408" s="8" t="str">
        <f t="shared" si="137"/>
        <v/>
      </c>
      <c r="S408" s="57" t="str">
        <f>IFERROR(VLOOKUP(A408,'1-2-1 绩效数据'!$G:$I,3,0),"")</f>
        <v/>
      </c>
      <c r="T408" s="8" t="str">
        <f t="shared" si="138"/>
        <v>2</v>
      </c>
      <c r="U408" s="8" t="str">
        <f t="shared" si="128"/>
        <v/>
      </c>
      <c r="V408" s="8" t="str">
        <f t="shared" si="129"/>
        <v/>
      </c>
      <c r="W408" s="58" t="str">
        <f t="shared" si="139"/>
        <v/>
      </c>
      <c r="X408" s="8" t="str">
        <f t="shared" si="132"/>
        <v/>
      </c>
      <c r="Y408" s="8" t="str">
        <f t="shared" si="140"/>
        <v/>
      </c>
      <c r="Z408" s="57" t="str">
        <f t="shared" si="141"/>
        <v/>
      </c>
    </row>
    <row r="409" spans="1:26" x14ac:dyDescent="0.3">
      <c r="A409" s="8"/>
      <c r="B409" s="70" t="str">
        <f>IFERROR(VLOOKUP('1-2-2 关键绩效'!$A409,'1-1 基本信息'!$A:$K,7,0),"")</f>
        <v/>
      </c>
      <c r="C409" s="8" t="str">
        <f>IFERROR(VLOOKUP($A409,'1-1 基本信息'!$A:$J,10,0),"")</f>
        <v/>
      </c>
      <c r="D409" s="8" t="str">
        <f>IFERROR(VLOOKUP(A409,'1-1 基本信息'!$A:$I,8,0),"")</f>
        <v/>
      </c>
      <c r="E409" s="57" t="str">
        <f>IFERROR(VLOOKUP($A409,'1-2-1 绩效数据'!$A:$C,3,0),"")</f>
        <v/>
      </c>
      <c r="F409" s="8" t="str">
        <f t="shared" si="133"/>
        <v>2</v>
      </c>
      <c r="G409" s="8" t="str">
        <f t="shared" si="124"/>
        <v/>
      </c>
      <c r="H409" s="8" t="str">
        <f t="shared" si="125"/>
        <v/>
      </c>
      <c r="I409" s="58" t="str">
        <f t="shared" si="134"/>
        <v/>
      </c>
      <c r="J409" s="8" t="str">
        <f t="shared" si="130"/>
        <v/>
      </c>
      <c r="K409" s="8" t="str">
        <f t="shared" si="135"/>
        <v/>
      </c>
      <c r="L409" s="57" t="str">
        <f>IFERROR(VLOOKUP($A409,'1-2-1 绩效数据'!$D:$F,3,0),"")</f>
        <v/>
      </c>
      <c r="M409" s="8" t="str">
        <f t="shared" si="142"/>
        <v>2</v>
      </c>
      <c r="N409" s="8" t="str">
        <f t="shared" si="126"/>
        <v/>
      </c>
      <c r="O409" s="8" t="str">
        <f t="shared" si="127"/>
        <v/>
      </c>
      <c r="P409" s="58" t="str">
        <f t="shared" si="136"/>
        <v/>
      </c>
      <c r="Q409" s="8" t="str">
        <f t="shared" si="131"/>
        <v/>
      </c>
      <c r="R409" s="8" t="str">
        <f t="shared" si="137"/>
        <v/>
      </c>
      <c r="S409" s="57" t="str">
        <f>IFERROR(VLOOKUP(A409,'1-2-1 绩效数据'!$G:$I,3,0),"")</f>
        <v/>
      </c>
      <c r="T409" s="8" t="str">
        <f t="shared" si="138"/>
        <v>2</v>
      </c>
      <c r="U409" s="8" t="str">
        <f t="shared" si="128"/>
        <v/>
      </c>
      <c r="V409" s="8" t="str">
        <f t="shared" si="129"/>
        <v/>
      </c>
      <c r="W409" s="58" t="str">
        <f t="shared" si="139"/>
        <v/>
      </c>
      <c r="X409" s="8" t="str">
        <f t="shared" si="132"/>
        <v/>
      </c>
      <c r="Y409" s="8" t="str">
        <f t="shared" si="140"/>
        <v/>
      </c>
      <c r="Z409" s="57" t="str">
        <f t="shared" si="141"/>
        <v/>
      </c>
    </row>
    <row r="410" spans="1:26" x14ac:dyDescent="0.3">
      <c r="A410" s="8"/>
      <c r="B410" s="70" t="str">
        <f>IFERROR(VLOOKUP('1-2-2 关键绩效'!$A410,'1-1 基本信息'!$A:$K,7,0),"")</f>
        <v/>
      </c>
      <c r="C410" s="8" t="str">
        <f>IFERROR(VLOOKUP($A410,'1-1 基本信息'!$A:$J,10,0),"")</f>
        <v/>
      </c>
      <c r="D410" s="8" t="str">
        <f>IFERROR(VLOOKUP(A410,'1-1 基本信息'!$A:$I,8,0),"")</f>
        <v/>
      </c>
      <c r="E410" s="57" t="str">
        <f>IFERROR(VLOOKUP($A410,'1-2-1 绩效数据'!$A:$C,3,0),"")</f>
        <v/>
      </c>
      <c r="F410" s="8" t="str">
        <f t="shared" si="133"/>
        <v>2</v>
      </c>
      <c r="G410" s="8" t="str">
        <f t="shared" si="124"/>
        <v/>
      </c>
      <c r="H410" s="8" t="str">
        <f t="shared" si="125"/>
        <v/>
      </c>
      <c r="I410" s="58" t="str">
        <f t="shared" si="134"/>
        <v/>
      </c>
      <c r="J410" s="8" t="str">
        <f t="shared" si="130"/>
        <v/>
      </c>
      <c r="K410" s="8" t="str">
        <f t="shared" si="135"/>
        <v/>
      </c>
      <c r="L410" s="57" t="str">
        <f>IFERROR(VLOOKUP($A410,'1-2-1 绩效数据'!$D:$F,3,0),"")</f>
        <v/>
      </c>
      <c r="M410" s="8" t="str">
        <f t="shared" si="142"/>
        <v>2</v>
      </c>
      <c r="N410" s="8" t="str">
        <f t="shared" si="126"/>
        <v/>
      </c>
      <c r="O410" s="8" t="str">
        <f t="shared" si="127"/>
        <v/>
      </c>
      <c r="P410" s="58" t="str">
        <f t="shared" si="136"/>
        <v/>
      </c>
      <c r="Q410" s="8" t="str">
        <f t="shared" si="131"/>
        <v/>
      </c>
      <c r="R410" s="8" t="str">
        <f t="shared" si="137"/>
        <v/>
      </c>
      <c r="S410" s="57" t="str">
        <f>IFERROR(VLOOKUP(A410,'1-2-1 绩效数据'!$G:$I,3,0),"")</f>
        <v/>
      </c>
      <c r="T410" s="8" t="str">
        <f t="shared" si="138"/>
        <v>2</v>
      </c>
      <c r="U410" s="8" t="str">
        <f t="shared" si="128"/>
        <v/>
      </c>
      <c r="V410" s="8" t="str">
        <f t="shared" si="129"/>
        <v/>
      </c>
      <c r="W410" s="58" t="str">
        <f t="shared" si="139"/>
        <v/>
      </c>
      <c r="X410" s="8" t="str">
        <f t="shared" si="132"/>
        <v/>
      </c>
      <c r="Y410" s="8" t="str">
        <f t="shared" si="140"/>
        <v/>
      </c>
      <c r="Z410" s="57" t="str">
        <f t="shared" si="141"/>
        <v/>
      </c>
    </row>
    <row r="411" spans="1:26" x14ac:dyDescent="0.3">
      <c r="A411" s="8"/>
      <c r="B411" s="70" t="str">
        <f>IFERROR(VLOOKUP('1-2-2 关键绩效'!$A411,'1-1 基本信息'!$A:$K,7,0),"")</f>
        <v/>
      </c>
      <c r="C411" s="8" t="str">
        <f>IFERROR(VLOOKUP($A411,'1-1 基本信息'!$A:$J,10,0),"")</f>
        <v/>
      </c>
      <c r="D411" s="8" t="str">
        <f>IFERROR(VLOOKUP(A411,'1-1 基本信息'!$A:$I,8,0),"")</f>
        <v/>
      </c>
      <c r="E411" s="57" t="str">
        <f>IFERROR(VLOOKUP($A411,'1-2-1 绩效数据'!$A:$C,3,0),"")</f>
        <v/>
      </c>
      <c r="F411" s="8" t="str">
        <f t="shared" si="133"/>
        <v>2</v>
      </c>
      <c r="G411" s="8" t="str">
        <f t="shared" si="124"/>
        <v/>
      </c>
      <c r="H411" s="8" t="str">
        <f t="shared" si="125"/>
        <v/>
      </c>
      <c r="I411" s="58" t="str">
        <f t="shared" si="134"/>
        <v/>
      </c>
      <c r="J411" s="8" t="str">
        <f t="shared" si="130"/>
        <v/>
      </c>
      <c r="K411" s="8" t="str">
        <f t="shared" si="135"/>
        <v/>
      </c>
      <c r="L411" s="57" t="str">
        <f>IFERROR(VLOOKUP($A411,'1-2-1 绩效数据'!$D:$F,3,0),"")</f>
        <v/>
      </c>
      <c r="M411" s="8" t="str">
        <f t="shared" si="142"/>
        <v>2</v>
      </c>
      <c r="N411" s="8" t="str">
        <f t="shared" si="126"/>
        <v/>
      </c>
      <c r="O411" s="8" t="str">
        <f t="shared" si="127"/>
        <v/>
      </c>
      <c r="P411" s="58" t="str">
        <f t="shared" si="136"/>
        <v/>
      </c>
      <c r="Q411" s="8" t="str">
        <f t="shared" si="131"/>
        <v/>
      </c>
      <c r="R411" s="8" t="str">
        <f t="shared" si="137"/>
        <v/>
      </c>
      <c r="S411" s="57" t="str">
        <f>IFERROR(VLOOKUP(A411,'1-2-1 绩效数据'!$G:$I,3,0),"")</f>
        <v/>
      </c>
      <c r="T411" s="8" t="str">
        <f t="shared" si="138"/>
        <v>2</v>
      </c>
      <c r="U411" s="8" t="str">
        <f t="shared" si="128"/>
        <v/>
      </c>
      <c r="V411" s="8" t="str">
        <f t="shared" si="129"/>
        <v/>
      </c>
      <c r="W411" s="58" t="str">
        <f t="shared" si="139"/>
        <v/>
      </c>
      <c r="X411" s="8" t="str">
        <f t="shared" si="132"/>
        <v/>
      </c>
      <c r="Y411" s="8" t="str">
        <f t="shared" si="140"/>
        <v/>
      </c>
      <c r="Z411" s="57" t="str">
        <f t="shared" si="141"/>
        <v/>
      </c>
    </row>
    <row r="412" spans="1:26" x14ac:dyDescent="0.3">
      <c r="A412" s="8"/>
      <c r="B412" s="70" t="str">
        <f>IFERROR(VLOOKUP('1-2-2 关键绩效'!$A412,'1-1 基本信息'!$A:$K,7,0),"")</f>
        <v/>
      </c>
      <c r="C412" s="8" t="str">
        <f>IFERROR(VLOOKUP($A412,'1-1 基本信息'!$A:$J,10,0),"")</f>
        <v/>
      </c>
      <c r="D412" s="8" t="str">
        <f>IFERROR(VLOOKUP(A412,'1-1 基本信息'!$A:$I,8,0),"")</f>
        <v/>
      </c>
      <c r="E412" s="57" t="str">
        <f>IFERROR(VLOOKUP($A412,'1-2-1 绩效数据'!$A:$C,3,0),"")</f>
        <v/>
      </c>
      <c r="F412" s="8" t="str">
        <f t="shared" si="133"/>
        <v>2</v>
      </c>
      <c r="G412" s="8" t="str">
        <f t="shared" si="124"/>
        <v/>
      </c>
      <c r="H412" s="8" t="str">
        <f t="shared" si="125"/>
        <v/>
      </c>
      <c r="I412" s="58" t="str">
        <f t="shared" si="134"/>
        <v/>
      </c>
      <c r="J412" s="8" t="str">
        <f t="shared" si="130"/>
        <v/>
      </c>
      <c r="K412" s="8" t="str">
        <f t="shared" si="135"/>
        <v/>
      </c>
      <c r="L412" s="57" t="str">
        <f>IFERROR(VLOOKUP($A412,'1-2-1 绩效数据'!$D:$F,3,0),"")</f>
        <v/>
      </c>
      <c r="M412" s="8" t="str">
        <f t="shared" si="142"/>
        <v>2</v>
      </c>
      <c r="N412" s="8" t="str">
        <f t="shared" si="126"/>
        <v/>
      </c>
      <c r="O412" s="8" t="str">
        <f t="shared" si="127"/>
        <v/>
      </c>
      <c r="P412" s="58" t="str">
        <f t="shared" si="136"/>
        <v/>
      </c>
      <c r="Q412" s="8" t="str">
        <f t="shared" si="131"/>
        <v/>
      </c>
      <c r="R412" s="8" t="str">
        <f t="shared" si="137"/>
        <v/>
      </c>
      <c r="S412" s="57" t="str">
        <f>IFERROR(VLOOKUP(A412,'1-2-1 绩效数据'!$G:$I,3,0),"")</f>
        <v/>
      </c>
      <c r="T412" s="8" t="str">
        <f t="shared" si="138"/>
        <v>2</v>
      </c>
      <c r="U412" s="8" t="str">
        <f t="shared" si="128"/>
        <v/>
      </c>
      <c r="V412" s="8" t="str">
        <f t="shared" si="129"/>
        <v/>
      </c>
      <c r="W412" s="58" t="str">
        <f t="shared" si="139"/>
        <v/>
      </c>
      <c r="X412" s="8" t="str">
        <f t="shared" si="132"/>
        <v/>
      </c>
      <c r="Y412" s="8" t="str">
        <f t="shared" si="140"/>
        <v/>
      </c>
      <c r="Z412" s="57" t="str">
        <f t="shared" si="141"/>
        <v/>
      </c>
    </row>
    <row r="413" spans="1:26" x14ac:dyDescent="0.3">
      <c r="A413" s="8"/>
      <c r="B413" s="70" t="str">
        <f>IFERROR(VLOOKUP('1-2-2 关键绩效'!$A413,'1-1 基本信息'!$A:$K,7,0),"")</f>
        <v/>
      </c>
      <c r="C413" s="8" t="str">
        <f>IFERROR(VLOOKUP($A413,'1-1 基本信息'!$A:$J,10,0),"")</f>
        <v/>
      </c>
      <c r="D413" s="8" t="str">
        <f>IFERROR(VLOOKUP(A413,'1-1 基本信息'!$A:$I,8,0),"")</f>
        <v/>
      </c>
      <c r="E413" s="57" t="str">
        <f>IFERROR(VLOOKUP($A413,'1-2-1 绩效数据'!$A:$C,3,0),"")</f>
        <v/>
      </c>
      <c r="F413" s="8" t="str">
        <f t="shared" si="133"/>
        <v>2</v>
      </c>
      <c r="G413" s="8" t="str">
        <f t="shared" si="124"/>
        <v/>
      </c>
      <c r="H413" s="8" t="str">
        <f t="shared" si="125"/>
        <v/>
      </c>
      <c r="I413" s="58" t="str">
        <f t="shared" si="134"/>
        <v/>
      </c>
      <c r="J413" s="8" t="str">
        <f t="shared" si="130"/>
        <v/>
      </c>
      <c r="K413" s="8" t="str">
        <f t="shared" si="135"/>
        <v/>
      </c>
      <c r="L413" s="57" t="str">
        <f>IFERROR(VLOOKUP($A413,'1-2-1 绩效数据'!$D:$F,3,0),"")</f>
        <v/>
      </c>
      <c r="M413" s="8" t="str">
        <f t="shared" si="142"/>
        <v>2</v>
      </c>
      <c r="N413" s="8" t="str">
        <f t="shared" si="126"/>
        <v/>
      </c>
      <c r="O413" s="8" t="str">
        <f t="shared" si="127"/>
        <v/>
      </c>
      <c r="P413" s="58" t="str">
        <f t="shared" si="136"/>
        <v/>
      </c>
      <c r="Q413" s="8" t="str">
        <f t="shared" si="131"/>
        <v/>
      </c>
      <c r="R413" s="8" t="str">
        <f t="shared" si="137"/>
        <v/>
      </c>
      <c r="S413" s="57" t="str">
        <f>IFERROR(VLOOKUP(A413,'1-2-1 绩效数据'!$G:$I,3,0),"")</f>
        <v/>
      </c>
      <c r="T413" s="8" t="str">
        <f t="shared" si="138"/>
        <v>2</v>
      </c>
      <c r="U413" s="8" t="str">
        <f t="shared" si="128"/>
        <v/>
      </c>
      <c r="V413" s="8" t="str">
        <f t="shared" si="129"/>
        <v/>
      </c>
      <c r="W413" s="58" t="str">
        <f t="shared" si="139"/>
        <v/>
      </c>
      <c r="X413" s="8" t="str">
        <f t="shared" si="132"/>
        <v/>
      </c>
      <c r="Y413" s="8" t="str">
        <f t="shared" si="140"/>
        <v/>
      </c>
      <c r="Z413" s="57" t="str">
        <f t="shared" si="141"/>
        <v/>
      </c>
    </row>
    <row r="414" spans="1:26" x14ac:dyDescent="0.3">
      <c r="A414" s="8"/>
      <c r="B414" s="70" t="str">
        <f>IFERROR(VLOOKUP('1-2-2 关键绩效'!$A414,'1-1 基本信息'!$A:$K,7,0),"")</f>
        <v/>
      </c>
      <c r="C414" s="8" t="str">
        <f>IFERROR(VLOOKUP($A414,'1-1 基本信息'!$A:$J,10,0),"")</f>
        <v/>
      </c>
      <c r="D414" s="8" t="str">
        <f>IFERROR(VLOOKUP(A414,'1-1 基本信息'!$A:$I,8,0),"")</f>
        <v/>
      </c>
      <c r="E414" s="57" t="str">
        <f>IFERROR(VLOOKUP($A414,'1-2-1 绩效数据'!$A:$C,3,0),"")</f>
        <v/>
      </c>
      <c r="F414" s="8" t="str">
        <f t="shared" si="133"/>
        <v>2</v>
      </c>
      <c r="G414" s="8" t="str">
        <f t="shared" si="124"/>
        <v/>
      </c>
      <c r="H414" s="8" t="str">
        <f t="shared" si="125"/>
        <v/>
      </c>
      <c r="I414" s="58" t="str">
        <f t="shared" si="134"/>
        <v/>
      </c>
      <c r="J414" s="8" t="str">
        <f t="shared" si="130"/>
        <v/>
      </c>
      <c r="K414" s="8" t="str">
        <f t="shared" si="135"/>
        <v/>
      </c>
      <c r="L414" s="57" t="str">
        <f>IFERROR(VLOOKUP($A414,'1-2-1 绩效数据'!$D:$F,3,0),"")</f>
        <v/>
      </c>
      <c r="M414" s="8" t="str">
        <f t="shared" si="142"/>
        <v>2</v>
      </c>
      <c r="N414" s="8" t="str">
        <f t="shared" si="126"/>
        <v/>
      </c>
      <c r="O414" s="8" t="str">
        <f t="shared" si="127"/>
        <v/>
      </c>
      <c r="P414" s="58" t="str">
        <f t="shared" si="136"/>
        <v/>
      </c>
      <c r="Q414" s="8" t="str">
        <f t="shared" si="131"/>
        <v/>
      </c>
      <c r="R414" s="8" t="str">
        <f t="shared" si="137"/>
        <v/>
      </c>
      <c r="S414" s="57" t="str">
        <f>IFERROR(VLOOKUP(A414,'1-2-1 绩效数据'!$G:$I,3,0),"")</f>
        <v/>
      </c>
      <c r="T414" s="8" t="str">
        <f t="shared" si="138"/>
        <v>2</v>
      </c>
      <c r="U414" s="8" t="str">
        <f t="shared" si="128"/>
        <v/>
      </c>
      <c r="V414" s="8" t="str">
        <f t="shared" si="129"/>
        <v/>
      </c>
      <c r="W414" s="58" t="str">
        <f t="shared" si="139"/>
        <v/>
      </c>
      <c r="X414" s="8" t="str">
        <f t="shared" si="132"/>
        <v/>
      </c>
      <c r="Y414" s="8" t="str">
        <f t="shared" si="140"/>
        <v/>
      </c>
      <c r="Z414" s="57" t="str">
        <f t="shared" si="141"/>
        <v/>
      </c>
    </row>
    <row r="415" spans="1:26" x14ac:dyDescent="0.3">
      <c r="A415" s="8"/>
      <c r="B415" s="70" t="str">
        <f>IFERROR(VLOOKUP('1-2-2 关键绩效'!$A415,'1-1 基本信息'!$A:$K,7,0),"")</f>
        <v/>
      </c>
      <c r="C415" s="8" t="str">
        <f>IFERROR(VLOOKUP($A415,'1-1 基本信息'!$A:$J,10,0),"")</f>
        <v/>
      </c>
      <c r="D415" s="8" t="str">
        <f>IFERROR(VLOOKUP(A415,'1-1 基本信息'!$A:$I,8,0),"")</f>
        <v/>
      </c>
      <c r="E415" s="57" t="str">
        <f>IFERROR(VLOOKUP($A415,'1-2-1 绩效数据'!$A:$C,3,0),"")</f>
        <v/>
      </c>
      <c r="F415" s="8" t="str">
        <f t="shared" si="133"/>
        <v>2</v>
      </c>
      <c r="G415" s="8" t="str">
        <f t="shared" si="124"/>
        <v/>
      </c>
      <c r="H415" s="8" t="str">
        <f t="shared" si="125"/>
        <v/>
      </c>
      <c r="I415" s="58" t="str">
        <f t="shared" si="134"/>
        <v/>
      </c>
      <c r="J415" s="8" t="str">
        <f t="shared" si="130"/>
        <v/>
      </c>
      <c r="K415" s="8" t="str">
        <f t="shared" si="135"/>
        <v/>
      </c>
      <c r="L415" s="57" t="str">
        <f>IFERROR(VLOOKUP($A415,'1-2-1 绩效数据'!$D:$F,3,0),"")</f>
        <v/>
      </c>
      <c r="M415" s="8" t="str">
        <f t="shared" si="142"/>
        <v>2</v>
      </c>
      <c r="N415" s="8" t="str">
        <f t="shared" si="126"/>
        <v/>
      </c>
      <c r="O415" s="8" t="str">
        <f t="shared" si="127"/>
        <v/>
      </c>
      <c r="P415" s="58" t="str">
        <f t="shared" si="136"/>
        <v/>
      </c>
      <c r="Q415" s="8" t="str">
        <f t="shared" si="131"/>
        <v/>
      </c>
      <c r="R415" s="8" t="str">
        <f t="shared" si="137"/>
        <v/>
      </c>
      <c r="S415" s="57" t="str">
        <f>IFERROR(VLOOKUP(A415,'1-2-1 绩效数据'!$G:$I,3,0),"")</f>
        <v/>
      </c>
      <c r="T415" s="8" t="str">
        <f t="shared" si="138"/>
        <v>2</v>
      </c>
      <c r="U415" s="8" t="str">
        <f t="shared" si="128"/>
        <v/>
      </c>
      <c r="V415" s="8" t="str">
        <f t="shared" si="129"/>
        <v/>
      </c>
      <c r="W415" s="58" t="str">
        <f t="shared" si="139"/>
        <v/>
      </c>
      <c r="X415" s="8" t="str">
        <f t="shared" si="132"/>
        <v/>
      </c>
      <c r="Y415" s="8" t="str">
        <f t="shared" si="140"/>
        <v/>
      </c>
      <c r="Z415" s="57" t="str">
        <f t="shared" si="141"/>
        <v/>
      </c>
    </row>
    <row r="416" spans="1:26" x14ac:dyDescent="0.3">
      <c r="A416" s="8"/>
      <c r="B416" s="70" t="str">
        <f>IFERROR(VLOOKUP('1-2-2 关键绩效'!$A416,'1-1 基本信息'!$A:$K,7,0),"")</f>
        <v/>
      </c>
      <c r="C416" s="8" t="str">
        <f>IFERROR(VLOOKUP($A416,'1-1 基本信息'!$A:$J,10,0),"")</f>
        <v/>
      </c>
      <c r="D416" s="8" t="str">
        <f>IFERROR(VLOOKUP(A416,'1-1 基本信息'!$A:$I,8,0),"")</f>
        <v/>
      </c>
      <c r="E416" s="57" t="str">
        <f>IFERROR(VLOOKUP($A416,'1-2-1 绩效数据'!$A:$C,3,0),"")</f>
        <v/>
      </c>
      <c r="F416" s="8" t="str">
        <f t="shared" si="133"/>
        <v>2</v>
      </c>
      <c r="G416" s="8" t="str">
        <f t="shared" si="124"/>
        <v/>
      </c>
      <c r="H416" s="8" t="str">
        <f t="shared" si="125"/>
        <v/>
      </c>
      <c r="I416" s="58" t="str">
        <f t="shared" si="134"/>
        <v/>
      </c>
      <c r="J416" s="8" t="str">
        <f t="shared" si="130"/>
        <v/>
      </c>
      <c r="K416" s="8" t="str">
        <f t="shared" si="135"/>
        <v/>
      </c>
      <c r="L416" s="57" t="str">
        <f>IFERROR(VLOOKUP($A416,'1-2-1 绩效数据'!$D:$F,3,0),"")</f>
        <v/>
      </c>
      <c r="M416" s="8" t="str">
        <f t="shared" si="142"/>
        <v>2</v>
      </c>
      <c r="N416" s="8" t="str">
        <f t="shared" si="126"/>
        <v/>
      </c>
      <c r="O416" s="8" t="str">
        <f t="shared" si="127"/>
        <v/>
      </c>
      <c r="P416" s="58" t="str">
        <f t="shared" si="136"/>
        <v/>
      </c>
      <c r="Q416" s="8" t="str">
        <f t="shared" si="131"/>
        <v/>
      </c>
      <c r="R416" s="8" t="str">
        <f t="shared" si="137"/>
        <v/>
      </c>
      <c r="S416" s="57" t="str">
        <f>IFERROR(VLOOKUP(A416,'1-2-1 绩效数据'!$G:$I,3,0),"")</f>
        <v/>
      </c>
      <c r="T416" s="8" t="str">
        <f t="shared" si="138"/>
        <v>2</v>
      </c>
      <c r="U416" s="8" t="str">
        <f t="shared" si="128"/>
        <v/>
      </c>
      <c r="V416" s="8" t="str">
        <f t="shared" si="129"/>
        <v/>
      </c>
      <c r="W416" s="58" t="str">
        <f t="shared" si="139"/>
        <v/>
      </c>
      <c r="X416" s="8" t="str">
        <f t="shared" si="132"/>
        <v/>
      </c>
      <c r="Y416" s="8" t="str">
        <f t="shared" si="140"/>
        <v/>
      </c>
      <c r="Z416" s="57" t="str">
        <f t="shared" si="141"/>
        <v/>
      </c>
    </row>
    <row r="417" spans="1:26" x14ac:dyDescent="0.3">
      <c r="A417" s="8"/>
      <c r="B417" s="70" t="str">
        <f>IFERROR(VLOOKUP('1-2-2 关键绩效'!$A417,'1-1 基本信息'!$A:$K,7,0),"")</f>
        <v/>
      </c>
      <c r="C417" s="8" t="str">
        <f>IFERROR(VLOOKUP($A417,'1-1 基本信息'!$A:$J,10,0),"")</f>
        <v/>
      </c>
      <c r="D417" s="8" t="str">
        <f>IFERROR(VLOOKUP(A417,'1-1 基本信息'!$A:$I,8,0),"")</f>
        <v/>
      </c>
      <c r="E417" s="57" t="str">
        <f>IFERROR(VLOOKUP($A417,'1-2-1 绩效数据'!$A:$C,3,0),"")</f>
        <v/>
      </c>
      <c r="F417" s="8" t="str">
        <f t="shared" si="133"/>
        <v>2</v>
      </c>
      <c r="G417" s="8" t="str">
        <f t="shared" si="124"/>
        <v/>
      </c>
      <c r="H417" s="8" t="str">
        <f t="shared" si="125"/>
        <v/>
      </c>
      <c r="I417" s="58" t="str">
        <f t="shared" si="134"/>
        <v/>
      </c>
      <c r="J417" s="8" t="str">
        <f t="shared" si="130"/>
        <v/>
      </c>
      <c r="K417" s="8" t="str">
        <f t="shared" si="135"/>
        <v/>
      </c>
      <c r="L417" s="57" t="str">
        <f>IFERROR(VLOOKUP($A417,'1-2-1 绩效数据'!$D:$F,3,0),"")</f>
        <v/>
      </c>
      <c r="M417" s="8" t="str">
        <f t="shared" si="142"/>
        <v>2</v>
      </c>
      <c r="N417" s="8" t="str">
        <f t="shared" si="126"/>
        <v/>
      </c>
      <c r="O417" s="8" t="str">
        <f t="shared" si="127"/>
        <v/>
      </c>
      <c r="P417" s="58" t="str">
        <f t="shared" si="136"/>
        <v/>
      </c>
      <c r="Q417" s="8" t="str">
        <f t="shared" si="131"/>
        <v/>
      </c>
      <c r="R417" s="8" t="str">
        <f t="shared" si="137"/>
        <v/>
      </c>
      <c r="S417" s="57" t="str">
        <f>IFERROR(VLOOKUP(A417,'1-2-1 绩效数据'!$G:$I,3,0),"")</f>
        <v/>
      </c>
      <c r="T417" s="8" t="str">
        <f t="shared" si="138"/>
        <v>2</v>
      </c>
      <c r="U417" s="8" t="str">
        <f t="shared" si="128"/>
        <v/>
      </c>
      <c r="V417" s="8" t="str">
        <f t="shared" si="129"/>
        <v/>
      </c>
      <c r="W417" s="58" t="str">
        <f t="shared" si="139"/>
        <v/>
      </c>
      <c r="X417" s="8" t="str">
        <f t="shared" si="132"/>
        <v/>
      </c>
      <c r="Y417" s="8" t="str">
        <f t="shared" si="140"/>
        <v/>
      </c>
      <c r="Z417" s="57" t="str">
        <f t="shared" si="141"/>
        <v/>
      </c>
    </row>
    <row r="418" spans="1:26" x14ac:dyDescent="0.3">
      <c r="A418" s="8"/>
      <c r="B418" s="70" t="str">
        <f>IFERROR(VLOOKUP('1-2-2 关键绩效'!$A418,'1-1 基本信息'!$A:$K,7,0),"")</f>
        <v/>
      </c>
      <c r="C418" s="8" t="str">
        <f>IFERROR(VLOOKUP($A418,'1-1 基本信息'!$A:$J,10,0),"")</f>
        <v/>
      </c>
      <c r="D418" s="8" t="str">
        <f>IFERROR(VLOOKUP(A418,'1-1 基本信息'!$A:$I,8,0),"")</f>
        <v/>
      </c>
      <c r="E418" s="57" t="str">
        <f>IFERROR(VLOOKUP($A418,'1-2-1 绩效数据'!$A:$C,3,0),"")</f>
        <v/>
      </c>
      <c r="F418" s="8" t="str">
        <f t="shared" si="133"/>
        <v>2</v>
      </c>
      <c r="G418" s="8" t="str">
        <f t="shared" si="124"/>
        <v/>
      </c>
      <c r="H418" s="8" t="str">
        <f t="shared" si="125"/>
        <v/>
      </c>
      <c r="I418" s="58" t="str">
        <f t="shared" si="134"/>
        <v/>
      </c>
      <c r="J418" s="8" t="str">
        <f t="shared" si="130"/>
        <v/>
      </c>
      <c r="K418" s="8" t="str">
        <f t="shared" si="135"/>
        <v/>
      </c>
      <c r="L418" s="57" t="str">
        <f>IFERROR(VLOOKUP($A418,'1-2-1 绩效数据'!$D:$F,3,0),"")</f>
        <v/>
      </c>
      <c r="M418" s="8" t="str">
        <f t="shared" si="142"/>
        <v>2</v>
      </c>
      <c r="N418" s="8" t="str">
        <f t="shared" si="126"/>
        <v/>
      </c>
      <c r="O418" s="8" t="str">
        <f t="shared" si="127"/>
        <v/>
      </c>
      <c r="P418" s="58" t="str">
        <f t="shared" si="136"/>
        <v/>
      </c>
      <c r="Q418" s="8" t="str">
        <f t="shared" si="131"/>
        <v/>
      </c>
      <c r="R418" s="8" t="str">
        <f t="shared" si="137"/>
        <v/>
      </c>
      <c r="S418" s="57" t="str">
        <f>IFERROR(VLOOKUP(A418,'1-2-1 绩效数据'!$G:$I,3,0),"")</f>
        <v/>
      </c>
      <c r="T418" s="8" t="str">
        <f t="shared" si="138"/>
        <v>2</v>
      </c>
      <c r="U418" s="8" t="str">
        <f t="shared" si="128"/>
        <v/>
      </c>
      <c r="V418" s="8" t="str">
        <f t="shared" si="129"/>
        <v/>
      </c>
      <c r="W418" s="58" t="str">
        <f t="shared" si="139"/>
        <v/>
      </c>
      <c r="X418" s="8" t="str">
        <f t="shared" si="132"/>
        <v/>
      </c>
      <c r="Y418" s="8" t="str">
        <f t="shared" si="140"/>
        <v/>
      </c>
      <c r="Z418" s="57" t="str">
        <f t="shared" si="141"/>
        <v/>
      </c>
    </row>
  </sheetData>
  <phoneticPr fontId="3" type="noConversion"/>
  <hyperlinks>
    <hyperlink ref="A1" location="'0-使用说明'!D1" display="'0-使用说明'!D1" xr:uid="{BF97593D-1786-41AC-9E84-5B62E0F10C2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1B1F7-EC3B-4F64-BA60-9B6AC8082C97}">
  <sheetPr codeName="Sheet6"/>
  <dimension ref="A1:S445"/>
  <sheetViews>
    <sheetView workbookViewId="0"/>
  </sheetViews>
  <sheetFormatPr defaultRowHeight="16.5" x14ac:dyDescent="0.3"/>
  <cols>
    <col min="1" max="2" width="9" style="38"/>
    <col min="3" max="3" width="9" style="37"/>
    <col min="4" max="19" width="9" style="52"/>
    <col min="20" max="16384" width="9" style="38"/>
  </cols>
  <sheetData>
    <row r="1" spans="1:19" ht="36" x14ac:dyDescent="0.3">
      <c r="A1" s="116" t="s">
        <v>897</v>
      </c>
      <c r="B1" s="12" t="s">
        <v>882</v>
      </c>
      <c r="C1" s="121"/>
      <c r="E1" s="120"/>
      <c r="F1" s="120"/>
      <c r="G1" s="120"/>
      <c r="H1" s="120"/>
      <c r="I1" s="120"/>
      <c r="J1" s="119" t="s">
        <v>900</v>
      </c>
      <c r="K1" s="120"/>
      <c r="L1" s="120"/>
      <c r="M1" s="120"/>
      <c r="N1" s="120"/>
      <c r="O1" s="120"/>
      <c r="P1" s="120"/>
      <c r="Q1" s="120"/>
      <c r="R1" s="120"/>
      <c r="S1" s="118"/>
    </row>
    <row r="2" spans="1:19" s="52" customFormat="1" x14ac:dyDescent="0.3">
      <c r="A2" s="13" t="s">
        <v>1</v>
      </c>
      <c r="B2" s="13" t="s">
        <v>697</v>
      </c>
      <c r="C2" s="13" t="s">
        <v>28</v>
      </c>
      <c r="D2" s="29" t="s">
        <v>888</v>
      </c>
      <c r="E2" s="29" t="s">
        <v>15</v>
      </c>
      <c r="F2" s="29" t="s">
        <v>434</v>
      </c>
      <c r="G2" s="29" t="s">
        <v>435</v>
      </c>
      <c r="H2" s="30" t="s">
        <v>17</v>
      </c>
      <c r="I2" s="30" t="s">
        <v>18</v>
      </c>
      <c r="J2" s="30" t="s">
        <v>19</v>
      </c>
      <c r="K2" s="31" t="s">
        <v>438</v>
      </c>
      <c r="L2" s="31" t="s">
        <v>439</v>
      </c>
      <c r="M2" s="32" t="s">
        <v>440</v>
      </c>
      <c r="N2" s="32" t="s">
        <v>441</v>
      </c>
      <c r="O2" s="32" t="s">
        <v>442</v>
      </c>
      <c r="P2" s="32" t="s">
        <v>443</v>
      </c>
      <c r="Q2" s="32" t="s">
        <v>444</v>
      </c>
      <c r="R2" s="32" t="s">
        <v>16</v>
      </c>
      <c r="S2" s="110" t="s">
        <v>445</v>
      </c>
    </row>
    <row r="3" spans="1:19" x14ac:dyDescent="0.3">
      <c r="A3" s="33" t="s">
        <v>177</v>
      </c>
      <c r="B3" s="33" t="str">
        <f>IFERROR(VLOOKUP(A3,'1-1 基本信息'!$A:$K,11,0),"")</f>
        <v>党委办公室</v>
      </c>
      <c r="C3" s="3" t="str">
        <f>IFERROR(VLOOKUP(A3,'1-1 基本信息'!$A:$I,8,0),"")</f>
        <v>中层副职</v>
      </c>
      <c r="D3" s="8"/>
      <c r="E3" s="8">
        <v>4</v>
      </c>
      <c r="F3" s="8">
        <v>5</v>
      </c>
      <c r="G3" s="8">
        <v>6</v>
      </c>
      <c r="H3" s="8"/>
      <c r="I3" s="8">
        <v>4</v>
      </c>
      <c r="J3" s="8">
        <v>6</v>
      </c>
      <c r="K3" s="8"/>
      <c r="L3" s="8"/>
      <c r="M3" s="8">
        <v>6</v>
      </c>
      <c r="N3" s="8">
        <v>5</v>
      </c>
      <c r="O3" s="8"/>
      <c r="P3" s="8"/>
      <c r="Q3" s="8"/>
      <c r="R3" s="8"/>
      <c r="S3" s="64">
        <f>IF(E3&lt;&gt;"",AVERAGE(D3:R3),"")</f>
        <v>5.1428571428571432</v>
      </c>
    </row>
    <row r="4" spans="1:19" x14ac:dyDescent="0.3">
      <c r="A4" s="33" t="s">
        <v>183</v>
      </c>
      <c r="B4" s="33" t="str">
        <f>IFERROR(VLOOKUP(A4,'1-1 基本信息'!$A:$K,11,0),"")</f>
        <v/>
      </c>
      <c r="C4" s="3" t="str">
        <f>IFERROR(VLOOKUP(A4,'1-1 基本信息'!$A:$I,8,0),"")</f>
        <v/>
      </c>
      <c r="D4" s="8"/>
      <c r="E4" s="8">
        <v>7</v>
      </c>
      <c r="F4" s="8">
        <v>9</v>
      </c>
      <c r="G4" s="8">
        <v>9</v>
      </c>
      <c r="H4" s="8"/>
      <c r="I4" s="8">
        <v>9</v>
      </c>
      <c r="J4" s="8">
        <v>8</v>
      </c>
      <c r="K4" s="8"/>
      <c r="L4" s="8"/>
      <c r="M4" s="8">
        <v>7</v>
      </c>
      <c r="N4" s="8"/>
      <c r="O4" s="8"/>
      <c r="P4" s="8">
        <v>8</v>
      </c>
      <c r="Q4" s="8"/>
      <c r="R4" s="8"/>
      <c r="S4" s="64">
        <f t="shared" ref="S4:S67" si="0">IF(E4&lt;&gt;"",AVERAGE(D4:R4),"")</f>
        <v>8.1428571428571423</v>
      </c>
    </row>
    <row r="5" spans="1:19" x14ac:dyDescent="0.3">
      <c r="A5" s="33" t="s">
        <v>180</v>
      </c>
      <c r="B5" s="33" t="str">
        <f>IFERROR(VLOOKUP(A5,'1-1 基本信息'!$A:$K,11,0),"")</f>
        <v>油地工作保卫部</v>
      </c>
      <c r="C5" s="3" t="str">
        <f>IFERROR(VLOOKUP(A5,'1-1 基本信息'!$A:$I,8,0),"")</f>
        <v>中层正职</v>
      </c>
      <c r="D5" s="8"/>
      <c r="E5" s="8">
        <v>7</v>
      </c>
      <c r="F5" s="8">
        <v>7</v>
      </c>
      <c r="G5" s="8">
        <v>10</v>
      </c>
      <c r="H5" s="8"/>
      <c r="I5" s="8">
        <v>7</v>
      </c>
      <c r="J5" s="8">
        <v>9</v>
      </c>
      <c r="K5" s="8"/>
      <c r="L5" s="8"/>
      <c r="M5" s="8"/>
      <c r="N5" s="8"/>
      <c r="O5" s="8"/>
      <c r="P5" s="8"/>
      <c r="Q5" s="8">
        <v>9</v>
      </c>
      <c r="R5" s="8">
        <v>7</v>
      </c>
      <c r="S5" s="64">
        <f t="shared" si="0"/>
        <v>8</v>
      </c>
    </row>
    <row r="6" spans="1:19" x14ac:dyDescent="0.3">
      <c r="A6" s="33" t="s">
        <v>186</v>
      </c>
      <c r="B6" s="33" t="str">
        <f>IFERROR(VLOOKUP(A6,'1-1 基本信息'!$A:$K,11,0),"")</f>
        <v>党委办公室</v>
      </c>
      <c r="C6" s="3" t="str">
        <f>IFERROR(VLOOKUP(A6,'1-1 基本信息'!$A:$I,8,0),"")</f>
        <v>中层正职</v>
      </c>
      <c r="D6" s="8"/>
      <c r="E6" s="8">
        <v>8</v>
      </c>
      <c r="F6" s="8">
        <v>9</v>
      </c>
      <c r="G6" s="8">
        <v>7</v>
      </c>
      <c r="H6" s="8"/>
      <c r="I6" s="8">
        <v>9</v>
      </c>
      <c r="J6" s="8">
        <v>8</v>
      </c>
      <c r="K6" s="8"/>
      <c r="L6" s="8"/>
      <c r="M6" s="8"/>
      <c r="N6" s="8"/>
      <c r="O6" s="8"/>
      <c r="P6" s="8">
        <v>8</v>
      </c>
      <c r="Q6" s="8">
        <v>8</v>
      </c>
      <c r="R6" s="8"/>
      <c r="S6" s="64">
        <f t="shared" si="0"/>
        <v>8.1428571428571423</v>
      </c>
    </row>
    <row r="7" spans="1:19" x14ac:dyDescent="0.3">
      <c r="A7" s="33" t="s">
        <v>178</v>
      </c>
      <c r="B7" s="33" t="str">
        <f>IFERROR(VLOOKUP(A7,'1-1 基本信息'!$A:$K,11,0),"")</f>
        <v>物资供应中心</v>
      </c>
      <c r="C7" s="3" t="str">
        <f>IFERROR(VLOOKUP(A7,'1-1 基本信息'!$A:$I,8,0),"")</f>
        <v>中层正职</v>
      </c>
      <c r="D7" s="8"/>
      <c r="E7" s="8">
        <v>8</v>
      </c>
      <c r="F7" s="8">
        <v>7</v>
      </c>
      <c r="G7" s="8">
        <v>8</v>
      </c>
      <c r="H7" s="8"/>
      <c r="I7" s="8">
        <v>8</v>
      </c>
      <c r="J7" s="8">
        <v>9</v>
      </c>
      <c r="K7" s="8"/>
      <c r="L7" s="8"/>
      <c r="M7" s="8"/>
      <c r="N7" s="8"/>
      <c r="O7" s="8"/>
      <c r="P7" s="8">
        <v>8</v>
      </c>
      <c r="Q7" s="8">
        <v>8</v>
      </c>
      <c r="R7" s="8"/>
      <c r="S7" s="64">
        <f t="shared" si="0"/>
        <v>8</v>
      </c>
    </row>
    <row r="8" spans="1:19" x14ac:dyDescent="0.3">
      <c r="A8" s="33" t="s">
        <v>90</v>
      </c>
      <c r="B8" s="33" t="str">
        <f>IFERROR(VLOOKUP(A8,'1-1 基本信息'!$A:$K,11,0),"")</f>
        <v>投资发展部</v>
      </c>
      <c r="C8" s="3" t="str">
        <f>IFERROR(VLOOKUP(A8,'1-1 基本信息'!$A:$I,8,0),"")</f>
        <v>中层副职</v>
      </c>
      <c r="D8" s="8"/>
      <c r="E8" s="8">
        <v>6</v>
      </c>
      <c r="F8" s="8">
        <v>8</v>
      </c>
      <c r="G8" s="8">
        <v>7</v>
      </c>
      <c r="H8" s="8"/>
      <c r="I8" s="8">
        <v>8</v>
      </c>
      <c r="J8" s="8">
        <v>6</v>
      </c>
      <c r="K8" s="8"/>
      <c r="L8" s="8"/>
      <c r="M8" s="8"/>
      <c r="N8" s="8"/>
      <c r="O8" s="8"/>
      <c r="P8" s="8">
        <v>7</v>
      </c>
      <c r="Q8" s="8">
        <v>7</v>
      </c>
      <c r="R8" s="8"/>
      <c r="S8" s="64">
        <f t="shared" si="0"/>
        <v>7</v>
      </c>
    </row>
    <row r="9" spans="1:19" x14ac:dyDescent="0.3">
      <c r="A9" s="33" t="s">
        <v>179</v>
      </c>
      <c r="B9" s="33" t="str">
        <f>IFERROR(VLOOKUP(A9,'1-1 基本信息'!$A:$K,11,0),"")</f>
        <v>石油工程技术研究院</v>
      </c>
      <c r="C9" s="3" t="str">
        <f>IFERROR(VLOOKUP(A9,'1-1 基本信息'!$A:$I,8,0),"")</f>
        <v>中层正职</v>
      </c>
      <c r="D9" s="8"/>
      <c r="E9" s="8">
        <v>9</v>
      </c>
      <c r="F9" s="8">
        <v>8</v>
      </c>
      <c r="G9" s="8">
        <v>9</v>
      </c>
      <c r="H9" s="8"/>
      <c r="I9" s="8">
        <v>9</v>
      </c>
      <c r="J9" s="8">
        <v>8</v>
      </c>
      <c r="K9" s="8"/>
      <c r="L9" s="8"/>
      <c r="M9" s="8">
        <v>8</v>
      </c>
      <c r="N9" s="8"/>
      <c r="O9" s="8"/>
      <c r="P9" s="8"/>
      <c r="Q9" s="8"/>
      <c r="R9" s="8">
        <v>7</v>
      </c>
      <c r="S9" s="64">
        <f t="shared" si="0"/>
        <v>8.2857142857142865</v>
      </c>
    </row>
    <row r="10" spans="1:19" x14ac:dyDescent="0.3">
      <c r="A10" s="33" t="s">
        <v>184</v>
      </c>
      <c r="B10" s="33" t="str">
        <f>IFERROR(VLOOKUP(A10,'1-1 基本信息'!$A:$K,11,0),"")</f>
        <v>财务资产部</v>
      </c>
      <c r="C10" s="3" t="str">
        <f>IFERROR(VLOOKUP(A10,'1-1 基本信息'!$A:$I,8,0),"")</f>
        <v>中层正职</v>
      </c>
      <c r="D10" s="8"/>
      <c r="E10" s="8">
        <v>8</v>
      </c>
      <c r="F10" s="8">
        <v>8</v>
      </c>
      <c r="G10" s="8">
        <v>8</v>
      </c>
      <c r="H10" s="8"/>
      <c r="I10" s="8">
        <v>9</v>
      </c>
      <c r="J10" s="8">
        <v>7</v>
      </c>
      <c r="K10" s="8"/>
      <c r="L10" s="8"/>
      <c r="M10" s="8"/>
      <c r="N10" s="8"/>
      <c r="O10" s="8"/>
      <c r="P10" s="8">
        <v>8</v>
      </c>
      <c r="Q10" s="8">
        <v>8</v>
      </c>
      <c r="R10" s="8"/>
      <c r="S10" s="64">
        <f t="shared" si="0"/>
        <v>8</v>
      </c>
    </row>
    <row r="11" spans="1:19" x14ac:dyDescent="0.3">
      <c r="A11" s="33" t="s">
        <v>181</v>
      </c>
      <c r="B11" s="33" t="str">
        <f>IFERROR(VLOOKUP(A11,'1-1 基本信息'!$A:$K,11,0),"")</f>
        <v>培训中心</v>
      </c>
      <c r="C11" s="3" t="str">
        <f>IFERROR(VLOOKUP(A11,'1-1 基本信息'!$A:$I,8,0),"")</f>
        <v>中层正职</v>
      </c>
      <c r="D11" s="8"/>
      <c r="E11" s="8">
        <v>4</v>
      </c>
      <c r="F11" s="8">
        <v>7</v>
      </c>
      <c r="G11" s="8">
        <v>6</v>
      </c>
      <c r="H11" s="8"/>
      <c r="I11" s="8">
        <v>6</v>
      </c>
      <c r="J11" s="8">
        <v>7</v>
      </c>
      <c r="K11" s="8"/>
      <c r="L11" s="8"/>
      <c r="M11" s="8">
        <v>6</v>
      </c>
      <c r="N11" s="8">
        <v>8</v>
      </c>
      <c r="O11" s="8"/>
      <c r="P11" s="8"/>
      <c r="Q11" s="8"/>
      <c r="R11" s="8"/>
      <c r="S11" s="64">
        <f t="shared" si="0"/>
        <v>6.2857142857142856</v>
      </c>
    </row>
    <row r="12" spans="1:19" x14ac:dyDescent="0.3">
      <c r="A12" s="33" t="s">
        <v>187</v>
      </c>
      <c r="B12" s="33" t="str">
        <f>IFERROR(VLOOKUP(A12,'1-1 基本信息'!$A:$K,11,0),"")</f>
        <v/>
      </c>
      <c r="C12" s="3" t="str">
        <f>IFERROR(VLOOKUP(A12,'1-1 基本信息'!$A:$I,8,0),"")</f>
        <v/>
      </c>
      <c r="D12" s="8"/>
      <c r="E12" s="8">
        <v>8</v>
      </c>
      <c r="F12" s="8">
        <v>8</v>
      </c>
      <c r="G12" s="8">
        <v>8</v>
      </c>
      <c r="H12" s="8"/>
      <c r="I12" s="8">
        <v>7</v>
      </c>
      <c r="J12" s="8">
        <v>7</v>
      </c>
      <c r="K12" s="8"/>
      <c r="L12" s="8"/>
      <c r="M12" s="8"/>
      <c r="N12" s="8"/>
      <c r="O12" s="8">
        <v>8</v>
      </c>
      <c r="P12" s="8"/>
      <c r="Q12" s="8"/>
      <c r="R12" s="8">
        <v>8</v>
      </c>
      <c r="S12" s="64">
        <f t="shared" si="0"/>
        <v>7.7142857142857144</v>
      </c>
    </row>
    <row r="13" spans="1:19" x14ac:dyDescent="0.3">
      <c r="A13" s="33" t="s">
        <v>182</v>
      </c>
      <c r="B13" s="33" t="str">
        <f>IFERROR(VLOOKUP(A13,'1-1 基本信息'!$A:$K,11,0),"")</f>
        <v>安全环保部</v>
      </c>
      <c r="C13" s="3" t="str">
        <f>IFERROR(VLOOKUP(A13,'1-1 基本信息'!$A:$I,8,0),"")</f>
        <v>中层正职</v>
      </c>
      <c r="D13" s="8"/>
      <c r="E13" s="8">
        <v>8</v>
      </c>
      <c r="F13" s="8">
        <v>8</v>
      </c>
      <c r="G13" s="8">
        <v>6</v>
      </c>
      <c r="H13" s="8"/>
      <c r="I13" s="8">
        <v>7</v>
      </c>
      <c r="J13" s="8">
        <v>7</v>
      </c>
      <c r="K13" s="8"/>
      <c r="L13" s="8"/>
      <c r="M13" s="8"/>
      <c r="N13" s="8"/>
      <c r="O13" s="8"/>
      <c r="P13" s="8"/>
      <c r="Q13" s="8">
        <v>8</v>
      </c>
      <c r="R13" s="8">
        <v>7</v>
      </c>
      <c r="S13" s="64">
        <f t="shared" si="0"/>
        <v>7.2857142857142856</v>
      </c>
    </row>
    <row r="14" spans="1:19" x14ac:dyDescent="0.3">
      <c r="A14" s="33" t="s">
        <v>114</v>
      </c>
      <c r="B14" s="33" t="str">
        <f>IFERROR(VLOOKUP(A14,'1-1 基本信息'!$A:$K,11,0),"")</f>
        <v>采气二厂</v>
      </c>
      <c r="C14" s="3" t="str">
        <f>IFERROR(VLOOKUP(A14,'1-1 基本信息'!$A:$I,8,0),"")</f>
        <v>中层正职</v>
      </c>
      <c r="D14" s="8"/>
      <c r="E14" s="8">
        <v>7</v>
      </c>
      <c r="F14" s="8">
        <v>8</v>
      </c>
      <c r="G14" s="8">
        <v>9</v>
      </c>
      <c r="H14" s="8"/>
      <c r="I14" s="8">
        <v>7</v>
      </c>
      <c r="J14" s="8">
        <v>8</v>
      </c>
      <c r="K14" s="8"/>
      <c r="L14" s="8"/>
      <c r="M14" s="8">
        <v>7</v>
      </c>
      <c r="N14" s="8"/>
      <c r="O14" s="8"/>
      <c r="P14" s="8"/>
      <c r="Q14" s="8"/>
      <c r="R14" s="8">
        <v>8</v>
      </c>
      <c r="S14" s="64">
        <f t="shared" si="0"/>
        <v>7.7142857142857144</v>
      </c>
    </row>
    <row r="15" spans="1:19" x14ac:dyDescent="0.3">
      <c r="A15" s="33" t="s">
        <v>59</v>
      </c>
      <c r="B15" s="33" t="str">
        <f>IFERROR(VLOOKUP(A15,'1-1 基本信息'!$A:$K,11,0),"")</f>
        <v>采气二厂</v>
      </c>
      <c r="C15" s="3" t="str">
        <f>IFERROR(VLOOKUP(A15,'1-1 基本信息'!$A:$I,8,0),"")</f>
        <v>中层副职</v>
      </c>
      <c r="D15" s="8"/>
      <c r="E15" s="8">
        <v>7</v>
      </c>
      <c r="F15" s="8">
        <v>9</v>
      </c>
      <c r="G15" s="8">
        <v>8</v>
      </c>
      <c r="H15" s="8"/>
      <c r="I15" s="8">
        <v>8</v>
      </c>
      <c r="J15" s="8">
        <v>8</v>
      </c>
      <c r="K15" s="8"/>
      <c r="L15" s="8"/>
      <c r="M15" s="8"/>
      <c r="N15" s="8"/>
      <c r="O15" s="8"/>
      <c r="P15" s="8"/>
      <c r="Q15" s="8">
        <v>8</v>
      </c>
      <c r="R15" s="8">
        <v>7</v>
      </c>
      <c r="S15" s="64">
        <f t="shared" si="0"/>
        <v>7.8571428571428568</v>
      </c>
    </row>
    <row r="16" spans="1:19" x14ac:dyDescent="0.3">
      <c r="A16" s="33" t="s">
        <v>185</v>
      </c>
      <c r="B16" s="33" t="str">
        <f>IFERROR(VLOOKUP(A16,'1-1 基本信息'!$A:$K,11,0),"")</f>
        <v/>
      </c>
      <c r="C16" s="3" t="str">
        <f>IFERROR(VLOOKUP(A16,'1-1 基本信息'!$A:$I,8,0),"")</f>
        <v/>
      </c>
      <c r="D16" s="8"/>
      <c r="E16" s="8">
        <v>7</v>
      </c>
      <c r="F16" s="8">
        <v>7</v>
      </c>
      <c r="G16" s="8">
        <v>8</v>
      </c>
      <c r="H16" s="8"/>
      <c r="I16" s="8">
        <v>7</v>
      </c>
      <c r="J16" s="8">
        <v>8</v>
      </c>
      <c r="K16" s="8"/>
      <c r="L16" s="8"/>
      <c r="M16" s="8"/>
      <c r="N16" s="8"/>
      <c r="O16" s="8"/>
      <c r="P16" s="8"/>
      <c r="Q16" s="8">
        <v>7</v>
      </c>
      <c r="R16" s="8">
        <v>6</v>
      </c>
      <c r="S16" s="64">
        <f t="shared" si="0"/>
        <v>7.1428571428571432</v>
      </c>
    </row>
    <row r="17" spans="1:19" x14ac:dyDescent="0.3">
      <c r="A17" s="33" t="s">
        <v>84</v>
      </c>
      <c r="B17" s="33" t="str">
        <f>IFERROR(VLOOKUP(A17,'1-1 基本信息'!$A:$K,11,0),"")</f>
        <v>采气一厂</v>
      </c>
      <c r="C17" s="3" t="str">
        <f>IFERROR(VLOOKUP(A17,'1-1 基本信息'!$A:$I,8,0),"")</f>
        <v>党委书记</v>
      </c>
      <c r="D17" s="8"/>
      <c r="E17" s="8">
        <v>6</v>
      </c>
      <c r="F17" s="8">
        <v>6</v>
      </c>
      <c r="G17" s="8">
        <v>8</v>
      </c>
      <c r="H17" s="8"/>
      <c r="I17" s="8">
        <v>6</v>
      </c>
      <c r="J17" s="8">
        <v>6</v>
      </c>
      <c r="K17" s="8"/>
      <c r="L17" s="8"/>
      <c r="M17" s="8"/>
      <c r="N17" s="8"/>
      <c r="O17" s="8">
        <v>6</v>
      </c>
      <c r="P17" s="8"/>
      <c r="Q17" s="8"/>
      <c r="R17" s="8">
        <v>7</v>
      </c>
      <c r="S17" s="64">
        <f t="shared" si="0"/>
        <v>6.4285714285714288</v>
      </c>
    </row>
    <row r="18" spans="1:19" x14ac:dyDescent="0.3">
      <c r="A18" s="33" t="s">
        <v>51</v>
      </c>
      <c r="B18" s="33" t="str">
        <f>IFERROR(VLOOKUP(A18,'1-1 基本信息'!$A:$K,11,0),"")</f>
        <v>地面工程与设备管理部</v>
      </c>
      <c r="C18" s="3" t="str">
        <f>IFERROR(VLOOKUP(A18,'1-1 基本信息'!$A:$I,8,0),"")</f>
        <v>中层副职</v>
      </c>
      <c r="D18" s="8"/>
      <c r="E18" s="8">
        <v>7</v>
      </c>
      <c r="F18" s="8">
        <v>7</v>
      </c>
      <c r="G18" s="8">
        <v>7</v>
      </c>
      <c r="H18" s="8"/>
      <c r="I18" s="8">
        <v>8</v>
      </c>
      <c r="J18" s="8">
        <v>7</v>
      </c>
      <c r="K18" s="8"/>
      <c r="L18" s="8"/>
      <c r="M18" s="8">
        <v>5</v>
      </c>
      <c r="N18" s="8"/>
      <c r="O18" s="8"/>
      <c r="P18" s="8"/>
      <c r="Q18" s="8"/>
      <c r="R18" s="8">
        <v>8</v>
      </c>
      <c r="S18" s="64">
        <f t="shared" si="0"/>
        <v>7</v>
      </c>
    </row>
    <row r="19" spans="1:19" x14ac:dyDescent="0.3">
      <c r="A19" s="33" t="s">
        <v>121</v>
      </c>
      <c r="B19" s="33" t="str">
        <f>IFERROR(VLOOKUP(A19,'1-1 基本信息'!$A:$K,11,0),"")</f>
        <v>采油气工程服务中心</v>
      </c>
      <c r="C19" s="3" t="str">
        <f>IFERROR(VLOOKUP(A19,'1-1 基本信息'!$A:$I,8,0),"")</f>
        <v>中层副职</v>
      </c>
      <c r="D19" s="8"/>
      <c r="E19" s="8">
        <v>7</v>
      </c>
      <c r="F19" s="8">
        <v>6</v>
      </c>
      <c r="G19" s="8">
        <v>9</v>
      </c>
      <c r="H19" s="8"/>
      <c r="I19" s="8">
        <v>7</v>
      </c>
      <c r="J19" s="8">
        <v>8</v>
      </c>
      <c r="K19" s="8"/>
      <c r="L19" s="8"/>
      <c r="M19" s="8"/>
      <c r="N19" s="8"/>
      <c r="O19" s="8">
        <v>6</v>
      </c>
      <c r="P19" s="8"/>
      <c r="Q19" s="8"/>
      <c r="R19" s="8">
        <v>6</v>
      </c>
      <c r="S19" s="64">
        <f t="shared" si="0"/>
        <v>7</v>
      </c>
    </row>
    <row r="20" spans="1:19" x14ac:dyDescent="0.3">
      <c r="A20" s="33" t="s">
        <v>65</v>
      </c>
      <c r="B20" s="33" t="str">
        <f>IFERROR(VLOOKUP(A20,'1-1 基本信息'!$A:$K,11,0),"")</f>
        <v>采气一厂</v>
      </c>
      <c r="C20" s="3" t="str">
        <f>IFERROR(VLOOKUP(A20,'1-1 基本信息'!$A:$I,8,0),"")</f>
        <v>中层副职</v>
      </c>
      <c r="D20" s="8"/>
      <c r="E20" s="8">
        <v>7</v>
      </c>
      <c r="F20" s="8">
        <v>8</v>
      </c>
      <c r="G20" s="8">
        <v>8</v>
      </c>
      <c r="H20" s="8"/>
      <c r="I20" s="8">
        <v>9</v>
      </c>
      <c r="J20" s="8">
        <v>6</v>
      </c>
      <c r="K20" s="8"/>
      <c r="L20" s="8"/>
      <c r="M20" s="8"/>
      <c r="N20" s="8"/>
      <c r="O20" s="8"/>
      <c r="P20" s="8">
        <v>9</v>
      </c>
      <c r="Q20" s="8">
        <v>8</v>
      </c>
      <c r="R20" s="8"/>
      <c r="S20" s="64">
        <f t="shared" si="0"/>
        <v>7.8571428571428568</v>
      </c>
    </row>
    <row r="21" spans="1:19" x14ac:dyDescent="0.3">
      <c r="A21" s="33" t="s">
        <v>89</v>
      </c>
      <c r="B21" s="33" t="str">
        <f>IFERROR(VLOOKUP(A21,'1-1 基本信息'!$A:$K,11,0),"")</f>
        <v>延安华延天然气有限公司</v>
      </c>
      <c r="C21" s="3" t="str">
        <f>IFERROR(VLOOKUP(A21,'1-1 基本信息'!$A:$I,8,0),"")</f>
        <v>中层正职</v>
      </c>
      <c r="D21" s="8"/>
      <c r="E21" s="8">
        <v>7</v>
      </c>
      <c r="F21" s="8">
        <v>7</v>
      </c>
      <c r="G21" s="8">
        <v>8</v>
      </c>
      <c r="H21" s="8"/>
      <c r="I21" s="8">
        <v>7</v>
      </c>
      <c r="J21" s="8">
        <v>7</v>
      </c>
      <c r="K21" s="8"/>
      <c r="L21" s="8"/>
      <c r="M21" s="8">
        <v>6</v>
      </c>
      <c r="N21" s="8"/>
      <c r="O21" s="8"/>
      <c r="P21" s="8"/>
      <c r="Q21" s="8"/>
      <c r="R21" s="8">
        <v>7</v>
      </c>
      <c r="S21" s="64">
        <f t="shared" si="0"/>
        <v>7</v>
      </c>
    </row>
    <row r="22" spans="1:19" x14ac:dyDescent="0.3">
      <c r="A22" s="33" t="s">
        <v>78</v>
      </c>
      <c r="B22" s="33" t="str">
        <f>IFERROR(VLOOKUP(A22,'1-1 基本信息'!$A:$K,11,0),"")</f>
        <v/>
      </c>
      <c r="C22" s="3" t="str">
        <f>IFERROR(VLOOKUP(A22,'1-1 基本信息'!$A:$I,8,0),"")</f>
        <v/>
      </c>
      <c r="D22" s="8"/>
      <c r="E22" s="8">
        <v>5</v>
      </c>
      <c r="F22" s="8">
        <v>5</v>
      </c>
      <c r="G22" s="8">
        <v>5</v>
      </c>
      <c r="H22" s="8"/>
      <c r="I22" s="8">
        <v>7</v>
      </c>
      <c r="J22" s="8">
        <v>8</v>
      </c>
      <c r="K22" s="8"/>
      <c r="L22" s="8"/>
      <c r="M22" s="8"/>
      <c r="N22" s="8"/>
      <c r="O22" s="8"/>
      <c r="P22" s="8"/>
      <c r="Q22" s="8">
        <v>6</v>
      </c>
      <c r="R22" s="8">
        <v>6</v>
      </c>
      <c r="S22" s="64">
        <f t="shared" si="0"/>
        <v>6</v>
      </c>
    </row>
    <row r="23" spans="1:19" x14ac:dyDescent="0.3">
      <c r="A23" s="33" t="s">
        <v>101</v>
      </c>
      <c r="B23" s="33" t="str">
        <f>IFERROR(VLOOKUP(A23,'1-1 基本信息'!$A:$K,11,0),"")</f>
        <v/>
      </c>
      <c r="C23" s="3" t="str">
        <f>IFERROR(VLOOKUP(A23,'1-1 基本信息'!$A:$I,8,0),"")</f>
        <v/>
      </c>
      <c r="D23" s="8"/>
      <c r="E23" s="8">
        <v>7</v>
      </c>
      <c r="F23" s="8">
        <v>6</v>
      </c>
      <c r="G23" s="8">
        <v>7</v>
      </c>
      <c r="H23" s="8"/>
      <c r="I23" s="8">
        <v>6</v>
      </c>
      <c r="J23" s="8">
        <v>7</v>
      </c>
      <c r="K23" s="8"/>
      <c r="L23" s="8"/>
      <c r="M23" s="8"/>
      <c r="N23" s="8"/>
      <c r="O23" s="8"/>
      <c r="P23" s="8"/>
      <c r="Q23" s="8">
        <v>8</v>
      </c>
      <c r="R23" s="8">
        <v>7</v>
      </c>
      <c r="S23" s="64">
        <f t="shared" si="0"/>
        <v>6.8571428571428568</v>
      </c>
    </row>
    <row r="24" spans="1:19" x14ac:dyDescent="0.3">
      <c r="A24" s="33" t="s">
        <v>74</v>
      </c>
      <c r="B24" s="33" t="str">
        <f>IFERROR(VLOOKUP(A24,'1-1 基本信息'!$A:$K,11,0),"")</f>
        <v>党委办公室</v>
      </c>
      <c r="C24" s="3" t="str">
        <f>IFERROR(VLOOKUP(A24,'1-1 基本信息'!$A:$I,8,0),"")</f>
        <v>中层副职</v>
      </c>
      <c r="D24" s="8"/>
      <c r="E24" s="8">
        <v>7</v>
      </c>
      <c r="F24" s="8">
        <v>7</v>
      </c>
      <c r="G24" s="8">
        <v>8</v>
      </c>
      <c r="H24" s="8"/>
      <c r="I24" s="8">
        <v>4</v>
      </c>
      <c r="J24" s="8">
        <v>8</v>
      </c>
      <c r="K24" s="8"/>
      <c r="L24" s="8"/>
      <c r="M24" s="8">
        <v>7</v>
      </c>
      <c r="N24" s="8">
        <v>8</v>
      </c>
      <c r="O24" s="8"/>
      <c r="P24" s="8"/>
      <c r="Q24" s="8"/>
      <c r="R24" s="8"/>
      <c r="S24" s="64">
        <f t="shared" si="0"/>
        <v>7</v>
      </c>
    </row>
    <row r="25" spans="1:19" x14ac:dyDescent="0.3">
      <c r="A25" s="33" t="s">
        <v>94</v>
      </c>
      <c r="B25" s="33" t="str">
        <f>IFERROR(VLOOKUP(A25,'1-1 基本信息'!$A:$K,11,0),"")</f>
        <v>油气开发管理部</v>
      </c>
      <c r="C25" s="3" t="str">
        <f>IFERROR(VLOOKUP(A25,'1-1 基本信息'!$A:$I,8,0),"")</f>
        <v>中层正职</v>
      </c>
      <c r="D25" s="8"/>
      <c r="E25" s="8">
        <v>10</v>
      </c>
      <c r="F25" s="8">
        <v>9</v>
      </c>
      <c r="G25" s="8">
        <v>8</v>
      </c>
      <c r="H25" s="8"/>
      <c r="I25" s="8">
        <v>7</v>
      </c>
      <c r="J25" s="8">
        <v>9</v>
      </c>
      <c r="K25" s="8"/>
      <c r="L25" s="8"/>
      <c r="M25" s="8"/>
      <c r="N25" s="8"/>
      <c r="O25" s="8">
        <v>8</v>
      </c>
      <c r="P25" s="8"/>
      <c r="Q25" s="8"/>
      <c r="R25" s="8">
        <v>9</v>
      </c>
      <c r="S25" s="64">
        <f t="shared" si="0"/>
        <v>8.5714285714285712</v>
      </c>
    </row>
    <row r="26" spans="1:19" x14ac:dyDescent="0.3">
      <c r="A26" s="33" t="s">
        <v>132</v>
      </c>
      <c r="B26" s="33" t="str">
        <f>IFERROR(VLOOKUP(A26,'1-1 基本信息'!$A:$K,11,0),"")</f>
        <v>投资发展部</v>
      </c>
      <c r="C26" s="3" t="str">
        <f>IFERROR(VLOOKUP(A26,'1-1 基本信息'!$A:$I,8,0),"")</f>
        <v>中层正职</v>
      </c>
      <c r="D26" s="8"/>
      <c r="E26" s="8">
        <v>7</v>
      </c>
      <c r="F26" s="8">
        <v>4</v>
      </c>
      <c r="G26" s="8">
        <v>5</v>
      </c>
      <c r="H26" s="8"/>
      <c r="I26" s="8">
        <v>6</v>
      </c>
      <c r="J26" s="8">
        <v>8</v>
      </c>
      <c r="K26" s="8"/>
      <c r="L26" s="8"/>
      <c r="M26" s="8"/>
      <c r="N26" s="8"/>
      <c r="O26" s="8"/>
      <c r="P26" s="8">
        <v>7</v>
      </c>
      <c r="Q26" s="8">
        <v>6</v>
      </c>
      <c r="R26" s="8"/>
      <c r="S26" s="64">
        <f t="shared" si="0"/>
        <v>6.1428571428571432</v>
      </c>
    </row>
    <row r="27" spans="1:19" x14ac:dyDescent="0.3">
      <c r="A27" s="33" t="s">
        <v>70</v>
      </c>
      <c r="B27" s="33" t="str">
        <f>IFERROR(VLOOKUP(A27,'1-1 基本信息'!$A:$K,11,0),"")</f>
        <v>财务资产部</v>
      </c>
      <c r="C27" s="3" t="str">
        <f>IFERROR(VLOOKUP(A27,'1-1 基本信息'!$A:$I,8,0),"")</f>
        <v>中层副职</v>
      </c>
      <c r="D27" s="8"/>
      <c r="E27" s="8">
        <v>6</v>
      </c>
      <c r="F27" s="8">
        <v>5</v>
      </c>
      <c r="G27" s="8">
        <v>6</v>
      </c>
      <c r="H27" s="8"/>
      <c r="I27" s="8">
        <v>6</v>
      </c>
      <c r="J27" s="8">
        <v>5</v>
      </c>
      <c r="K27" s="8"/>
      <c r="L27" s="8"/>
      <c r="M27" s="8"/>
      <c r="N27" s="8"/>
      <c r="O27" s="8"/>
      <c r="P27" s="8">
        <v>7</v>
      </c>
      <c r="Q27" s="8">
        <v>6</v>
      </c>
      <c r="R27" s="8"/>
      <c r="S27" s="64">
        <f t="shared" si="0"/>
        <v>5.8571428571428568</v>
      </c>
    </row>
    <row r="28" spans="1:19" x14ac:dyDescent="0.3">
      <c r="A28" s="33" t="s">
        <v>56</v>
      </c>
      <c r="B28" s="33" t="str">
        <f>IFERROR(VLOOKUP(A28,'1-1 基本信息'!$A:$K,11,0),"")</f>
        <v>地面工程与设备管理部</v>
      </c>
      <c r="C28" s="3" t="str">
        <f>IFERROR(VLOOKUP(A28,'1-1 基本信息'!$A:$I,8,0),"")</f>
        <v>中层正职</v>
      </c>
      <c r="D28" s="8"/>
      <c r="E28" s="8">
        <v>8</v>
      </c>
      <c r="F28" s="8">
        <v>8</v>
      </c>
      <c r="G28" s="8">
        <v>9</v>
      </c>
      <c r="H28" s="8"/>
      <c r="I28" s="8">
        <v>9</v>
      </c>
      <c r="J28" s="8">
        <v>8</v>
      </c>
      <c r="K28" s="8"/>
      <c r="L28" s="8"/>
      <c r="M28" s="8">
        <v>7</v>
      </c>
      <c r="N28" s="8"/>
      <c r="O28" s="8"/>
      <c r="P28" s="8"/>
      <c r="Q28" s="8"/>
      <c r="R28" s="8">
        <v>9</v>
      </c>
      <c r="S28" s="64">
        <f t="shared" si="0"/>
        <v>8.2857142857142865</v>
      </c>
    </row>
    <row r="29" spans="1:19" x14ac:dyDescent="0.3">
      <c r="A29" s="33" t="s">
        <v>64</v>
      </c>
      <c r="B29" s="33" t="str">
        <f>IFERROR(VLOOKUP(A29,'1-1 基本信息'!$A:$K,11,0),"")</f>
        <v>采气一厂</v>
      </c>
      <c r="C29" s="3" t="str">
        <f>IFERROR(VLOOKUP(A29,'1-1 基本信息'!$A:$I,8,0),"")</f>
        <v>中层正职</v>
      </c>
      <c r="D29" s="8"/>
      <c r="E29" s="8">
        <v>7</v>
      </c>
      <c r="F29" s="8">
        <v>6</v>
      </c>
      <c r="G29" s="8">
        <v>9</v>
      </c>
      <c r="H29" s="8"/>
      <c r="I29" s="8">
        <v>7</v>
      </c>
      <c r="J29" s="8">
        <v>7</v>
      </c>
      <c r="K29" s="8"/>
      <c r="L29" s="8"/>
      <c r="M29" s="8"/>
      <c r="N29" s="8"/>
      <c r="O29" s="8">
        <v>8</v>
      </c>
      <c r="P29" s="8"/>
      <c r="Q29" s="8"/>
      <c r="R29" s="8">
        <v>6</v>
      </c>
      <c r="S29" s="64">
        <f t="shared" si="0"/>
        <v>7.1428571428571432</v>
      </c>
    </row>
    <row r="30" spans="1:19" x14ac:dyDescent="0.3">
      <c r="A30" s="33" t="s">
        <v>85</v>
      </c>
      <c r="B30" s="33" t="str">
        <f>IFERROR(VLOOKUP(A30,'1-1 基本信息'!$A:$K,11,0),"")</f>
        <v>勘探开发研究院</v>
      </c>
      <c r="C30" s="3" t="str">
        <f>IFERROR(VLOOKUP(A30,'1-1 基本信息'!$A:$I,8,0),"")</f>
        <v>党委书记</v>
      </c>
      <c r="D30" s="8"/>
      <c r="E30" s="8">
        <v>5</v>
      </c>
      <c r="F30" s="8">
        <v>6</v>
      </c>
      <c r="G30" s="8">
        <v>5</v>
      </c>
      <c r="H30" s="8"/>
      <c r="I30" s="8">
        <v>5</v>
      </c>
      <c r="J30" s="8">
        <v>6</v>
      </c>
      <c r="K30" s="8"/>
      <c r="L30" s="8"/>
      <c r="M30" s="8"/>
      <c r="N30" s="8"/>
      <c r="O30" s="8">
        <v>7</v>
      </c>
      <c r="P30" s="8"/>
      <c r="Q30" s="8"/>
      <c r="R30" s="8">
        <v>6</v>
      </c>
      <c r="S30" s="64">
        <f t="shared" si="0"/>
        <v>5.7142857142857144</v>
      </c>
    </row>
    <row r="31" spans="1:19" x14ac:dyDescent="0.3">
      <c r="A31" s="33" t="s">
        <v>67</v>
      </c>
      <c r="B31" s="33" t="str">
        <f>IFERROR(VLOOKUP(A31,'1-1 基本信息'!$A:$K,11,0),"")</f>
        <v>勘探开发研究院</v>
      </c>
      <c r="C31" s="3" t="str">
        <f>IFERROR(VLOOKUP(A31,'1-1 基本信息'!$A:$I,8,0),"")</f>
        <v>中层正职</v>
      </c>
      <c r="D31" s="8"/>
      <c r="E31" s="8">
        <v>9</v>
      </c>
      <c r="F31" s="8">
        <v>8</v>
      </c>
      <c r="G31" s="8">
        <v>9</v>
      </c>
      <c r="H31" s="8"/>
      <c r="I31" s="8">
        <v>6</v>
      </c>
      <c r="J31" s="8">
        <v>7</v>
      </c>
      <c r="K31" s="8"/>
      <c r="L31" s="8"/>
      <c r="M31" s="8"/>
      <c r="N31" s="8"/>
      <c r="O31" s="8">
        <v>9</v>
      </c>
      <c r="P31" s="8"/>
      <c r="Q31" s="8"/>
      <c r="R31" s="8">
        <v>8</v>
      </c>
      <c r="S31" s="64">
        <f t="shared" si="0"/>
        <v>8</v>
      </c>
    </row>
    <row r="32" spans="1:19" x14ac:dyDescent="0.3">
      <c r="A32" s="33" t="s">
        <v>91</v>
      </c>
      <c r="B32" s="33" t="str">
        <f>IFERROR(VLOOKUP(A32,'1-1 基本信息'!$A:$K,11,0),"")</f>
        <v>采气一厂</v>
      </c>
      <c r="C32" s="3" t="str">
        <f>IFERROR(VLOOKUP(A32,'1-1 基本信息'!$A:$I,8,0),"")</f>
        <v>中层副职</v>
      </c>
      <c r="D32" s="8"/>
      <c r="E32" s="8">
        <v>4</v>
      </c>
      <c r="F32" s="8">
        <v>6</v>
      </c>
      <c r="G32" s="8">
        <v>8</v>
      </c>
      <c r="H32" s="8"/>
      <c r="I32" s="8">
        <v>5</v>
      </c>
      <c r="J32" s="8">
        <v>4</v>
      </c>
      <c r="K32" s="8"/>
      <c r="L32" s="8"/>
      <c r="M32" s="8"/>
      <c r="N32" s="8"/>
      <c r="O32" s="8">
        <v>7</v>
      </c>
      <c r="P32" s="8"/>
      <c r="Q32" s="8"/>
      <c r="R32" s="8">
        <v>6</v>
      </c>
      <c r="S32" s="64">
        <f t="shared" si="0"/>
        <v>5.7142857142857144</v>
      </c>
    </row>
    <row r="33" spans="1:19" x14ac:dyDescent="0.3">
      <c r="A33" s="46"/>
      <c r="B33" s="33" t="str">
        <f>IFERROR(VLOOKUP(A33,'1-1 基本信息'!$A:$K,11,0),"")</f>
        <v/>
      </c>
      <c r="C33" s="3" t="str">
        <f>IFERROR(VLOOKUP(A33,'1-1 基本信息'!$A:$I,8,0),"")</f>
        <v/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64" t="str">
        <f t="shared" si="0"/>
        <v/>
      </c>
    </row>
    <row r="34" spans="1:19" x14ac:dyDescent="0.3">
      <c r="A34" s="46"/>
      <c r="B34" s="33" t="str">
        <f>IFERROR(VLOOKUP(A34,'1-1 基本信息'!$A:$K,11,0),"")</f>
        <v/>
      </c>
      <c r="C34" s="3" t="str">
        <f>IFERROR(VLOOKUP(A34,'1-1 基本信息'!$A:$I,8,0),"")</f>
        <v/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64" t="str">
        <f t="shared" si="0"/>
        <v/>
      </c>
    </row>
    <row r="35" spans="1:19" x14ac:dyDescent="0.3">
      <c r="A35" s="46"/>
      <c r="B35" s="33" t="str">
        <f>IFERROR(VLOOKUP(A35,'1-1 基本信息'!$A:$K,11,0),"")</f>
        <v/>
      </c>
      <c r="C35" s="3" t="str">
        <f>IFERROR(VLOOKUP(A35,'1-1 基本信息'!$A:$I,8,0),"")</f>
        <v/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64" t="str">
        <f t="shared" si="0"/>
        <v/>
      </c>
    </row>
    <row r="36" spans="1:19" x14ac:dyDescent="0.3">
      <c r="A36" s="46"/>
      <c r="B36" s="33" t="str">
        <f>IFERROR(VLOOKUP(A36,'1-1 基本信息'!$A:$K,11,0),"")</f>
        <v/>
      </c>
      <c r="C36" s="3" t="str">
        <f>IFERROR(VLOOKUP(A36,'1-1 基本信息'!$A:$I,8,0),"")</f>
        <v/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64" t="str">
        <f t="shared" si="0"/>
        <v/>
      </c>
    </row>
    <row r="37" spans="1:19" x14ac:dyDescent="0.3">
      <c r="A37" s="46"/>
      <c r="B37" s="33" t="str">
        <f>IFERROR(VLOOKUP(A37,'1-1 基本信息'!$A:$K,11,0),"")</f>
        <v/>
      </c>
      <c r="C37" s="3" t="str">
        <f>IFERROR(VLOOKUP(A37,'1-1 基本信息'!$A:$I,8,0),"")</f>
        <v/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64" t="str">
        <f t="shared" si="0"/>
        <v/>
      </c>
    </row>
    <row r="38" spans="1:19" x14ac:dyDescent="0.3">
      <c r="A38" s="46"/>
      <c r="B38" s="33" t="str">
        <f>IFERROR(VLOOKUP(A38,'1-1 基本信息'!$A:$K,11,0),"")</f>
        <v/>
      </c>
      <c r="C38" s="3" t="str">
        <f>IFERROR(VLOOKUP(A38,'1-1 基本信息'!$A:$I,8,0),"")</f>
        <v/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64" t="str">
        <f t="shared" si="0"/>
        <v/>
      </c>
    </row>
    <row r="39" spans="1:19" x14ac:dyDescent="0.3">
      <c r="A39" s="46"/>
      <c r="B39" s="33" t="str">
        <f>IFERROR(VLOOKUP(A39,'1-1 基本信息'!$A:$K,11,0),"")</f>
        <v/>
      </c>
      <c r="C39" s="3" t="str">
        <f>IFERROR(VLOOKUP(A39,'1-1 基本信息'!$A:$I,8,0),"")</f>
        <v/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64" t="str">
        <f t="shared" si="0"/>
        <v/>
      </c>
    </row>
    <row r="40" spans="1:19" x14ac:dyDescent="0.3">
      <c r="A40" s="46"/>
      <c r="B40" s="33" t="str">
        <f>IFERROR(VLOOKUP(A40,'1-1 基本信息'!$A:$K,11,0),"")</f>
        <v/>
      </c>
      <c r="C40" s="3" t="str">
        <f>IFERROR(VLOOKUP(A40,'1-1 基本信息'!$A:$I,8,0),"")</f>
        <v/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64" t="str">
        <f t="shared" si="0"/>
        <v/>
      </c>
    </row>
    <row r="41" spans="1:19" x14ac:dyDescent="0.3">
      <c r="A41" s="46"/>
      <c r="B41" s="33" t="str">
        <f>IFERROR(VLOOKUP(A41,'1-1 基本信息'!$A:$K,11,0),"")</f>
        <v/>
      </c>
      <c r="C41" s="3" t="str">
        <f>IFERROR(VLOOKUP(A41,'1-1 基本信息'!$A:$I,8,0),"")</f>
        <v/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64" t="str">
        <f t="shared" si="0"/>
        <v/>
      </c>
    </row>
    <row r="42" spans="1:19" x14ac:dyDescent="0.3">
      <c r="A42" s="46"/>
      <c r="B42" s="33" t="str">
        <f>IFERROR(VLOOKUP(A42,'1-1 基本信息'!$A:$K,11,0),"")</f>
        <v/>
      </c>
      <c r="C42" s="3" t="str">
        <f>IFERROR(VLOOKUP(A42,'1-1 基本信息'!$A:$I,8,0),"")</f>
        <v/>
      </c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64" t="str">
        <f t="shared" si="0"/>
        <v/>
      </c>
    </row>
    <row r="43" spans="1:19" x14ac:dyDescent="0.3">
      <c r="A43" s="46"/>
      <c r="B43" s="33" t="str">
        <f>IFERROR(VLOOKUP(A43,'1-1 基本信息'!$A:$K,11,0),"")</f>
        <v/>
      </c>
      <c r="C43" s="3" t="str">
        <f>IFERROR(VLOOKUP(A43,'1-1 基本信息'!$A:$I,8,0),"")</f>
        <v/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64" t="str">
        <f t="shared" si="0"/>
        <v/>
      </c>
    </row>
    <row r="44" spans="1:19" x14ac:dyDescent="0.3">
      <c r="A44" s="46"/>
      <c r="B44" s="33" t="str">
        <f>IFERROR(VLOOKUP(A44,'1-1 基本信息'!$A:$K,11,0),"")</f>
        <v/>
      </c>
      <c r="C44" s="3" t="str">
        <f>IFERROR(VLOOKUP(A44,'1-1 基本信息'!$A:$I,8,0),"")</f>
        <v/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64" t="str">
        <f t="shared" si="0"/>
        <v/>
      </c>
    </row>
    <row r="45" spans="1:19" x14ac:dyDescent="0.3">
      <c r="A45" s="46"/>
      <c r="B45" s="33" t="str">
        <f>IFERROR(VLOOKUP(A45,'1-1 基本信息'!$A:$K,11,0),"")</f>
        <v/>
      </c>
      <c r="C45" s="3" t="str">
        <f>IFERROR(VLOOKUP(A45,'1-1 基本信息'!$A:$I,8,0),"")</f>
        <v/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64" t="str">
        <f t="shared" si="0"/>
        <v/>
      </c>
    </row>
    <row r="46" spans="1:19" x14ac:dyDescent="0.3">
      <c r="A46" s="46"/>
      <c r="B46" s="33" t="str">
        <f>IFERROR(VLOOKUP(A46,'1-1 基本信息'!$A:$K,11,0),"")</f>
        <v/>
      </c>
      <c r="C46" s="3" t="str">
        <f>IFERROR(VLOOKUP(A46,'1-1 基本信息'!$A:$I,8,0),"")</f>
        <v/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64" t="str">
        <f t="shared" si="0"/>
        <v/>
      </c>
    </row>
    <row r="47" spans="1:19" x14ac:dyDescent="0.3">
      <c r="A47" s="46"/>
      <c r="B47" s="33" t="str">
        <f>IFERROR(VLOOKUP(A47,'1-1 基本信息'!$A:$K,11,0),"")</f>
        <v/>
      </c>
      <c r="C47" s="3" t="str">
        <f>IFERROR(VLOOKUP(A47,'1-1 基本信息'!$A:$I,8,0),"")</f>
        <v/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64" t="str">
        <f t="shared" si="0"/>
        <v/>
      </c>
    </row>
    <row r="48" spans="1:19" x14ac:dyDescent="0.3">
      <c r="A48" s="46"/>
      <c r="B48" s="33" t="str">
        <f>IFERROR(VLOOKUP(A48,'1-1 基本信息'!$A:$K,11,0),"")</f>
        <v/>
      </c>
      <c r="C48" s="3" t="str">
        <f>IFERROR(VLOOKUP(A48,'1-1 基本信息'!$A:$I,8,0),"")</f>
        <v/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64" t="str">
        <f t="shared" si="0"/>
        <v/>
      </c>
    </row>
    <row r="49" spans="1:19" x14ac:dyDescent="0.3">
      <c r="A49" s="46"/>
      <c r="B49" s="33" t="str">
        <f>IFERROR(VLOOKUP(A49,'1-1 基本信息'!$A:$K,11,0),"")</f>
        <v/>
      </c>
      <c r="C49" s="3" t="str">
        <f>IFERROR(VLOOKUP(A49,'1-1 基本信息'!$A:$I,8,0),"")</f>
        <v/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64" t="str">
        <f t="shared" si="0"/>
        <v/>
      </c>
    </row>
    <row r="50" spans="1:19" x14ac:dyDescent="0.3">
      <c r="A50" s="46"/>
      <c r="B50" s="33" t="str">
        <f>IFERROR(VLOOKUP(A50,'1-1 基本信息'!$A:$K,11,0),"")</f>
        <v/>
      </c>
      <c r="C50" s="3" t="str">
        <f>IFERROR(VLOOKUP(A50,'1-1 基本信息'!$A:$I,8,0),"")</f>
        <v/>
      </c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64" t="str">
        <f t="shared" si="0"/>
        <v/>
      </c>
    </row>
    <row r="51" spans="1:19" x14ac:dyDescent="0.3">
      <c r="A51" s="46"/>
      <c r="B51" s="33" t="str">
        <f>IFERROR(VLOOKUP(A51,'1-1 基本信息'!$A:$K,11,0),"")</f>
        <v/>
      </c>
      <c r="C51" s="3" t="str">
        <f>IFERROR(VLOOKUP(A51,'1-1 基本信息'!$A:$I,8,0),"")</f>
        <v/>
      </c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64" t="str">
        <f t="shared" si="0"/>
        <v/>
      </c>
    </row>
    <row r="52" spans="1:19" x14ac:dyDescent="0.3">
      <c r="A52" s="46"/>
      <c r="B52" s="33" t="str">
        <f>IFERROR(VLOOKUP(A52,'1-1 基本信息'!$A:$K,11,0),"")</f>
        <v/>
      </c>
      <c r="C52" s="3" t="str">
        <f>IFERROR(VLOOKUP(A52,'1-1 基本信息'!$A:$I,8,0),"")</f>
        <v/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64" t="str">
        <f t="shared" si="0"/>
        <v/>
      </c>
    </row>
    <row r="53" spans="1:19" x14ac:dyDescent="0.3">
      <c r="A53" s="46"/>
      <c r="B53" s="33" t="str">
        <f>IFERROR(VLOOKUP(A53,'1-1 基本信息'!$A:$K,11,0),"")</f>
        <v/>
      </c>
      <c r="C53" s="3" t="str">
        <f>IFERROR(VLOOKUP(A53,'1-1 基本信息'!$A:$I,8,0),"")</f>
        <v/>
      </c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64" t="str">
        <f t="shared" si="0"/>
        <v/>
      </c>
    </row>
    <row r="54" spans="1:19" x14ac:dyDescent="0.3">
      <c r="A54" s="46"/>
      <c r="B54" s="33" t="str">
        <f>IFERROR(VLOOKUP(A54,'1-1 基本信息'!$A:$K,11,0),"")</f>
        <v/>
      </c>
      <c r="C54" s="3" t="str">
        <f>IFERROR(VLOOKUP(A54,'1-1 基本信息'!$A:$I,8,0),"")</f>
        <v/>
      </c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64" t="str">
        <f t="shared" si="0"/>
        <v/>
      </c>
    </row>
    <row r="55" spans="1:19" x14ac:dyDescent="0.3">
      <c r="A55" s="46"/>
      <c r="B55" s="33" t="str">
        <f>IFERROR(VLOOKUP(A55,'1-1 基本信息'!$A:$K,11,0),"")</f>
        <v/>
      </c>
      <c r="C55" s="3" t="str">
        <f>IFERROR(VLOOKUP(A55,'1-1 基本信息'!$A:$I,8,0),"")</f>
        <v/>
      </c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64" t="str">
        <f t="shared" si="0"/>
        <v/>
      </c>
    </row>
    <row r="56" spans="1:19" x14ac:dyDescent="0.3">
      <c r="A56" s="46"/>
      <c r="B56" s="33" t="str">
        <f>IFERROR(VLOOKUP(A56,'1-1 基本信息'!$A:$K,11,0),"")</f>
        <v/>
      </c>
      <c r="C56" s="3" t="str">
        <f>IFERROR(VLOOKUP(A56,'1-1 基本信息'!$A:$I,8,0),"")</f>
        <v/>
      </c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64" t="str">
        <f t="shared" si="0"/>
        <v/>
      </c>
    </row>
    <row r="57" spans="1:19" x14ac:dyDescent="0.3">
      <c r="A57" s="46"/>
      <c r="B57" s="33" t="str">
        <f>IFERROR(VLOOKUP(A57,'1-1 基本信息'!$A:$K,11,0),"")</f>
        <v/>
      </c>
      <c r="C57" s="3" t="str">
        <f>IFERROR(VLOOKUP(A57,'1-1 基本信息'!$A:$I,8,0),"")</f>
        <v/>
      </c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64" t="str">
        <f t="shared" si="0"/>
        <v/>
      </c>
    </row>
    <row r="58" spans="1:19" x14ac:dyDescent="0.3">
      <c r="A58" s="46"/>
      <c r="B58" s="33" t="str">
        <f>IFERROR(VLOOKUP(A58,'1-1 基本信息'!$A:$K,11,0),"")</f>
        <v/>
      </c>
      <c r="C58" s="3" t="str">
        <f>IFERROR(VLOOKUP(A58,'1-1 基本信息'!$A:$I,8,0),"")</f>
        <v/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64" t="str">
        <f t="shared" si="0"/>
        <v/>
      </c>
    </row>
    <row r="59" spans="1:19" x14ac:dyDescent="0.3">
      <c r="A59" s="46"/>
      <c r="B59" s="33" t="str">
        <f>IFERROR(VLOOKUP(A59,'1-1 基本信息'!$A:$K,11,0),"")</f>
        <v/>
      </c>
      <c r="C59" s="3" t="str">
        <f>IFERROR(VLOOKUP(A59,'1-1 基本信息'!$A:$I,8,0),"")</f>
        <v/>
      </c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64" t="str">
        <f t="shared" si="0"/>
        <v/>
      </c>
    </row>
    <row r="60" spans="1:19" x14ac:dyDescent="0.3">
      <c r="A60" s="46"/>
      <c r="B60" s="33" t="str">
        <f>IFERROR(VLOOKUP(A60,'1-1 基本信息'!$A:$K,11,0),"")</f>
        <v/>
      </c>
      <c r="C60" s="3" t="str">
        <f>IFERROR(VLOOKUP(A60,'1-1 基本信息'!$A:$I,8,0),"")</f>
        <v/>
      </c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64" t="str">
        <f t="shared" si="0"/>
        <v/>
      </c>
    </row>
    <row r="61" spans="1:19" x14ac:dyDescent="0.3">
      <c r="A61" s="46"/>
      <c r="B61" s="33" t="str">
        <f>IFERROR(VLOOKUP(A61,'1-1 基本信息'!$A:$K,11,0),"")</f>
        <v/>
      </c>
      <c r="C61" s="3" t="str">
        <f>IFERROR(VLOOKUP(A61,'1-1 基本信息'!$A:$I,8,0),"")</f>
        <v/>
      </c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64" t="str">
        <f t="shared" si="0"/>
        <v/>
      </c>
    </row>
    <row r="62" spans="1:19" x14ac:dyDescent="0.3">
      <c r="A62" s="46"/>
      <c r="B62" s="33" t="str">
        <f>IFERROR(VLOOKUP(A62,'1-1 基本信息'!$A:$K,11,0),"")</f>
        <v/>
      </c>
      <c r="C62" s="3" t="str">
        <f>IFERROR(VLOOKUP(A62,'1-1 基本信息'!$A:$I,8,0),"")</f>
        <v/>
      </c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64" t="str">
        <f t="shared" si="0"/>
        <v/>
      </c>
    </row>
    <row r="63" spans="1:19" x14ac:dyDescent="0.3">
      <c r="A63" s="46"/>
      <c r="B63" s="33" t="str">
        <f>IFERROR(VLOOKUP(A63,'1-1 基本信息'!$A:$K,11,0),"")</f>
        <v/>
      </c>
      <c r="C63" s="3" t="str">
        <f>IFERROR(VLOOKUP(A63,'1-1 基本信息'!$A:$I,8,0),"")</f>
        <v/>
      </c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64" t="str">
        <f t="shared" si="0"/>
        <v/>
      </c>
    </row>
    <row r="64" spans="1:19" x14ac:dyDescent="0.3">
      <c r="A64" s="46"/>
      <c r="B64" s="33" t="str">
        <f>IFERROR(VLOOKUP(A64,'1-1 基本信息'!$A:$K,11,0),"")</f>
        <v/>
      </c>
      <c r="C64" s="3" t="str">
        <f>IFERROR(VLOOKUP(A64,'1-1 基本信息'!$A:$I,8,0),"")</f>
        <v/>
      </c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64" t="str">
        <f t="shared" si="0"/>
        <v/>
      </c>
    </row>
    <row r="65" spans="1:19" x14ac:dyDescent="0.3">
      <c r="A65" s="46"/>
      <c r="B65" s="33" t="str">
        <f>IFERROR(VLOOKUP(A65,'1-1 基本信息'!$A:$K,11,0),"")</f>
        <v/>
      </c>
      <c r="C65" s="3" t="str">
        <f>IFERROR(VLOOKUP(A65,'1-1 基本信息'!$A:$I,8,0),"")</f>
        <v/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64" t="str">
        <f t="shared" si="0"/>
        <v/>
      </c>
    </row>
    <row r="66" spans="1:19" x14ac:dyDescent="0.3">
      <c r="A66" s="46"/>
      <c r="B66" s="33" t="str">
        <f>IFERROR(VLOOKUP(A66,'1-1 基本信息'!$A:$K,11,0),"")</f>
        <v/>
      </c>
      <c r="C66" s="3" t="str">
        <f>IFERROR(VLOOKUP(A66,'1-1 基本信息'!$A:$I,8,0),"")</f>
        <v/>
      </c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64" t="str">
        <f t="shared" si="0"/>
        <v/>
      </c>
    </row>
    <row r="67" spans="1:19" x14ac:dyDescent="0.3">
      <c r="A67" s="46"/>
      <c r="B67" s="33" t="str">
        <f>IFERROR(VLOOKUP(A67,'1-1 基本信息'!$A:$K,11,0),"")</f>
        <v/>
      </c>
      <c r="C67" s="3" t="str">
        <f>IFERROR(VLOOKUP(A67,'1-1 基本信息'!$A:$I,8,0),"")</f>
        <v/>
      </c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64" t="str">
        <f t="shared" si="0"/>
        <v/>
      </c>
    </row>
    <row r="68" spans="1:19" x14ac:dyDescent="0.3">
      <c r="A68" s="46"/>
      <c r="B68" s="33" t="str">
        <f>IFERROR(VLOOKUP(A68,'1-1 基本信息'!$A:$K,11,0),"")</f>
        <v/>
      </c>
      <c r="C68" s="3" t="str">
        <f>IFERROR(VLOOKUP(A68,'1-1 基本信息'!$A:$I,8,0),"")</f>
        <v/>
      </c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64" t="str">
        <f t="shared" ref="S68:S131" si="1">IF(E68&lt;&gt;"",AVERAGE(D68:R68),"")</f>
        <v/>
      </c>
    </row>
    <row r="69" spans="1:19" x14ac:dyDescent="0.3">
      <c r="A69" s="46"/>
      <c r="B69" s="33" t="str">
        <f>IFERROR(VLOOKUP(A69,'1-1 基本信息'!$A:$K,11,0),"")</f>
        <v/>
      </c>
      <c r="C69" s="3" t="str">
        <f>IFERROR(VLOOKUP(A69,'1-1 基本信息'!$A:$I,8,0),"")</f>
        <v/>
      </c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64" t="str">
        <f t="shared" si="1"/>
        <v/>
      </c>
    </row>
    <row r="70" spans="1:19" x14ac:dyDescent="0.3">
      <c r="A70" s="46"/>
      <c r="B70" s="33" t="str">
        <f>IFERROR(VLOOKUP(A70,'1-1 基本信息'!$A:$K,11,0),"")</f>
        <v/>
      </c>
      <c r="C70" s="3" t="str">
        <f>IFERROR(VLOOKUP(A70,'1-1 基本信息'!$A:$I,8,0),"")</f>
        <v/>
      </c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64" t="str">
        <f t="shared" si="1"/>
        <v/>
      </c>
    </row>
    <row r="71" spans="1:19" x14ac:dyDescent="0.3">
      <c r="A71" s="46"/>
      <c r="B71" s="33" t="str">
        <f>IFERROR(VLOOKUP(A71,'1-1 基本信息'!$A:$K,11,0),"")</f>
        <v/>
      </c>
      <c r="C71" s="3" t="str">
        <f>IFERROR(VLOOKUP(A71,'1-1 基本信息'!$A:$I,8,0),"")</f>
        <v/>
      </c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64" t="str">
        <f t="shared" si="1"/>
        <v/>
      </c>
    </row>
    <row r="72" spans="1:19" x14ac:dyDescent="0.3">
      <c r="A72" s="46"/>
      <c r="B72" s="33" t="str">
        <f>IFERROR(VLOOKUP(A72,'1-1 基本信息'!$A:$K,11,0),"")</f>
        <v/>
      </c>
      <c r="C72" s="3" t="str">
        <f>IFERROR(VLOOKUP(A72,'1-1 基本信息'!$A:$I,8,0),"")</f>
        <v/>
      </c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64" t="str">
        <f t="shared" si="1"/>
        <v/>
      </c>
    </row>
    <row r="73" spans="1:19" x14ac:dyDescent="0.3">
      <c r="A73" s="46"/>
      <c r="B73" s="33" t="str">
        <f>IFERROR(VLOOKUP(A73,'1-1 基本信息'!$A:$K,11,0),"")</f>
        <v/>
      </c>
      <c r="C73" s="3" t="str">
        <f>IFERROR(VLOOKUP(A73,'1-1 基本信息'!$A:$I,8,0),"")</f>
        <v/>
      </c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64" t="str">
        <f t="shared" si="1"/>
        <v/>
      </c>
    </row>
    <row r="74" spans="1:19" x14ac:dyDescent="0.3">
      <c r="A74" s="46"/>
      <c r="B74" s="33" t="str">
        <f>IFERROR(VLOOKUP(A74,'1-1 基本信息'!$A:$K,11,0),"")</f>
        <v/>
      </c>
      <c r="C74" s="3" t="str">
        <f>IFERROR(VLOOKUP(A74,'1-1 基本信息'!$A:$I,8,0),"")</f>
        <v/>
      </c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64" t="str">
        <f t="shared" si="1"/>
        <v/>
      </c>
    </row>
    <row r="75" spans="1:19" x14ac:dyDescent="0.3">
      <c r="A75" s="46"/>
      <c r="B75" s="33" t="str">
        <f>IFERROR(VLOOKUP(A75,'1-1 基本信息'!$A:$K,11,0),"")</f>
        <v/>
      </c>
      <c r="C75" s="3" t="str">
        <f>IFERROR(VLOOKUP(A75,'1-1 基本信息'!$A:$I,8,0),"")</f>
        <v/>
      </c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64" t="str">
        <f t="shared" si="1"/>
        <v/>
      </c>
    </row>
    <row r="76" spans="1:19" x14ac:dyDescent="0.3">
      <c r="A76" s="46"/>
      <c r="B76" s="33" t="str">
        <f>IFERROR(VLOOKUP(A76,'1-1 基本信息'!$A:$K,11,0),"")</f>
        <v/>
      </c>
      <c r="C76" s="3" t="str">
        <f>IFERROR(VLOOKUP(A76,'1-1 基本信息'!$A:$I,8,0),"")</f>
        <v/>
      </c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64" t="str">
        <f t="shared" si="1"/>
        <v/>
      </c>
    </row>
    <row r="77" spans="1:19" x14ac:dyDescent="0.3">
      <c r="A77" s="46"/>
      <c r="B77" s="33" t="str">
        <f>IFERROR(VLOOKUP(A77,'1-1 基本信息'!$A:$K,11,0),"")</f>
        <v/>
      </c>
      <c r="C77" s="3" t="str">
        <f>IFERROR(VLOOKUP(A77,'1-1 基本信息'!$A:$I,8,0),"")</f>
        <v/>
      </c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64" t="str">
        <f t="shared" si="1"/>
        <v/>
      </c>
    </row>
    <row r="78" spans="1:19" x14ac:dyDescent="0.3">
      <c r="A78" s="46"/>
      <c r="B78" s="33" t="str">
        <f>IFERROR(VLOOKUP(A78,'1-1 基本信息'!$A:$K,11,0),"")</f>
        <v/>
      </c>
      <c r="C78" s="3" t="str">
        <f>IFERROR(VLOOKUP(A78,'1-1 基本信息'!$A:$I,8,0),"")</f>
        <v/>
      </c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64" t="str">
        <f t="shared" si="1"/>
        <v/>
      </c>
    </row>
    <row r="79" spans="1:19" x14ac:dyDescent="0.3">
      <c r="A79" s="46"/>
      <c r="B79" s="33" t="str">
        <f>IFERROR(VLOOKUP(A79,'1-1 基本信息'!$A:$K,11,0),"")</f>
        <v/>
      </c>
      <c r="C79" s="3" t="str">
        <f>IFERROR(VLOOKUP(A79,'1-1 基本信息'!$A:$I,8,0),"")</f>
        <v/>
      </c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64" t="str">
        <f t="shared" si="1"/>
        <v/>
      </c>
    </row>
    <row r="80" spans="1:19" x14ac:dyDescent="0.3">
      <c r="A80" s="46"/>
      <c r="B80" s="33" t="str">
        <f>IFERROR(VLOOKUP(A80,'1-1 基本信息'!$A:$K,11,0),"")</f>
        <v/>
      </c>
      <c r="C80" s="3" t="str">
        <f>IFERROR(VLOOKUP(A80,'1-1 基本信息'!$A:$I,8,0),"")</f>
        <v/>
      </c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64" t="str">
        <f t="shared" si="1"/>
        <v/>
      </c>
    </row>
    <row r="81" spans="1:19" x14ac:dyDescent="0.3">
      <c r="A81" s="46"/>
      <c r="B81" s="33" t="str">
        <f>IFERROR(VLOOKUP(A81,'1-1 基本信息'!$A:$K,11,0),"")</f>
        <v/>
      </c>
      <c r="C81" s="3" t="str">
        <f>IFERROR(VLOOKUP(A81,'1-1 基本信息'!$A:$I,8,0),"")</f>
        <v/>
      </c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64" t="str">
        <f t="shared" si="1"/>
        <v/>
      </c>
    </row>
    <row r="82" spans="1:19" x14ac:dyDescent="0.3">
      <c r="A82" s="46"/>
      <c r="B82" s="33" t="str">
        <f>IFERROR(VLOOKUP(A82,'1-1 基本信息'!$A:$K,11,0),"")</f>
        <v/>
      </c>
      <c r="C82" s="3" t="str">
        <f>IFERROR(VLOOKUP(A82,'1-1 基本信息'!$A:$I,8,0),"")</f>
        <v/>
      </c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64" t="str">
        <f t="shared" si="1"/>
        <v/>
      </c>
    </row>
    <row r="83" spans="1:19" x14ac:dyDescent="0.3">
      <c r="A83" s="46"/>
      <c r="B83" s="33" t="str">
        <f>IFERROR(VLOOKUP(A83,'1-1 基本信息'!$A:$K,11,0),"")</f>
        <v/>
      </c>
      <c r="C83" s="3" t="str">
        <f>IFERROR(VLOOKUP(A83,'1-1 基本信息'!$A:$I,8,0),"")</f>
        <v/>
      </c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64" t="str">
        <f t="shared" si="1"/>
        <v/>
      </c>
    </row>
    <row r="84" spans="1:19" x14ac:dyDescent="0.3">
      <c r="A84" s="46"/>
      <c r="B84" s="33" t="str">
        <f>IFERROR(VLOOKUP(A84,'1-1 基本信息'!$A:$K,11,0),"")</f>
        <v/>
      </c>
      <c r="C84" s="3" t="str">
        <f>IFERROR(VLOOKUP(A84,'1-1 基本信息'!$A:$I,8,0),"")</f>
        <v/>
      </c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64" t="str">
        <f t="shared" si="1"/>
        <v/>
      </c>
    </row>
    <row r="85" spans="1:19" x14ac:dyDescent="0.3">
      <c r="A85" s="46"/>
      <c r="B85" s="33" t="str">
        <f>IFERROR(VLOOKUP(A85,'1-1 基本信息'!$A:$K,11,0),"")</f>
        <v/>
      </c>
      <c r="C85" s="3" t="str">
        <f>IFERROR(VLOOKUP(A85,'1-1 基本信息'!$A:$I,8,0),"")</f>
        <v/>
      </c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64" t="str">
        <f t="shared" si="1"/>
        <v/>
      </c>
    </row>
    <row r="86" spans="1:19" x14ac:dyDescent="0.3">
      <c r="A86" s="46"/>
      <c r="B86" s="33" t="str">
        <f>IFERROR(VLOOKUP(A86,'1-1 基本信息'!$A:$K,11,0),"")</f>
        <v/>
      </c>
      <c r="C86" s="3" t="str">
        <f>IFERROR(VLOOKUP(A86,'1-1 基本信息'!$A:$I,8,0),"")</f>
        <v/>
      </c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64" t="str">
        <f t="shared" si="1"/>
        <v/>
      </c>
    </row>
    <row r="87" spans="1:19" x14ac:dyDescent="0.3">
      <c r="A87" s="46"/>
      <c r="B87" s="33" t="str">
        <f>IFERROR(VLOOKUP(A87,'1-1 基本信息'!$A:$K,11,0),"")</f>
        <v/>
      </c>
      <c r="C87" s="3" t="str">
        <f>IFERROR(VLOOKUP(A87,'1-1 基本信息'!$A:$I,8,0),"")</f>
        <v/>
      </c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64" t="str">
        <f t="shared" si="1"/>
        <v/>
      </c>
    </row>
    <row r="88" spans="1:19" x14ac:dyDescent="0.3">
      <c r="A88" s="46"/>
      <c r="B88" s="33" t="str">
        <f>IFERROR(VLOOKUP(A88,'1-1 基本信息'!$A:$K,11,0),"")</f>
        <v/>
      </c>
      <c r="C88" s="3" t="str">
        <f>IFERROR(VLOOKUP(A88,'1-1 基本信息'!$A:$I,8,0),"")</f>
        <v/>
      </c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64" t="str">
        <f t="shared" si="1"/>
        <v/>
      </c>
    </row>
    <row r="89" spans="1:19" x14ac:dyDescent="0.3">
      <c r="A89" s="46"/>
      <c r="B89" s="33" t="str">
        <f>IFERROR(VLOOKUP(A89,'1-1 基本信息'!$A:$K,11,0),"")</f>
        <v/>
      </c>
      <c r="C89" s="3" t="str">
        <f>IFERROR(VLOOKUP(A89,'1-1 基本信息'!$A:$I,8,0),"")</f>
        <v/>
      </c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64" t="str">
        <f t="shared" si="1"/>
        <v/>
      </c>
    </row>
    <row r="90" spans="1:19" x14ac:dyDescent="0.3">
      <c r="A90" s="46"/>
      <c r="B90" s="33" t="str">
        <f>IFERROR(VLOOKUP(A90,'1-1 基本信息'!$A:$K,11,0),"")</f>
        <v/>
      </c>
      <c r="C90" s="3" t="str">
        <f>IFERROR(VLOOKUP(A90,'1-1 基本信息'!$A:$I,8,0),"")</f>
        <v/>
      </c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64" t="str">
        <f t="shared" si="1"/>
        <v/>
      </c>
    </row>
    <row r="91" spans="1:19" x14ac:dyDescent="0.3">
      <c r="A91" s="46"/>
      <c r="B91" s="33" t="str">
        <f>IFERROR(VLOOKUP(A91,'1-1 基本信息'!$A:$K,11,0),"")</f>
        <v/>
      </c>
      <c r="C91" s="3" t="str">
        <f>IFERROR(VLOOKUP(A91,'1-1 基本信息'!$A:$I,8,0),"")</f>
        <v/>
      </c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64" t="str">
        <f t="shared" si="1"/>
        <v/>
      </c>
    </row>
    <row r="92" spans="1:19" x14ac:dyDescent="0.3">
      <c r="A92" s="46"/>
      <c r="B92" s="33" t="str">
        <f>IFERROR(VLOOKUP(A92,'1-1 基本信息'!$A:$K,11,0),"")</f>
        <v/>
      </c>
      <c r="C92" s="3" t="str">
        <f>IFERROR(VLOOKUP(A92,'1-1 基本信息'!$A:$I,8,0),"")</f>
        <v/>
      </c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64" t="str">
        <f t="shared" si="1"/>
        <v/>
      </c>
    </row>
    <row r="93" spans="1:19" x14ac:dyDescent="0.3">
      <c r="A93" s="46"/>
      <c r="B93" s="33" t="str">
        <f>IFERROR(VLOOKUP(A93,'1-1 基本信息'!$A:$K,11,0),"")</f>
        <v/>
      </c>
      <c r="C93" s="3" t="str">
        <f>IFERROR(VLOOKUP(A93,'1-1 基本信息'!$A:$I,8,0),"")</f>
        <v/>
      </c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64" t="str">
        <f t="shared" si="1"/>
        <v/>
      </c>
    </row>
    <row r="94" spans="1:19" x14ac:dyDescent="0.3">
      <c r="A94" s="46"/>
      <c r="B94" s="33" t="str">
        <f>IFERROR(VLOOKUP(A94,'1-1 基本信息'!$A:$K,11,0),"")</f>
        <v/>
      </c>
      <c r="C94" s="3" t="str">
        <f>IFERROR(VLOOKUP(A94,'1-1 基本信息'!$A:$I,8,0),"")</f>
        <v/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64" t="str">
        <f t="shared" si="1"/>
        <v/>
      </c>
    </row>
    <row r="95" spans="1:19" x14ac:dyDescent="0.3">
      <c r="A95" s="46"/>
      <c r="B95" s="33" t="str">
        <f>IFERROR(VLOOKUP(A95,'1-1 基本信息'!$A:$K,11,0),"")</f>
        <v/>
      </c>
      <c r="C95" s="3" t="str">
        <f>IFERROR(VLOOKUP(A95,'1-1 基本信息'!$A:$I,8,0),"")</f>
        <v/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64" t="str">
        <f t="shared" si="1"/>
        <v/>
      </c>
    </row>
    <row r="96" spans="1:19" x14ac:dyDescent="0.3">
      <c r="A96" s="46"/>
      <c r="B96" s="33" t="str">
        <f>IFERROR(VLOOKUP(A96,'1-1 基本信息'!$A:$K,11,0),"")</f>
        <v/>
      </c>
      <c r="C96" s="3" t="str">
        <f>IFERROR(VLOOKUP(A96,'1-1 基本信息'!$A:$I,8,0),"")</f>
        <v/>
      </c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64" t="str">
        <f t="shared" si="1"/>
        <v/>
      </c>
    </row>
    <row r="97" spans="1:19" x14ac:dyDescent="0.3">
      <c r="A97" s="46"/>
      <c r="B97" s="33" t="str">
        <f>IFERROR(VLOOKUP(A97,'1-1 基本信息'!$A:$K,11,0),"")</f>
        <v/>
      </c>
      <c r="C97" s="3" t="str">
        <f>IFERROR(VLOOKUP(A97,'1-1 基本信息'!$A:$I,8,0),"")</f>
        <v/>
      </c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64" t="str">
        <f t="shared" si="1"/>
        <v/>
      </c>
    </row>
    <row r="98" spans="1:19" x14ac:dyDescent="0.3">
      <c r="A98" s="46"/>
      <c r="B98" s="33" t="str">
        <f>IFERROR(VLOOKUP(A98,'1-1 基本信息'!$A:$K,11,0),"")</f>
        <v/>
      </c>
      <c r="C98" s="3" t="str">
        <f>IFERROR(VLOOKUP(A98,'1-1 基本信息'!$A:$I,8,0),"")</f>
        <v/>
      </c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64" t="str">
        <f t="shared" si="1"/>
        <v/>
      </c>
    </row>
    <row r="99" spans="1:19" x14ac:dyDescent="0.3">
      <c r="A99" s="46"/>
      <c r="B99" s="33" t="str">
        <f>IFERROR(VLOOKUP(A99,'1-1 基本信息'!$A:$K,11,0),"")</f>
        <v/>
      </c>
      <c r="C99" s="3" t="str">
        <f>IFERROR(VLOOKUP(A99,'1-1 基本信息'!$A:$I,8,0),"")</f>
        <v/>
      </c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64" t="str">
        <f t="shared" si="1"/>
        <v/>
      </c>
    </row>
    <row r="100" spans="1:19" x14ac:dyDescent="0.3">
      <c r="A100" s="46"/>
      <c r="B100" s="33" t="str">
        <f>IFERROR(VLOOKUP(A100,'1-1 基本信息'!$A:$K,11,0),"")</f>
        <v/>
      </c>
      <c r="C100" s="3" t="str">
        <f>IFERROR(VLOOKUP(A100,'1-1 基本信息'!$A:$I,8,0),"")</f>
        <v/>
      </c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64" t="str">
        <f t="shared" si="1"/>
        <v/>
      </c>
    </row>
    <row r="101" spans="1:19" x14ac:dyDescent="0.3">
      <c r="A101" s="46"/>
      <c r="B101" s="33" t="str">
        <f>IFERROR(VLOOKUP(A101,'1-1 基本信息'!$A:$K,11,0),"")</f>
        <v/>
      </c>
      <c r="C101" s="3" t="str">
        <f>IFERROR(VLOOKUP(A101,'1-1 基本信息'!$A:$I,8,0),"")</f>
        <v/>
      </c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64" t="str">
        <f t="shared" si="1"/>
        <v/>
      </c>
    </row>
    <row r="102" spans="1:19" x14ac:dyDescent="0.3">
      <c r="A102" s="46"/>
      <c r="B102" s="33" t="str">
        <f>IFERROR(VLOOKUP(A102,'1-1 基本信息'!$A:$K,11,0),"")</f>
        <v/>
      </c>
      <c r="C102" s="3" t="str">
        <f>IFERROR(VLOOKUP(A102,'1-1 基本信息'!$A:$I,8,0),"")</f>
        <v/>
      </c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64" t="str">
        <f t="shared" si="1"/>
        <v/>
      </c>
    </row>
    <row r="103" spans="1:19" x14ac:dyDescent="0.3">
      <c r="A103" s="46"/>
      <c r="B103" s="33" t="str">
        <f>IFERROR(VLOOKUP(A103,'1-1 基本信息'!$A:$K,11,0),"")</f>
        <v/>
      </c>
      <c r="C103" s="3" t="str">
        <f>IFERROR(VLOOKUP(A103,'1-1 基本信息'!$A:$I,8,0),"")</f>
        <v/>
      </c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64" t="str">
        <f t="shared" si="1"/>
        <v/>
      </c>
    </row>
    <row r="104" spans="1:19" x14ac:dyDescent="0.3">
      <c r="A104" s="46"/>
      <c r="B104" s="33" t="str">
        <f>IFERROR(VLOOKUP(A104,'1-1 基本信息'!$A:$K,11,0),"")</f>
        <v/>
      </c>
      <c r="C104" s="3" t="str">
        <f>IFERROR(VLOOKUP(A104,'1-1 基本信息'!$A:$I,8,0),"")</f>
        <v/>
      </c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64" t="str">
        <f t="shared" si="1"/>
        <v/>
      </c>
    </row>
    <row r="105" spans="1:19" x14ac:dyDescent="0.3">
      <c r="A105" s="46"/>
      <c r="B105" s="33" t="str">
        <f>IFERROR(VLOOKUP(A105,'1-1 基本信息'!$A:$K,11,0),"")</f>
        <v/>
      </c>
      <c r="C105" s="3" t="str">
        <f>IFERROR(VLOOKUP(A105,'1-1 基本信息'!$A:$I,8,0),"")</f>
        <v/>
      </c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64" t="str">
        <f t="shared" si="1"/>
        <v/>
      </c>
    </row>
    <row r="106" spans="1:19" x14ac:dyDescent="0.3">
      <c r="A106" s="46"/>
      <c r="B106" s="33" t="str">
        <f>IFERROR(VLOOKUP(A106,'1-1 基本信息'!$A:$K,11,0),"")</f>
        <v/>
      </c>
      <c r="C106" s="3" t="str">
        <f>IFERROR(VLOOKUP(A106,'1-1 基本信息'!$A:$I,8,0),"")</f>
        <v/>
      </c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64" t="str">
        <f t="shared" si="1"/>
        <v/>
      </c>
    </row>
    <row r="107" spans="1:19" x14ac:dyDescent="0.3">
      <c r="A107" s="46"/>
      <c r="B107" s="33" t="str">
        <f>IFERROR(VLOOKUP(A107,'1-1 基本信息'!$A:$K,11,0),"")</f>
        <v/>
      </c>
      <c r="C107" s="3" t="str">
        <f>IFERROR(VLOOKUP(A107,'1-1 基本信息'!$A:$I,8,0),"")</f>
        <v/>
      </c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64" t="str">
        <f t="shared" si="1"/>
        <v/>
      </c>
    </row>
    <row r="108" spans="1:19" x14ac:dyDescent="0.3">
      <c r="A108" s="46"/>
      <c r="B108" s="33" t="str">
        <f>IFERROR(VLOOKUP(A108,'1-1 基本信息'!$A:$K,11,0),"")</f>
        <v/>
      </c>
      <c r="C108" s="3" t="str">
        <f>IFERROR(VLOOKUP(A108,'1-1 基本信息'!$A:$I,8,0),"")</f>
        <v/>
      </c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64" t="str">
        <f t="shared" si="1"/>
        <v/>
      </c>
    </row>
    <row r="109" spans="1:19" x14ac:dyDescent="0.3">
      <c r="A109" s="46"/>
      <c r="B109" s="33" t="str">
        <f>IFERROR(VLOOKUP(A109,'1-1 基本信息'!$A:$K,11,0),"")</f>
        <v/>
      </c>
      <c r="C109" s="3" t="str">
        <f>IFERROR(VLOOKUP(A109,'1-1 基本信息'!$A:$I,8,0),"")</f>
        <v/>
      </c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64" t="str">
        <f t="shared" si="1"/>
        <v/>
      </c>
    </row>
    <row r="110" spans="1:19" x14ac:dyDescent="0.3">
      <c r="A110" s="46"/>
      <c r="B110" s="33" t="str">
        <f>IFERROR(VLOOKUP(A110,'1-1 基本信息'!$A:$K,11,0),"")</f>
        <v/>
      </c>
      <c r="C110" s="3" t="str">
        <f>IFERROR(VLOOKUP(A110,'1-1 基本信息'!$A:$I,8,0),"")</f>
        <v/>
      </c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64" t="str">
        <f t="shared" si="1"/>
        <v/>
      </c>
    </row>
    <row r="111" spans="1:19" x14ac:dyDescent="0.3">
      <c r="A111" s="46"/>
      <c r="B111" s="33" t="str">
        <f>IFERROR(VLOOKUP(A111,'1-1 基本信息'!$A:$K,11,0),"")</f>
        <v/>
      </c>
      <c r="C111" s="3" t="str">
        <f>IFERROR(VLOOKUP(A111,'1-1 基本信息'!$A:$I,8,0),"")</f>
        <v/>
      </c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64" t="str">
        <f t="shared" si="1"/>
        <v/>
      </c>
    </row>
    <row r="112" spans="1:19" x14ac:dyDescent="0.3">
      <c r="A112" s="46"/>
      <c r="B112" s="33" t="str">
        <f>IFERROR(VLOOKUP(A112,'1-1 基本信息'!$A:$K,11,0),"")</f>
        <v/>
      </c>
      <c r="C112" s="3" t="str">
        <f>IFERROR(VLOOKUP(A112,'1-1 基本信息'!$A:$I,8,0),"")</f>
        <v/>
      </c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64" t="str">
        <f t="shared" si="1"/>
        <v/>
      </c>
    </row>
    <row r="113" spans="1:19" x14ac:dyDescent="0.3">
      <c r="A113" s="46"/>
      <c r="B113" s="33" t="str">
        <f>IFERROR(VLOOKUP(A113,'1-1 基本信息'!$A:$K,11,0),"")</f>
        <v/>
      </c>
      <c r="C113" s="3" t="str">
        <f>IFERROR(VLOOKUP(A113,'1-1 基本信息'!$A:$I,8,0),"")</f>
        <v/>
      </c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64" t="str">
        <f t="shared" si="1"/>
        <v/>
      </c>
    </row>
    <row r="114" spans="1:19" x14ac:dyDescent="0.3">
      <c r="A114" s="46"/>
      <c r="B114" s="33" t="str">
        <f>IFERROR(VLOOKUP(A114,'1-1 基本信息'!$A:$K,11,0),"")</f>
        <v/>
      </c>
      <c r="C114" s="3" t="str">
        <f>IFERROR(VLOOKUP(A114,'1-1 基本信息'!$A:$I,8,0),"")</f>
        <v/>
      </c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64" t="str">
        <f t="shared" si="1"/>
        <v/>
      </c>
    </row>
    <row r="115" spans="1:19" x14ac:dyDescent="0.3">
      <c r="A115" s="46"/>
      <c r="B115" s="33" t="str">
        <f>IFERROR(VLOOKUP(A115,'1-1 基本信息'!$A:$K,11,0),"")</f>
        <v/>
      </c>
      <c r="C115" s="3" t="str">
        <f>IFERROR(VLOOKUP(A115,'1-1 基本信息'!$A:$I,8,0),"")</f>
        <v/>
      </c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64" t="str">
        <f t="shared" si="1"/>
        <v/>
      </c>
    </row>
    <row r="116" spans="1:19" x14ac:dyDescent="0.3">
      <c r="A116" s="46"/>
      <c r="B116" s="33" t="str">
        <f>IFERROR(VLOOKUP(A116,'1-1 基本信息'!$A:$K,11,0),"")</f>
        <v/>
      </c>
      <c r="C116" s="3" t="str">
        <f>IFERROR(VLOOKUP(A116,'1-1 基本信息'!$A:$I,8,0),"")</f>
        <v/>
      </c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64" t="str">
        <f t="shared" si="1"/>
        <v/>
      </c>
    </row>
    <row r="117" spans="1:19" x14ac:dyDescent="0.3">
      <c r="A117" s="46"/>
      <c r="B117" s="33" t="str">
        <f>IFERROR(VLOOKUP(A117,'1-1 基本信息'!$A:$K,11,0),"")</f>
        <v/>
      </c>
      <c r="C117" s="3" t="str">
        <f>IFERROR(VLOOKUP(A117,'1-1 基本信息'!$A:$I,8,0),"")</f>
        <v/>
      </c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64" t="str">
        <f t="shared" si="1"/>
        <v/>
      </c>
    </row>
    <row r="118" spans="1:19" x14ac:dyDescent="0.3">
      <c r="A118" s="46"/>
      <c r="B118" s="33" t="str">
        <f>IFERROR(VLOOKUP(A118,'1-1 基本信息'!$A:$K,11,0),"")</f>
        <v/>
      </c>
      <c r="C118" s="3" t="str">
        <f>IFERROR(VLOOKUP(A118,'1-1 基本信息'!$A:$I,8,0),"")</f>
        <v/>
      </c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64" t="str">
        <f t="shared" si="1"/>
        <v/>
      </c>
    </row>
    <row r="119" spans="1:19" x14ac:dyDescent="0.3">
      <c r="A119" s="46"/>
      <c r="B119" s="33" t="str">
        <f>IFERROR(VLOOKUP(A119,'1-1 基本信息'!$A:$K,11,0),"")</f>
        <v/>
      </c>
      <c r="C119" s="3" t="str">
        <f>IFERROR(VLOOKUP(A119,'1-1 基本信息'!$A:$I,8,0),"")</f>
        <v/>
      </c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64" t="str">
        <f t="shared" si="1"/>
        <v/>
      </c>
    </row>
    <row r="120" spans="1:19" x14ac:dyDescent="0.3">
      <c r="A120" s="46"/>
      <c r="B120" s="33" t="str">
        <f>IFERROR(VLOOKUP(A120,'1-1 基本信息'!$A:$K,11,0),"")</f>
        <v/>
      </c>
      <c r="C120" s="3" t="str">
        <f>IFERROR(VLOOKUP(A120,'1-1 基本信息'!$A:$I,8,0),"")</f>
        <v/>
      </c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64" t="str">
        <f t="shared" si="1"/>
        <v/>
      </c>
    </row>
    <row r="121" spans="1:19" x14ac:dyDescent="0.3">
      <c r="A121" s="46"/>
      <c r="B121" s="33" t="str">
        <f>IFERROR(VLOOKUP(A121,'1-1 基本信息'!$A:$K,11,0),"")</f>
        <v/>
      </c>
      <c r="C121" s="3" t="str">
        <f>IFERROR(VLOOKUP(A121,'1-1 基本信息'!$A:$I,8,0),"")</f>
        <v/>
      </c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64" t="str">
        <f t="shared" si="1"/>
        <v/>
      </c>
    </row>
    <row r="122" spans="1:19" x14ac:dyDescent="0.3">
      <c r="A122" s="46"/>
      <c r="B122" s="33" t="str">
        <f>IFERROR(VLOOKUP(A122,'1-1 基本信息'!$A:$K,11,0),"")</f>
        <v/>
      </c>
      <c r="C122" s="3" t="str">
        <f>IFERROR(VLOOKUP(A122,'1-1 基本信息'!$A:$I,8,0),"")</f>
        <v/>
      </c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64" t="str">
        <f t="shared" si="1"/>
        <v/>
      </c>
    </row>
    <row r="123" spans="1:19" x14ac:dyDescent="0.3">
      <c r="A123" s="46"/>
      <c r="B123" s="33" t="str">
        <f>IFERROR(VLOOKUP(A123,'1-1 基本信息'!$A:$K,11,0),"")</f>
        <v/>
      </c>
      <c r="C123" s="3" t="str">
        <f>IFERROR(VLOOKUP(A123,'1-1 基本信息'!$A:$I,8,0),"")</f>
        <v/>
      </c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64" t="str">
        <f t="shared" si="1"/>
        <v/>
      </c>
    </row>
    <row r="124" spans="1:19" x14ac:dyDescent="0.3">
      <c r="A124" s="46"/>
      <c r="B124" s="33" t="str">
        <f>IFERROR(VLOOKUP(A124,'1-1 基本信息'!$A:$K,11,0),"")</f>
        <v/>
      </c>
      <c r="C124" s="3" t="str">
        <f>IFERROR(VLOOKUP(A124,'1-1 基本信息'!$A:$I,8,0),"")</f>
        <v/>
      </c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64" t="str">
        <f t="shared" si="1"/>
        <v/>
      </c>
    </row>
    <row r="125" spans="1:19" x14ac:dyDescent="0.3">
      <c r="A125" s="46"/>
      <c r="B125" s="33" t="str">
        <f>IFERROR(VLOOKUP(A125,'1-1 基本信息'!$A:$K,11,0),"")</f>
        <v/>
      </c>
      <c r="C125" s="3" t="str">
        <f>IFERROR(VLOOKUP(A125,'1-1 基本信息'!$A:$I,8,0),"")</f>
        <v/>
      </c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64" t="str">
        <f t="shared" si="1"/>
        <v/>
      </c>
    </row>
    <row r="126" spans="1:19" x14ac:dyDescent="0.3">
      <c r="A126" s="46"/>
      <c r="B126" s="33" t="str">
        <f>IFERROR(VLOOKUP(A126,'1-1 基本信息'!$A:$K,11,0),"")</f>
        <v/>
      </c>
      <c r="C126" s="3" t="str">
        <f>IFERROR(VLOOKUP(A126,'1-1 基本信息'!$A:$I,8,0),"")</f>
        <v/>
      </c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64" t="str">
        <f t="shared" si="1"/>
        <v/>
      </c>
    </row>
    <row r="127" spans="1:19" x14ac:dyDescent="0.3">
      <c r="A127" s="46"/>
      <c r="B127" s="33" t="str">
        <f>IFERROR(VLOOKUP(A127,'1-1 基本信息'!$A:$K,11,0),"")</f>
        <v/>
      </c>
      <c r="C127" s="3" t="str">
        <f>IFERROR(VLOOKUP(A127,'1-1 基本信息'!$A:$I,8,0),"")</f>
        <v/>
      </c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64" t="str">
        <f t="shared" si="1"/>
        <v/>
      </c>
    </row>
    <row r="128" spans="1:19" x14ac:dyDescent="0.3">
      <c r="A128" s="46"/>
      <c r="B128" s="33" t="str">
        <f>IFERROR(VLOOKUP(A128,'1-1 基本信息'!$A:$K,11,0),"")</f>
        <v/>
      </c>
      <c r="C128" s="3" t="str">
        <f>IFERROR(VLOOKUP(A128,'1-1 基本信息'!$A:$I,8,0),"")</f>
        <v/>
      </c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64" t="str">
        <f t="shared" si="1"/>
        <v/>
      </c>
    </row>
    <row r="129" spans="1:19" x14ac:dyDescent="0.3">
      <c r="A129" s="46"/>
      <c r="B129" s="33" t="str">
        <f>IFERROR(VLOOKUP(A129,'1-1 基本信息'!$A:$K,11,0),"")</f>
        <v/>
      </c>
      <c r="C129" s="3" t="str">
        <f>IFERROR(VLOOKUP(A129,'1-1 基本信息'!$A:$I,8,0),"")</f>
        <v/>
      </c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64" t="str">
        <f t="shared" si="1"/>
        <v/>
      </c>
    </row>
    <row r="130" spans="1:19" x14ac:dyDescent="0.3">
      <c r="A130" s="46"/>
      <c r="B130" s="33" t="str">
        <f>IFERROR(VLOOKUP(A130,'1-1 基本信息'!$A:$K,11,0),"")</f>
        <v/>
      </c>
      <c r="C130" s="3" t="str">
        <f>IFERROR(VLOOKUP(A130,'1-1 基本信息'!$A:$I,8,0),"")</f>
        <v/>
      </c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64" t="str">
        <f t="shared" si="1"/>
        <v/>
      </c>
    </row>
    <row r="131" spans="1:19" x14ac:dyDescent="0.3">
      <c r="A131" s="46"/>
      <c r="B131" s="33" t="str">
        <f>IFERROR(VLOOKUP(A131,'1-1 基本信息'!$A:$K,11,0),"")</f>
        <v/>
      </c>
      <c r="C131" s="3" t="str">
        <f>IFERROR(VLOOKUP(A131,'1-1 基本信息'!$A:$I,8,0),"")</f>
        <v/>
      </c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64" t="str">
        <f t="shared" si="1"/>
        <v/>
      </c>
    </row>
    <row r="132" spans="1:19" x14ac:dyDescent="0.3">
      <c r="A132" s="46"/>
      <c r="B132" s="33" t="str">
        <f>IFERROR(VLOOKUP(A132,'1-1 基本信息'!$A:$K,11,0),"")</f>
        <v/>
      </c>
      <c r="C132" s="3" t="str">
        <f>IFERROR(VLOOKUP(A132,'1-1 基本信息'!$A:$I,8,0),"")</f>
        <v/>
      </c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64" t="str">
        <f t="shared" ref="S132:S195" si="2">IF(E132&lt;&gt;"",AVERAGE(D132:R132),"")</f>
        <v/>
      </c>
    </row>
    <row r="133" spans="1:19" x14ac:dyDescent="0.3">
      <c r="A133" s="46"/>
      <c r="B133" s="33" t="str">
        <f>IFERROR(VLOOKUP(A133,'1-1 基本信息'!$A:$K,11,0),"")</f>
        <v/>
      </c>
      <c r="C133" s="3" t="str">
        <f>IFERROR(VLOOKUP(A133,'1-1 基本信息'!$A:$I,8,0),"")</f>
        <v/>
      </c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64" t="str">
        <f t="shared" si="2"/>
        <v/>
      </c>
    </row>
    <row r="134" spans="1:19" x14ac:dyDescent="0.3">
      <c r="A134" s="46"/>
      <c r="B134" s="33" t="str">
        <f>IFERROR(VLOOKUP(A134,'1-1 基本信息'!$A:$K,11,0),"")</f>
        <v/>
      </c>
      <c r="C134" s="3" t="str">
        <f>IFERROR(VLOOKUP(A134,'1-1 基本信息'!$A:$I,8,0),"")</f>
        <v/>
      </c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64" t="str">
        <f t="shared" si="2"/>
        <v/>
      </c>
    </row>
    <row r="135" spans="1:19" x14ac:dyDescent="0.3">
      <c r="A135" s="46"/>
      <c r="B135" s="33" t="str">
        <f>IFERROR(VLOOKUP(A135,'1-1 基本信息'!$A:$K,11,0),"")</f>
        <v/>
      </c>
      <c r="C135" s="3" t="str">
        <f>IFERROR(VLOOKUP(A135,'1-1 基本信息'!$A:$I,8,0),"")</f>
        <v/>
      </c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64" t="str">
        <f t="shared" si="2"/>
        <v/>
      </c>
    </row>
    <row r="136" spans="1:19" x14ac:dyDescent="0.3">
      <c r="A136" s="46"/>
      <c r="B136" s="33" t="str">
        <f>IFERROR(VLOOKUP(A136,'1-1 基本信息'!$A:$K,11,0),"")</f>
        <v/>
      </c>
      <c r="C136" s="3" t="str">
        <f>IFERROR(VLOOKUP(A136,'1-1 基本信息'!$A:$I,8,0),"")</f>
        <v/>
      </c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64" t="str">
        <f t="shared" si="2"/>
        <v/>
      </c>
    </row>
    <row r="137" spans="1:19" x14ac:dyDescent="0.3">
      <c r="A137" s="46"/>
      <c r="B137" s="33" t="str">
        <f>IFERROR(VLOOKUP(A137,'1-1 基本信息'!$A:$K,11,0),"")</f>
        <v/>
      </c>
      <c r="C137" s="3" t="str">
        <f>IFERROR(VLOOKUP(A137,'1-1 基本信息'!$A:$I,8,0),"")</f>
        <v/>
      </c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64" t="str">
        <f t="shared" si="2"/>
        <v/>
      </c>
    </row>
    <row r="138" spans="1:19" x14ac:dyDescent="0.3">
      <c r="A138" s="46"/>
      <c r="B138" s="33" t="str">
        <f>IFERROR(VLOOKUP(A138,'1-1 基本信息'!$A:$K,11,0),"")</f>
        <v/>
      </c>
      <c r="C138" s="3" t="str">
        <f>IFERROR(VLOOKUP(A138,'1-1 基本信息'!$A:$I,8,0),"")</f>
        <v/>
      </c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64" t="str">
        <f t="shared" si="2"/>
        <v/>
      </c>
    </row>
    <row r="139" spans="1:19" x14ac:dyDescent="0.3">
      <c r="A139" s="46"/>
      <c r="B139" s="33" t="str">
        <f>IFERROR(VLOOKUP(A139,'1-1 基本信息'!$A:$K,11,0),"")</f>
        <v/>
      </c>
      <c r="C139" s="3" t="str">
        <f>IFERROR(VLOOKUP(A139,'1-1 基本信息'!$A:$I,8,0),"")</f>
        <v/>
      </c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64" t="str">
        <f t="shared" si="2"/>
        <v/>
      </c>
    </row>
    <row r="140" spans="1:19" x14ac:dyDescent="0.3">
      <c r="A140" s="46"/>
      <c r="B140" s="33" t="str">
        <f>IFERROR(VLOOKUP(A140,'1-1 基本信息'!$A:$K,11,0),"")</f>
        <v/>
      </c>
      <c r="C140" s="3" t="str">
        <f>IFERROR(VLOOKUP(A140,'1-1 基本信息'!$A:$I,8,0),"")</f>
        <v/>
      </c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64" t="str">
        <f t="shared" si="2"/>
        <v/>
      </c>
    </row>
    <row r="141" spans="1:19" x14ac:dyDescent="0.3">
      <c r="A141" s="46"/>
      <c r="B141" s="33" t="str">
        <f>IFERROR(VLOOKUP(A141,'1-1 基本信息'!$A:$K,11,0),"")</f>
        <v/>
      </c>
      <c r="C141" s="3" t="str">
        <f>IFERROR(VLOOKUP(A141,'1-1 基本信息'!$A:$I,8,0),"")</f>
        <v/>
      </c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64" t="str">
        <f t="shared" si="2"/>
        <v/>
      </c>
    </row>
    <row r="142" spans="1:19" x14ac:dyDescent="0.3">
      <c r="A142" s="46"/>
      <c r="B142" s="33" t="str">
        <f>IFERROR(VLOOKUP(A142,'1-1 基本信息'!$A:$K,11,0),"")</f>
        <v/>
      </c>
      <c r="C142" s="3" t="str">
        <f>IFERROR(VLOOKUP(A142,'1-1 基本信息'!$A:$I,8,0),"")</f>
        <v/>
      </c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64" t="str">
        <f t="shared" si="2"/>
        <v/>
      </c>
    </row>
    <row r="143" spans="1:19" x14ac:dyDescent="0.3">
      <c r="A143" s="46"/>
      <c r="B143" s="33" t="str">
        <f>IFERROR(VLOOKUP(A143,'1-1 基本信息'!$A:$K,11,0),"")</f>
        <v/>
      </c>
      <c r="C143" s="3" t="str">
        <f>IFERROR(VLOOKUP(A143,'1-1 基本信息'!$A:$I,8,0),"")</f>
        <v/>
      </c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64" t="str">
        <f t="shared" si="2"/>
        <v/>
      </c>
    </row>
    <row r="144" spans="1:19" x14ac:dyDescent="0.3">
      <c r="A144" s="46"/>
      <c r="B144" s="33" t="str">
        <f>IFERROR(VLOOKUP(A144,'1-1 基本信息'!$A:$K,11,0),"")</f>
        <v/>
      </c>
      <c r="C144" s="3" t="str">
        <f>IFERROR(VLOOKUP(A144,'1-1 基本信息'!$A:$I,8,0),"")</f>
        <v/>
      </c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64" t="str">
        <f t="shared" si="2"/>
        <v/>
      </c>
    </row>
    <row r="145" spans="1:19" x14ac:dyDescent="0.3">
      <c r="A145" s="46"/>
      <c r="B145" s="33" t="str">
        <f>IFERROR(VLOOKUP(A145,'1-1 基本信息'!$A:$K,11,0),"")</f>
        <v/>
      </c>
      <c r="C145" s="3" t="str">
        <f>IFERROR(VLOOKUP(A145,'1-1 基本信息'!$A:$I,8,0),"")</f>
        <v/>
      </c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64" t="str">
        <f t="shared" si="2"/>
        <v/>
      </c>
    </row>
    <row r="146" spans="1:19" x14ac:dyDescent="0.3">
      <c r="A146" s="46"/>
      <c r="B146" s="33" t="str">
        <f>IFERROR(VLOOKUP(A146,'1-1 基本信息'!$A:$K,11,0),"")</f>
        <v/>
      </c>
      <c r="C146" s="3" t="str">
        <f>IFERROR(VLOOKUP(A146,'1-1 基本信息'!$A:$I,8,0),"")</f>
        <v/>
      </c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64" t="str">
        <f t="shared" si="2"/>
        <v/>
      </c>
    </row>
    <row r="147" spans="1:19" x14ac:dyDescent="0.3">
      <c r="A147" s="46"/>
      <c r="B147" s="33" t="str">
        <f>IFERROR(VLOOKUP(A147,'1-1 基本信息'!$A:$K,11,0),"")</f>
        <v/>
      </c>
      <c r="C147" s="3" t="str">
        <f>IFERROR(VLOOKUP(A147,'1-1 基本信息'!$A:$I,8,0),"")</f>
        <v/>
      </c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64" t="str">
        <f t="shared" si="2"/>
        <v/>
      </c>
    </row>
    <row r="148" spans="1:19" x14ac:dyDescent="0.3">
      <c r="A148" s="46"/>
      <c r="B148" s="33" t="str">
        <f>IFERROR(VLOOKUP(A148,'1-1 基本信息'!$A:$K,11,0),"")</f>
        <v/>
      </c>
      <c r="C148" s="3" t="str">
        <f>IFERROR(VLOOKUP(A148,'1-1 基本信息'!$A:$I,8,0),"")</f>
        <v/>
      </c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64" t="str">
        <f t="shared" si="2"/>
        <v/>
      </c>
    </row>
    <row r="149" spans="1:19" x14ac:dyDescent="0.3">
      <c r="A149" s="46"/>
      <c r="B149" s="33" t="str">
        <f>IFERROR(VLOOKUP(A149,'1-1 基本信息'!$A:$K,11,0),"")</f>
        <v/>
      </c>
      <c r="C149" s="3" t="str">
        <f>IFERROR(VLOOKUP(A149,'1-1 基本信息'!$A:$I,8,0),"")</f>
        <v/>
      </c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64" t="str">
        <f t="shared" si="2"/>
        <v/>
      </c>
    </row>
    <row r="150" spans="1:19" x14ac:dyDescent="0.3">
      <c r="A150" s="46"/>
      <c r="B150" s="33" t="str">
        <f>IFERROR(VLOOKUP(A150,'1-1 基本信息'!$A:$K,11,0),"")</f>
        <v/>
      </c>
      <c r="C150" s="3" t="str">
        <f>IFERROR(VLOOKUP(A150,'1-1 基本信息'!$A:$I,8,0),"")</f>
        <v/>
      </c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64" t="str">
        <f t="shared" si="2"/>
        <v/>
      </c>
    </row>
    <row r="151" spans="1:19" x14ac:dyDescent="0.3">
      <c r="A151" s="46"/>
      <c r="B151" s="33" t="str">
        <f>IFERROR(VLOOKUP(A151,'1-1 基本信息'!$A:$K,11,0),"")</f>
        <v/>
      </c>
      <c r="C151" s="3" t="str">
        <f>IFERROR(VLOOKUP(A151,'1-1 基本信息'!$A:$I,8,0),"")</f>
        <v/>
      </c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64" t="str">
        <f t="shared" si="2"/>
        <v/>
      </c>
    </row>
    <row r="152" spans="1:19" x14ac:dyDescent="0.3">
      <c r="A152" s="46"/>
      <c r="B152" s="33" t="str">
        <f>IFERROR(VLOOKUP(A152,'1-1 基本信息'!$A:$K,11,0),"")</f>
        <v/>
      </c>
      <c r="C152" s="3" t="str">
        <f>IFERROR(VLOOKUP(A152,'1-1 基本信息'!$A:$I,8,0),"")</f>
        <v/>
      </c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64" t="str">
        <f t="shared" si="2"/>
        <v/>
      </c>
    </row>
    <row r="153" spans="1:19" x14ac:dyDescent="0.3">
      <c r="A153" s="46"/>
      <c r="B153" s="33" t="str">
        <f>IFERROR(VLOOKUP(A153,'1-1 基本信息'!$A:$K,11,0),"")</f>
        <v/>
      </c>
      <c r="C153" s="3" t="str">
        <f>IFERROR(VLOOKUP(A153,'1-1 基本信息'!$A:$I,8,0),"")</f>
        <v/>
      </c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64" t="str">
        <f t="shared" si="2"/>
        <v/>
      </c>
    </row>
    <row r="154" spans="1:19" x14ac:dyDescent="0.3">
      <c r="A154" s="46"/>
      <c r="B154" s="33" t="str">
        <f>IFERROR(VLOOKUP(A154,'1-1 基本信息'!$A:$K,11,0),"")</f>
        <v/>
      </c>
      <c r="C154" s="3" t="str">
        <f>IFERROR(VLOOKUP(A154,'1-1 基本信息'!$A:$I,8,0),"")</f>
        <v/>
      </c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64" t="str">
        <f t="shared" si="2"/>
        <v/>
      </c>
    </row>
    <row r="155" spans="1:19" x14ac:dyDescent="0.3">
      <c r="A155" s="46"/>
      <c r="B155" s="33" t="str">
        <f>IFERROR(VLOOKUP(A155,'1-1 基本信息'!$A:$K,11,0),"")</f>
        <v/>
      </c>
      <c r="C155" s="3" t="str">
        <f>IFERROR(VLOOKUP(A155,'1-1 基本信息'!$A:$I,8,0),"")</f>
        <v/>
      </c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64" t="str">
        <f t="shared" si="2"/>
        <v/>
      </c>
    </row>
    <row r="156" spans="1:19" x14ac:dyDescent="0.3">
      <c r="A156" s="46"/>
      <c r="B156" s="33" t="str">
        <f>IFERROR(VLOOKUP(A156,'1-1 基本信息'!$A:$K,11,0),"")</f>
        <v/>
      </c>
      <c r="C156" s="3" t="str">
        <f>IFERROR(VLOOKUP(A156,'1-1 基本信息'!$A:$I,8,0),"")</f>
        <v/>
      </c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64" t="str">
        <f t="shared" si="2"/>
        <v/>
      </c>
    </row>
    <row r="157" spans="1:19" x14ac:dyDescent="0.3">
      <c r="A157" s="46"/>
      <c r="B157" s="33" t="str">
        <f>IFERROR(VLOOKUP(A157,'1-1 基本信息'!$A:$K,11,0),"")</f>
        <v/>
      </c>
      <c r="C157" s="3" t="str">
        <f>IFERROR(VLOOKUP(A157,'1-1 基本信息'!$A:$I,8,0),"")</f>
        <v/>
      </c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64" t="str">
        <f t="shared" si="2"/>
        <v/>
      </c>
    </row>
    <row r="158" spans="1:19" x14ac:dyDescent="0.3">
      <c r="A158" s="46"/>
      <c r="B158" s="33" t="str">
        <f>IFERROR(VLOOKUP(A158,'1-1 基本信息'!$A:$K,11,0),"")</f>
        <v/>
      </c>
      <c r="C158" s="3" t="str">
        <f>IFERROR(VLOOKUP(A158,'1-1 基本信息'!$A:$I,8,0),"")</f>
        <v/>
      </c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64" t="str">
        <f t="shared" si="2"/>
        <v/>
      </c>
    </row>
    <row r="159" spans="1:19" x14ac:dyDescent="0.3">
      <c r="A159" s="46"/>
      <c r="B159" s="33" t="str">
        <f>IFERROR(VLOOKUP(A159,'1-1 基本信息'!$A:$K,11,0),"")</f>
        <v/>
      </c>
      <c r="C159" s="3" t="str">
        <f>IFERROR(VLOOKUP(A159,'1-1 基本信息'!$A:$I,8,0),"")</f>
        <v/>
      </c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64" t="str">
        <f t="shared" si="2"/>
        <v/>
      </c>
    </row>
    <row r="160" spans="1:19" x14ac:dyDescent="0.3">
      <c r="A160" s="46"/>
      <c r="B160" s="33" t="str">
        <f>IFERROR(VLOOKUP(A160,'1-1 基本信息'!$A:$K,11,0),"")</f>
        <v/>
      </c>
      <c r="C160" s="3" t="str">
        <f>IFERROR(VLOOKUP(A160,'1-1 基本信息'!$A:$I,8,0),"")</f>
        <v/>
      </c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64" t="str">
        <f t="shared" si="2"/>
        <v/>
      </c>
    </row>
    <row r="161" spans="1:19" x14ac:dyDescent="0.3">
      <c r="A161" s="46"/>
      <c r="B161" s="33" t="str">
        <f>IFERROR(VLOOKUP(A161,'1-1 基本信息'!$A:$K,11,0),"")</f>
        <v/>
      </c>
      <c r="C161" s="3" t="str">
        <f>IFERROR(VLOOKUP(A161,'1-1 基本信息'!$A:$I,8,0),"")</f>
        <v/>
      </c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64" t="str">
        <f t="shared" si="2"/>
        <v/>
      </c>
    </row>
    <row r="162" spans="1:19" x14ac:dyDescent="0.3">
      <c r="A162" s="46"/>
      <c r="B162" s="33" t="str">
        <f>IFERROR(VLOOKUP(A162,'1-1 基本信息'!$A:$K,11,0),"")</f>
        <v/>
      </c>
      <c r="C162" s="3" t="str">
        <f>IFERROR(VLOOKUP(A162,'1-1 基本信息'!$A:$I,8,0),"")</f>
        <v/>
      </c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64" t="str">
        <f t="shared" si="2"/>
        <v/>
      </c>
    </row>
    <row r="163" spans="1:19" x14ac:dyDescent="0.3">
      <c r="A163" s="46"/>
      <c r="B163" s="33" t="str">
        <f>IFERROR(VLOOKUP(A163,'1-1 基本信息'!$A:$K,11,0),"")</f>
        <v/>
      </c>
      <c r="C163" s="3" t="str">
        <f>IFERROR(VLOOKUP(A163,'1-1 基本信息'!$A:$I,8,0),"")</f>
        <v/>
      </c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64" t="str">
        <f t="shared" si="2"/>
        <v/>
      </c>
    </row>
    <row r="164" spans="1:19" x14ac:dyDescent="0.3">
      <c r="A164" s="46"/>
      <c r="B164" s="33" t="str">
        <f>IFERROR(VLOOKUP(A164,'1-1 基本信息'!$A:$K,11,0),"")</f>
        <v/>
      </c>
      <c r="C164" s="3" t="str">
        <f>IFERROR(VLOOKUP(A164,'1-1 基本信息'!$A:$I,8,0),"")</f>
        <v/>
      </c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64" t="str">
        <f t="shared" si="2"/>
        <v/>
      </c>
    </row>
    <row r="165" spans="1:19" x14ac:dyDescent="0.3">
      <c r="A165" s="46"/>
      <c r="B165" s="33" t="str">
        <f>IFERROR(VLOOKUP(A165,'1-1 基本信息'!$A:$K,11,0),"")</f>
        <v/>
      </c>
      <c r="C165" s="3" t="str">
        <f>IFERROR(VLOOKUP(A165,'1-1 基本信息'!$A:$I,8,0),"")</f>
        <v/>
      </c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64" t="str">
        <f t="shared" si="2"/>
        <v/>
      </c>
    </row>
    <row r="166" spans="1:19" x14ac:dyDescent="0.3">
      <c r="A166" s="46"/>
      <c r="B166" s="33" t="str">
        <f>IFERROR(VLOOKUP(A166,'1-1 基本信息'!$A:$K,11,0),"")</f>
        <v/>
      </c>
      <c r="C166" s="3" t="str">
        <f>IFERROR(VLOOKUP(A166,'1-1 基本信息'!$A:$I,8,0),"")</f>
        <v/>
      </c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64" t="str">
        <f t="shared" si="2"/>
        <v/>
      </c>
    </row>
    <row r="167" spans="1:19" x14ac:dyDescent="0.3">
      <c r="A167" s="46"/>
      <c r="B167" s="33" t="str">
        <f>IFERROR(VLOOKUP(A167,'1-1 基本信息'!$A:$K,11,0),"")</f>
        <v/>
      </c>
      <c r="C167" s="3" t="str">
        <f>IFERROR(VLOOKUP(A167,'1-1 基本信息'!$A:$I,8,0),"")</f>
        <v/>
      </c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64" t="str">
        <f t="shared" si="2"/>
        <v/>
      </c>
    </row>
    <row r="168" spans="1:19" x14ac:dyDescent="0.3">
      <c r="A168" s="46"/>
      <c r="B168" s="33" t="str">
        <f>IFERROR(VLOOKUP(A168,'1-1 基本信息'!$A:$K,11,0),"")</f>
        <v/>
      </c>
      <c r="C168" s="3" t="str">
        <f>IFERROR(VLOOKUP(A168,'1-1 基本信息'!$A:$I,8,0),"")</f>
        <v/>
      </c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64" t="str">
        <f t="shared" si="2"/>
        <v/>
      </c>
    </row>
    <row r="169" spans="1:19" x14ac:dyDescent="0.3">
      <c r="A169" s="46"/>
      <c r="B169" s="33" t="str">
        <f>IFERROR(VLOOKUP(A169,'1-1 基本信息'!$A:$K,11,0),"")</f>
        <v/>
      </c>
      <c r="C169" s="3" t="str">
        <f>IFERROR(VLOOKUP(A169,'1-1 基本信息'!$A:$I,8,0),"")</f>
        <v/>
      </c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64" t="str">
        <f t="shared" si="2"/>
        <v/>
      </c>
    </row>
    <row r="170" spans="1:19" x14ac:dyDescent="0.3">
      <c r="A170" s="46"/>
      <c r="B170" s="33" t="str">
        <f>IFERROR(VLOOKUP(A170,'1-1 基本信息'!$A:$K,11,0),"")</f>
        <v/>
      </c>
      <c r="C170" s="3" t="str">
        <f>IFERROR(VLOOKUP(A170,'1-1 基本信息'!$A:$I,8,0),"")</f>
        <v/>
      </c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64" t="str">
        <f t="shared" si="2"/>
        <v/>
      </c>
    </row>
    <row r="171" spans="1:19" x14ac:dyDescent="0.3">
      <c r="A171" s="46"/>
      <c r="B171" s="33" t="str">
        <f>IFERROR(VLOOKUP(A171,'1-1 基本信息'!$A:$K,11,0),"")</f>
        <v/>
      </c>
      <c r="C171" s="3" t="str">
        <f>IFERROR(VLOOKUP(A171,'1-1 基本信息'!$A:$I,8,0),"")</f>
        <v/>
      </c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64" t="str">
        <f t="shared" si="2"/>
        <v/>
      </c>
    </row>
    <row r="172" spans="1:19" x14ac:dyDescent="0.3">
      <c r="A172" s="46"/>
      <c r="B172" s="33" t="str">
        <f>IFERROR(VLOOKUP(A172,'1-1 基本信息'!$A:$K,11,0),"")</f>
        <v/>
      </c>
      <c r="C172" s="3" t="str">
        <f>IFERROR(VLOOKUP(A172,'1-1 基本信息'!$A:$I,8,0),"")</f>
        <v/>
      </c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64" t="str">
        <f t="shared" si="2"/>
        <v/>
      </c>
    </row>
    <row r="173" spans="1:19" x14ac:dyDescent="0.3">
      <c r="A173" s="46"/>
      <c r="B173" s="33" t="str">
        <f>IFERROR(VLOOKUP(A173,'1-1 基本信息'!$A:$K,11,0),"")</f>
        <v/>
      </c>
      <c r="C173" s="3" t="str">
        <f>IFERROR(VLOOKUP(A173,'1-1 基本信息'!$A:$I,8,0),"")</f>
        <v/>
      </c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64" t="str">
        <f t="shared" si="2"/>
        <v/>
      </c>
    </row>
    <row r="174" spans="1:19" x14ac:dyDescent="0.3">
      <c r="A174" s="46"/>
      <c r="B174" s="33" t="str">
        <f>IFERROR(VLOOKUP(A174,'1-1 基本信息'!$A:$K,11,0),"")</f>
        <v/>
      </c>
      <c r="C174" s="3" t="str">
        <f>IFERROR(VLOOKUP(A174,'1-1 基本信息'!$A:$I,8,0),"")</f>
        <v/>
      </c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64" t="str">
        <f t="shared" si="2"/>
        <v/>
      </c>
    </row>
    <row r="175" spans="1:19" x14ac:dyDescent="0.3">
      <c r="A175" s="46"/>
      <c r="B175" s="33" t="str">
        <f>IFERROR(VLOOKUP(A175,'1-1 基本信息'!$A:$K,11,0),"")</f>
        <v/>
      </c>
      <c r="C175" s="3" t="str">
        <f>IFERROR(VLOOKUP(A175,'1-1 基本信息'!$A:$I,8,0),"")</f>
        <v/>
      </c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64" t="str">
        <f t="shared" si="2"/>
        <v/>
      </c>
    </row>
    <row r="176" spans="1:19" x14ac:dyDescent="0.3">
      <c r="A176" s="46"/>
      <c r="B176" s="33" t="str">
        <f>IFERROR(VLOOKUP(A176,'1-1 基本信息'!$A:$K,11,0),"")</f>
        <v/>
      </c>
      <c r="C176" s="3" t="str">
        <f>IFERROR(VLOOKUP(A176,'1-1 基本信息'!$A:$I,8,0),"")</f>
        <v/>
      </c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64" t="str">
        <f t="shared" si="2"/>
        <v/>
      </c>
    </row>
    <row r="177" spans="1:19" x14ac:dyDescent="0.3">
      <c r="A177" s="46"/>
      <c r="B177" s="33" t="str">
        <f>IFERROR(VLOOKUP(A177,'1-1 基本信息'!$A:$K,11,0),"")</f>
        <v/>
      </c>
      <c r="C177" s="3" t="str">
        <f>IFERROR(VLOOKUP(A177,'1-1 基本信息'!$A:$I,8,0),"")</f>
        <v/>
      </c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64" t="str">
        <f t="shared" si="2"/>
        <v/>
      </c>
    </row>
    <row r="178" spans="1:19" x14ac:dyDescent="0.3">
      <c r="A178" s="46"/>
      <c r="B178" s="33" t="str">
        <f>IFERROR(VLOOKUP(A178,'1-1 基本信息'!$A:$K,11,0),"")</f>
        <v/>
      </c>
      <c r="C178" s="3" t="str">
        <f>IFERROR(VLOOKUP(A178,'1-1 基本信息'!$A:$I,8,0),"")</f>
        <v/>
      </c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64" t="str">
        <f t="shared" si="2"/>
        <v/>
      </c>
    </row>
    <row r="179" spans="1:19" x14ac:dyDescent="0.3">
      <c r="A179" s="46"/>
      <c r="B179" s="33" t="str">
        <f>IFERROR(VLOOKUP(A179,'1-1 基本信息'!$A:$K,11,0),"")</f>
        <v/>
      </c>
      <c r="C179" s="3" t="str">
        <f>IFERROR(VLOOKUP(A179,'1-1 基本信息'!$A:$I,8,0),"")</f>
        <v/>
      </c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64" t="str">
        <f t="shared" si="2"/>
        <v/>
      </c>
    </row>
    <row r="180" spans="1:19" x14ac:dyDescent="0.3">
      <c r="A180" s="46"/>
      <c r="B180" s="33" t="str">
        <f>IFERROR(VLOOKUP(A180,'1-1 基本信息'!$A:$K,11,0),"")</f>
        <v/>
      </c>
      <c r="C180" s="3" t="str">
        <f>IFERROR(VLOOKUP(A180,'1-1 基本信息'!$A:$I,8,0),"")</f>
        <v/>
      </c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64" t="str">
        <f t="shared" si="2"/>
        <v/>
      </c>
    </row>
    <row r="181" spans="1:19" x14ac:dyDescent="0.3">
      <c r="A181" s="46"/>
      <c r="B181" s="33" t="str">
        <f>IFERROR(VLOOKUP(A181,'1-1 基本信息'!$A:$K,11,0),"")</f>
        <v/>
      </c>
      <c r="C181" s="3" t="str">
        <f>IFERROR(VLOOKUP(A181,'1-1 基本信息'!$A:$I,8,0),"")</f>
        <v/>
      </c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64" t="str">
        <f t="shared" si="2"/>
        <v/>
      </c>
    </row>
    <row r="182" spans="1:19" x14ac:dyDescent="0.3">
      <c r="A182" s="46"/>
      <c r="B182" s="33" t="str">
        <f>IFERROR(VLOOKUP(A182,'1-1 基本信息'!$A:$K,11,0),"")</f>
        <v/>
      </c>
      <c r="C182" s="3" t="str">
        <f>IFERROR(VLOOKUP(A182,'1-1 基本信息'!$A:$I,8,0),"")</f>
        <v/>
      </c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64" t="str">
        <f t="shared" si="2"/>
        <v/>
      </c>
    </row>
    <row r="183" spans="1:19" x14ac:dyDescent="0.3">
      <c r="A183" s="46"/>
      <c r="B183" s="33" t="str">
        <f>IFERROR(VLOOKUP(A183,'1-1 基本信息'!$A:$K,11,0),"")</f>
        <v/>
      </c>
      <c r="C183" s="3" t="str">
        <f>IFERROR(VLOOKUP(A183,'1-1 基本信息'!$A:$I,8,0),"")</f>
        <v/>
      </c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64" t="str">
        <f t="shared" si="2"/>
        <v/>
      </c>
    </row>
    <row r="184" spans="1:19" x14ac:dyDescent="0.3">
      <c r="A184" s="46"/>
      <c r="B184" s="33" t="str">
        <f>IFERROR(VLOOKUP(A184,'1-1 基本信息'!$A:$K,11,0),"")</f>
        <v/>
      </c>
      <c r="C184" s="3" t="str">
        <f>IFERROR(VLOOKUP(A184,'1-1 基本信息'!$A:$I,8,0),"")</f>
        <v/>
      </c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64" t="str">
        <f t="shared" si="2"/>
        <v/>
      </c>
    </row>
    <row r="185" spans="1:19" x14ac:dyDescent="0.3">
      <c r="A185" s="46"/>
      <c r="B185" s="33" t="str">
        <f>IFERROR(VLOOKUP(A185,'1-1 基本信息'!$A:$K,11,0),"")</f>
        <v/>
      </c>
      <c r="C185" s="3" t="str">
        <f>IFERROR(VLOOKUP(A185,'1-1 基本信息'!$A:$I,8,0),"")</f>
        <v/>
      </c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64" t="str">
        <f t="shared" si="2"/>
        <v/>
      </c>
    </row>
    <row r="186" spans="1:19" x14ac:dyDescent="0.3">
      <c r="A186" s="46"/>
      <c r="B186" s="33" t="str">
        <f>IFERROR(VLOOKUP(A186,'1-1 基本信息'!$A:$K,11,0),"")</f>
        <v/>
      </c>
      <c r="C186" s="3" t="str">
        <f>IFERROR(VLOOKUP(A186,'1-1 基本信息'!$A:$I,8,0),"")</f>
        <v/>
      </c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64" t="str">
        <f t="shared" si="2"/>
        <v/>
      </c>
    </row>
    <row r="187" spans="1:19" x14ac:dyDescent="0.3">
      <c r="A187" s="46"/>
      <c r="B187" s="33" t="str">
        <f>IFERROR(VLOOKUP(A187,'1-1 基本信息'!$A:$K,11,0),"")</f>
        <v/>
      </c>
      <c r="C187" s="3" t="str">
        <f>IFERROR(VLOOKUP(A187,'1-1 基本信息'!$A:$I,8,0),"")</f>
        <v/>
      </c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64" t="str">
        <f t="shared" si="2"/>
        <v/>
      </c>
    </row>
    <row r="188" spans="1:19" x14ac:dyDescent="0.3">
      <c r="A188" s="46"/>
      <c r="B188" s="33" t="str">
        <f>IFERROR(VLOOKUP(A188,'1-1 基本信息'!$A:$K,11,0),"")</f>
        <v/>
      </c>
      <c r="C188" s="3" t="str">
        <f>IFERROR(VLOOKUP(A188,'1-1 基本信息'!$A:$I,8,0),"")</f>
        <v/>
      </c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64" t="str">
        <f t="shared" si="2"/>
        <v/>
      </c>
    </row>
    <row r="189" spans="1:19" x14ac:dyDescent="0.3">
      <c r="A189" s="46"/>
      <c r="B189" s="33" t="str">
        <f>IFERROR(VLOOKUP(A189,'1-1 基本信息'!$A:$K,11,0),"")</f>
        <v/>
      </c>
      <c r="C189" s="3" t="str">
        <f>IFERROR(VLOOKUP(A189,'1-1 基本信息'!$A:$I,8,0),"")</f>
        <v/>
      </c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64" t="str">
        <f t="shared" si="2"/>
        <v/>
      </c>
    </row>
    <row r="190" spans="1:19" x14ac:dyDescent="0.3">
      <c r="A190" s="46"/>
      <c r="B190" s="33" t="str">
        <f>IFERROR(VLOOKUP(A190,'1-1 基本信息'!$A:$K,11,0),"")</f>
        <v/>
      </c>
      <c r="C190" s="3" t="str">
        <f>IFERROR(VLOOKUP(A190,'1-1 基本信息'!$A:$I,8,0),"")</f>
        <v/>
      </c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64" t="str">
        <f t="shared" si="2"/>
        <v/>
      </c>
    </row>
    <row r="191" spans="1:19" x14ac:dyDescent="0.3">
      <c r="A191" s="46"/>
      <c r="B191" s="33" t="str">
        <f>IFERROR(VLOOKUP(A191,'1-1 基本信息'!$A:$K,11,0),"")</f>
        <v/>
      </c>
      <c r="C191" s="3" t="str">
        <f>IFERROR(VLOOKUP(A191,'1-1 基本信息'!$A:$I,8,0),"")</f>
        <v/>
      </c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64" t="str">
        <f t="shared" si="2"/>
        <v/>
      </c>
    </row>
    <row r="192" spans="1:19" x14ac:dyDescent="0.3">
      <c r="A192" s="46"/>
      <c r="B192" s="33" t="str">
        <f>IFERROR(VLOOKUP(A192,'1-1 基本信息'!$A:$K,11,0),"")</f>
        <v/>
      </c>
      <c r="C192" s="3" t="str">
        <f>IFERROR(VLOOKUP(A192,'1-1 基本信息'!$A:$I,8,0),"")</f>
        <v/>
      </c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64" t="str">
        <f t="shared" si="2"/>
        <v/>
      </c>
    </row>
    <row r="193" spans="1:19" x14ac:dyDescent="0.3">
      <c r="A193" s="46"/>
      <c r="B193" s="33" t="str">
        <f>IFERROR(VLOOKUP(A193,'1-1 基本信息'!$A:$K,11,0),"")</f>
        <v/>
      </c>
      <c r="C193" s="3" t="str">
        <f>IFERROR(VLOOKUP(A193,'1-1 基本信息'!$A:$I,8,0),"")</f>
        <v/>
      </c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64" t="str">
        <f t="shared" si="2"/>
        <v/>
      </c>
    </row>
    <row r="194" spans="1:19" x14ac:dyDescent="0.3">
      <c r="A194" s="46"/>
      <c r="B194" s="33" t="str">
        <f>IFERROR(VLOOKUP(A194,'1-1 基本信息'!$A:$K,11,0),"")</f>
        <v/>
      </c>
      <c r="C194" s="3" t="str">
        <f>IFERROR(VLOOKUP(A194,'1-1 基本信息'!$A:$I,8,0),"")</f>
        <v/>
      </c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64" t="str">
        <f t="shared" si="2"/>
        <v/>
      </c>
    </row>
    <row r="195" spans="1:19" x14ac:dyDescent="0.3">
      <c r="A195" s="46"/>
      <c r="B195" s="33" t="str">
        <f>IFERROR(VLOOKUP(A195,'1-1 基本信息'!$A:$K,11,0),"")</f>
        <v/>
      </c>
      <c r="C195" s="3" t="str">
        <f>IFERROR(VLOOKUP(A195,'1-1 基本信息'!$A:$I,8,0),"")</f>
        <v/>
      </c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64" t="str">
        <f t="shared" si="2"/>
        <v/>
      </c>
    </row>
    <row r="196" spans="1:19" x14ac:dyDescent="0.3">
      <c r="A196" s="46"/>
      <c r="B196" s="33" t="str">
        <f>IFERROR(VLOOKUP(A196,'1-1 基本信息'!$A:$K,11,0),"")</f>
        <v/>
      </c>
      <c r="C196" s="3" t="str">
        <f>IFERROR(VLOOKUP(A196,'1-1 基本信息'!$A:$I,8,0),"")</f>
        <v/>
      </c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64" t="str">
        <f t="shared" ref="S196:S259" si="3">IF(E196&lt;&gt;"",AVERAGE(D196:R196),"")</f>
        <v/>
      </c>
    </row>
    <row r="197" spans="1:19" x14ac:dyDescent="0.3">
      <c r="A197" s="46"/>
      <c r="B197" s="33" t="str">
        <f>IFERROR(VLOOKUP(A197,'1-1 基本信息'!$A:$K,11,0),"")</f>
        <v/>
      </c>
      <c r="C197" s="3" t="str">
        <f>IFERROR(VLOOKUP(A197,'1-1 基本信息'!$A:$I,8,0),"")</f>
        <v/>
      </c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64" t="str">
        <f t="shared" si="3"/>
        <v/>
      </c>
    </row>
    <row r="198" spans="1:19" x14ac:dyDescent="0.3">
      <c r="A198" s="46"/>
      <c r="B198" s="33" t="str">
        <f>IFERROR(VLOOKUP(A198,'1-1 基本信息'!$A:$K,11,0),"")</f>
        <v/>
      </c>
      <c r="C198" s="3" t="str">
        <f>IFERROR(VLOOKUP(A198,'1-1 基本信息'!$A:$I,8,0),"")</f>
        <v/>
      </c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64" t="str">
        <f t="shared" si="3"/>
        <v/>
      </c>
    </row>
    <row r="199" spans="1:19" x14ac:dyDescent="0.3">
      <c r="A199" s="46"/>
      <c r="B199" s="33" t="str">
        <f>IFERROR(VLOOKUP(A199,'1-1 基本信息'!$A:$K,11,0),"")</f>
        <v/>
      </c>
      <c r="C199" s="3" t="str">
        <f>IFERROR(VLOOKUP(A199,'1-1 基本信息'!$A:$I,8,0),"")</f>
        <v/>
      </c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64" t="str">
        <f t="shared" si="3"/>
        <v/>
      </c>
    </row>
    <row r="200" spans="1:19" x14ac:dyDescent="0.3">
      <c r="A200" s="46"/>
      <c r="B200" s="33" t="str">
        <f>IFERROR(VLOOKUP(A200,'1-1 基本信息'!$A:$K,11,0),"")</f>
        <v/>
      </c>
      <c r="C200" s="3" t="str">
        <f>IFERROR(VLOOKUP(A200,'1-1 基本信息'!$A:$I,8,0),"")</f>
        <v/>
      </c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64" t="str">
        <f t="shared" si="3"/>
        <v/>
      </c>
    </row>
    <row r="201" spans="1:19" x14ac:dyDescent="0.3">
      <c r="A201" s="46"/>
      <c r="B201" s="33" t="str">
        <f>IFERROR(VLOOKUP(A201,'1-1 基本信息'!$A:$K,11,0),"")</f>
        <v/>
      </c>
      <c r="C201" s="3" t="str">
        <f>IFERROR(VLOOKUP(A201,'1-1 基本信息'!$A:$I,8,0),"")</f>
        <v/>
      </c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64" t="str">
        <f t="shared" si="3"/>
        <v/>
      </c>
    </row>
    <row r="202" spans="1:19" x14ac:dyDescent="0.3">
      <c r="A202" s="46"/>
      <c r="B202" s="33" t="str">
        <f>IFERROR(VLOOKUP(A202,'1-1 基本信息'!$A:$K,11,0),"")</f>
        <v/>
      </c>
      <c r="C202" s="3" t="str">
        <f>IFERROR(VLOOKUP(A202,'1-1 基本信息'!$A:$I,8,0),"")</f>
        <v/>
      </c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64" t="str">
        <f t="shared" si="3"/>
        <v/>
      </c>
    </row>
    <row r="203" spans="1:19" x14ac:dyDescent="0.3">
      <c r="A203" s="46"/>
      <c r="B203" s="33" t="str">
        <f>IFERROR(VLOOKUP(A203,'1-1 基本信息'!$A:$K,11,0),"")</f>
        <v/>
      </c>
      <c r="C203" s="3" t="str">
        <f>IFERROR(VLOOKUP(A203,'1-1 基本信息'!$A:$I,8,0),"")</f>
        <v/>
      </c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64" t="str">
        <f t="shared" si="3"/>
        <v/>
      </c>
    </row>
    <row r="204" spans="1:19" x14ac:dyDescent="0.3">
      <c r="A204" s="46"/>
      <c r="B204" s="33" t="str">
        <f>IFERROR(VLOOKUP(A204,'1-1 基本信息'!$A:$K,11,0),"")</f>
        <v/>
      </c>
      <c r="C204" s="3" t="str">
        <f>IFERROR(VLOOKUP(A204,'1-1 基本信息'!$A:$I,8,0),"")</f>
        <v/>
      </c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64" t="str">
        <f t="shared" si="3"/>
        <v/>
      </c>
    </row>
    <row r="205" spans="1:19" x14ac:dyDescent="0.3">
      <c r="A205" s="46"/>
      <c r="B205" s="33" t="str">
        <f>IFERROR(VLOOKUP(A205,'1-1 基本信息'!$A:$K,11,0),"")</f>
        <v/>
      </c>
      <c r="C205" s="3" t="str">
        <f>IFERROR(VLOOKUP(A205,'1-1 基本信息'!$A:$I,8,0),"")</f>
        <v/>
      </c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64" t="str">
        <f t="shared" si="3"/>
        <v/>
      </c>
    </row>
    <row r="206" spans="1:19" x14ac:dyDescent="0.3">
      <c r="A206" s="46"/>
      <c r="B206" s="33" t="str">
        <f>IFERROR(VLOOKUP(A206,'1-1 基本信息'!$A:$K,11,0),"")</f>
        <v/>
      </c>
      <c r="C206" s="3" t="str">
        <f>IFERROR(VLOOKUP(A206,'1-1 基本信息'!$A:$I,8,0),"")</f>
        <v/>
      </c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64" t="str">
        <f t="shared" si="3"/>
        <v/>
      </c>
    </row>
    <row r="207" spans="1:19" x14ac:dyDescent="0.3">
      <c r="A207" s="46"/>
      <c r="B207" s="33" t="str">
        <f>IFERROR(VLOOKUP(A207,'1-1 基本信息'!$A:$K,11,0),"")</f>
        <v/>
      </c>
      <c r="C207" s="3" t="str">
        <f>IFERROR(VLOOKUP(A207,'1-1 基本信息'!$A:$I,8,0),"")</f>
        <v/>
      </c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64" t="str">
        <f t="shared" si="3"/>
        <v/>
      </c>
    </row>
    <row r="208" spans="1:19" x14ac:dyDescent="0.3">
      <c r="A208" s="46"/>
      <c r="B208" s="33" t="str">
        <f>IFERROR(VLOOKUP(A208,'1-1 基本信息'!$A:$K,11,0),"")</f>
        <v/>
      </c>
      <c r="C208" s="3" t="str">
        <f>IFERROR(VLOOKUP(A208,'1-1 基本信息'!$A:$I,8,0),"")</f>
        <v/>
      </c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64" t="str">
        <f t="shared" si="3"/>
        <v/>
      </c>
    </row>
    <row r="209" spans="1:19" x14ac:dyDescent="0.3">
      <c r="A209" s="46"/>
      <c r="B209" s="33" t="str">
        <f>IFERROR(VLOOKUP(A209,'1-1 基本信息'!$A:$K,11,0),"")</f>
        <v/>
      </c>
      <c r="C209" s="3" t="str">
        <f>IFERROR(VLOOKUP(A209,'1-1 基本信息'!$A:$I,8,0),"")</f>
        <v/>
      </c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64" t="str">
        <f t="shared" si="3"/>
        <v/>
      </c>
    </row>
    <row r="210" spans="1:19" x14ac:dyDescent="0.3">
      <c r="A210" s="46"/>
      <c r="B210" s="33" t="str">
        <f>IFERROR(VLOOKUP(A210,'1-1 基本信息'!$A:$K,11,0),"")</f>
        <v/>
      </c>
      <c r="C210" s="3" t="str">
        <f>IFERROR(VLOOKUP(A210,'1-1 基本信息'!$A:$I,8,0),"")</f>
        <v/>
      </c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64" t="str">
        <f t="shared" si="3"/>
        <v/>
      </c>
    </row>
    <row r="211" spans="1:19" x14ac:dyDescent="0.3">
      <c r="A211" s="46"/>
      <c r="B211" s="33" t="str">
        <f>IFERROR(VLOOKUP(A211,'1-1 基本信息'!$A:$K,11,0),"")</f>
        <v/>
      </c>
      <c r="C211" s="3" t="str">
        <f>IFERROR(VLOOKUP(A211,'1-1 基本信息'!$A:$I,8,0),"")</f>
        <v/>
      </c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64" t="str">
        <f t="shared" si="3"/>
        <v/>
      </c>
    </row>
    <row r="212" spans="1:19" x14ac:dyDescent="0.3">
      <c r="A212" s="46"/>
      <c r="B212" s="33" t="str">
        <f>IFERROR(VLOOKUP(A212,'1-1 基本信息'!$A:$K,11,0),"")</f>
        <v/>
      </c>
      <c r="C212" s="3" t="str">
        <f>IFERROR(VLOOKUP(A212,'1-1 基本信息'!$A:$I,8,0),"")</f>
        <v/>
      </c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64" t="str">
        <f t="shared" si="3"/>
        <v/>
      </c>
    </row>
    <row r="213" spans="1:19" x14ac:dyDescent="0.3">
      <c r="A213" s="46"/>
      <c r="B213" s="33" t="str">
        <f>IFERROR(VLOOKUP(A213,'1-1 基本信息'!$A:$K,11,0),"")</f>
        <v/>
      </c>
      <c r="C213" s="3" t="str">
        <f>IFERROR(VLOOKUP(A213,'1-1 基本信息'!$A:$I,8,0),"")</f>
        <v/>
      </c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64" t="str">
        <f t="shared" si="3"/>
        <v/>
      </c>
    </row>
    <row r="214" spans="1:19" x14ac:dyDescent="0.3">
      <c r="A214" s="46"/>
      <c r="B214" s="33" t="str">
        <f>IFERROR(VLOOKUP(A214,'1-1 基本信息'!$A:$K,11,0),"")</f>
        <v/>
      </c>
      <c r="C214" s="3" t="str">
        <f>IFERROR(VLOOKUP(A214,'1-1 基本信息'!$A:$I,8,0),"")</f>
        <v/>
      </c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64" t="str">
        <f t="shared" si="3"/>
        <v/>
      </c>
    </row>
    <row r="215" spans="1:19" x14ac:dyDescent="0.3">
      <c r="A215" s="46"/>
      <c r="B215" s="33" t="str">
        <f>IFERROR(VLOOKUP(A215,'1-1 基本信息'!$A:$K,11,0),"")</f>
        <v/>
      </c>
      <c r="C215" s="3" t="str">
        <f>IFERROR(VLOOKUP(A215,'1-1 基本信息'!$A:$I,8,0),"")</f>
        <v/>
      </c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64" t="str">
        <f t="shared" si="3"/>
        <v/>
      </c>
    </row>
    <row r="216" spans="1:19" x14ac:dyDescent="0.3">
      <c r="A216" s="46"/>
      <c r="B216" s="33" t="str">
        <f>IFERROR(VLOOKUP(A216,'1-1 基本信息'!$A:$K,11,0),"")</f>
        <v/>
      </c>
      <c r="C216" s="3" t="str">
        <f>IFERROR(VLOOKUP(A216,'1-1 基本信息'!$A:$I,8,0),"")</f>
        <v/>
      </c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64" t="str">
        <f t="shared" si="3"/>
        <v/>
      </c>
    </row>
    <row r="217" spans="1:19" x14ac:dyDescent="0.3">
      <c r="A217" s="46"/>
      <c r="B217" s="33" t="str">
        <f>IFERROR(VLOOKUP(A217,'1-1 基本信息'!$A:$K,11,0),"")</f>
        <v/>
      </c>
      <c r="C217" s="3" t="str">
        <f>IFERROR(VLOOKUP(A217,'1-1 基本信息'!$A:$I,8,0),"")</f>
        <v/>
      </c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64" t="str">
        <f t="shared" si="3"/>
        <v/>
      </c>
    </row>
    <row r="218" spans="1:19" x14ac:dyDescent="0.3">
      <c r="A218" s="46"/>
      <c r="B218" s="33" t="str">
        <f>IFERROR(VLOOKUP(A218,'1-1 基本信息'!$A:$K,11,0),"")</f>
        <v/>
      </c>
      <c r="C218" s="3" t="str">
        <f>IFERROR(VLOOKUP(A218,'1-1 基本信息'!$A:$I,8,0),"")</f>
        <v/>
      </c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64" t="str">
        <f t="shared" si="3"/>
        <v/>
      </c>
    </row>
    <row r="219" spans="1:19" x14ac:dyDescent="0.3">
      <c r="A219" s="46"/>
      <c r="B219" s="33" t="str">
        <f>IFERROR(VLOOKUP(A219,'1-1 基本信息'!$A:$K,11,0),"")</f>
        <v/>
      </c>
      <c r="C219" s="3" t="str">
        <f>IFERROR(VLOOKUP(A219,'1-1 基本信息'!$A:$I,8,0),"")</f>
        <v/>
      </c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64" t="str">
        <f t="shared" si="3"/>
        <v/>
      </c>
    </row>
    <row r="220" spans="1:19" x14ac:dyDescent="0.3">
      <c r="A220" s="46"/>
      <c r="B220" s="33" t="str">
        <f>IFERROR(VLOOKUP(A220,'1-1 基本信息'!$A:$K,11,0),"")</f>
        <v/>
      </c>
      <c r="C220" s="3" t="str">
        <f>IFERROR(VLOOKUP(A220,'1-1 基本信息'!$A:$I,8,0),"")</f>
        <v/>
      </c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64" t="str">
        <f t="shared" si="3"/>
        <v/>
      </c>
    </row>
    <row r="221" spans="1:19" x14ac:dyDescent="0.3">
      <c r="A221" s="46"/>
      <c r="B221" s="33" t="str">
        <f>IFERROR(VLOOKUP(A221,'1-1 基本信息'!$A:$K,11,0),"")</f>
        <v/>
      </c>
      <c r="C221" s="3" t="str">
        <f>IFERROR(VLOOKUP(A221,'1-1 基本信息'!$A:$I,8,0),"")</f>
        <v/>
      </c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64" t="str">
        <f t="shared" si="3"/>
        <v/>
      </c>
    </row>
    <row r="222" spans="1:19" x14ac:dyDescent="0.3">
      <c r="A222" s="46"/>
      <c r="B222" s="33" t="str">
        <f>IFERROR(VLOOKUP(A222,'1-1 基本信息'!$A:$K,11,0),"")</f>
        <v/>
      </c>
      <c r="C222" s="3" t="str">
        <f>IFERROR(VLOOKUP(A222,'1-1 基本信息'!$A:$I,8,0),"")</f>
        <v/>
      </c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64" t="str">
        <f t="shared" si="3"/>
        <v/>
      </c>
    </row>
    <row r="223" spans="1:19" x14ac:dyDescent="0.3">
      <c r="A223" s="46"/>
      <c r="B223" s="33" t="str">
        <f>IFERROR(VLOOKUP(A223,'1-1 基本信息'!$A:$K,11,0),"")</f>
        <v/>
      </c>
      <c r="C223" s="3" t="str">
        <f>IFERROR(VLOOKUP(A223,'1-1 基本信息'!$A:$I,8,0),"")</f>
        <v/>
      </c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64" t="str">
        <f t="shared" si="3"/>
        <v/>
      </c>
    </row>
    <row r="224" spans="1:19" x14ac:dyDescent="0.3">
      <c r="A224" s="46"/>
      <c r="B224" s="33" t="str">
        <f>IFERROR(VLOOKUP(A224,'1-1 基本信息'!$A:$K,11,0),"")</f>
        <v/>
      </c>
      <c r="C224" s="3" t="str">
        <f>IFERROR(VLOOKUP(A224,'1-1 基本信息'!$A:$I,8,0),"")</f>
        <v/>
      </c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64" t="str">
        <f t="shared" si="3"/>
        <v/>
      </c>
    </row>
    <row r="225" spans="1:19" x14ac:dyDescent="0.3">
      <c r="A225" s="46"/>
      <c r="B225" s="33" t="str">
        <f>IFERROR(VLOOKUP(A225,'1-1 基本信息'!$A:$K,11,0),"")</f>
        <v/>
      </c>
      <c r="C225" s="3" t="str">
        <f>IFERROR(VLOOKUP(A225,'1-1 基本信息'!$A:$I,8,0),"")</f>
        <v/>
      </c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64" t="str">
        <f t="shared" si="3"/>
        <v/>
      </c>
    </row>
    <row r="226" spans="1:19" x14ac:dyDescent="0.3">
      <c r="A226" s="46"/>
      <c r="B226" s="33" t="str">
        <f>IFERROR(VLOOKUP(A226,'1-1 基本信息'!$A:$K,11,0),"")</f>
        <v/>
      </c>
      <c r="C226" s="3" t="str">
        <f>IFERROR(VLOOKUP(A226,'1-1 基本信息'!$A:$I,8,0),"")</f>
        <v/>
      </c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64" t="str">
        <f t="shared" si="3"/>
        <v/>
      </c>
    </row>
    <row r="227" spans="1:19" x14ac:dyDescent="0.3">
      <c r="A227" s="46"/>
      <c r="B227" s="33" t="str">
        <f>IFERROR(VLOOKUP(A227,'1-1 基本信息'!$A:$K,11,0),"")</f>
        <v/>
      </c>
      <c r="C227" s="3" t="str">
        <f>IFERROR(VLOOKUP(A227,'1-1 基本信息'!$A:$I,8,0),"")</f>
        <v/>
      </c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64" t="str">
        <f t="shared" si="3"/>
        <v/>
      </c>
    </row>
    <row r="228" spans="1:19" x14ac:dyDescent="0.3">
      <c r="A228" s="46"/>
      <c r="B228" s="33" t="str">
        <f>IFERROR(VLOOKUP(A228,'1-1 基本信息'!$A:$K,11,0),"")</f>
        <v/>
      </c>
      <c r="C228" s="3" t="str">
        <f>IFERROR(VLOOKUP(A228,'1-1 基本信息'!$A:$I,8,0),"")</f>
        <v/>
      </c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64" t="str">
        <f t="shared" si="3"/>
        <v/>
      </c>
    </row>
    <row r="229" spans="1:19" x14ac:dyDescent="0.3">
      <c r="A229" s="46"/>
      <c r="B229" s="33" t="str">
        <f>IFERROR(VLOOKUP(A229,'1-1 基本信息'!$A:$K,11,0),"")</f>
        <v/>
      </c>
      <c r="C229" s="3" t="str">
        <f>IFERROR(VLOOKUP(A229,'1-1 基本信息'!$A:$I,8,0),"")</f>
        <v/>
      </c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64" t="str">
        <f t="shared" si="3"/>
        <v/>
      </c>
    </row>
    <row r="230" spans="1:19" x14ac:dyDescent="0.3">
      <c r="A230" s="46"/>
      <c r="B230" s="33" t="str">
        <f>IFERROR(VLOOKUP(A230,'1-1 基本信息'!$A:$K,11,0),"")</f>
        <v/>
      </c>
      <c r="C230" s="3" t="str">
        <f>IFERROR(VLOOKUP(A230,'1-1 基本信息'!$A:$I,8,0),"")</f>
        <v/>
      </c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64" t="str">
        <f t="shared" si="3"/>
        <v/>
      </c>
    </row>
    <row r="231" spans="1:19" x14ac:dyDescent="0.3">
      <c r="A231" s="46"/>
      <c r="B231" s="33" t="str">
        <f>IFERROR(VLOOKUP(A231,'1-1 基本信息'!$A:$K,11,0),"")</f>
        <v/>
      </c>
      <c r="C231" s="3" t="str">
        <f>IFERROR(VLOOKUP(A231,'1-1 基本信息'!$A:$I,8,0),"")</f>
        <v/>
      </c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64" t="str">
        <f t="shared" si="3"/>
        <v/>
      </c>
    </row>
    <row r="232" spans="1:19" x14ac:dyDescent="0.3">
      <c r="A232" s="46"/>
      <c r="B232" s="33" t="str">
        <f>IFERROR(VLOOKUP(A232,'1-1 基本信息'!$A:$K,11,0),"")</f>
        <v/>
      </c>
      <c r="C232" s="3" t="str">
        <f>IFERROR(VLOOKUP(A232,'1-1 基本信息'!$A:$I,8,0),"")</f>
        <v/>
      </c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64" t="str">
        <f t="shared" si="3"/>
        <v/>
      </c>
    </row>
    <row r="233" spans="1:19" x14ac:dyDescent="0.3">
      <c r="A233" s="46"/>
      <c r="B233" s="33" t="str">
        <f>IFERROR(VLOOKUP(A233,'1-1 基本信息'!$A:$K,11,0),"")</f>
        <v/>
      </c>
      <c r="C233" s="3" t="str">
        <f>IFERROR(VLOOKUP(A233,'1-1 基本信息'!$A:$I,8,0),"")</f>
        <v/>
      </c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64" t="str">
        <f t="shared" si="3"/>
        <v/>
      </c>
    </row>
    <row r="234" spans="1:19" x14ac:dyDescent="0.3">
      <c r="A234" s="46"/>
      <c r="B234" s="33" t="str">
        <f>IFERROR(VLOOKUP(A234,'1-1 基本信息'!$A:$K,11,0),"")</f>
        <v/>
      </c>
      <c r="C234" s="3" t="str">
        <f>IFERROR(VLOOKUP(A234,'1-1 基本信息'!$A:$I,8,0),"")</f>
        <v/>
      </c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64" t="str">
        <f t="shared" si="3"/>
        <v/>
      </c>
    </row>
    <row r="235" spans="1:19" x14ac:dyDescent="0.3">
      <c r="A235" s="46"/>
      <c r="B235" s="33" t="str">
        <f>IFERROR(VLOOKUP(A235,'1-1 基本信息'!$A:$K,11,0),"")</f>
        <v/>
      </c>
      <c r="C235" s="3" t="str">
        <f>IFERROR(VLOOKUP(A235,'1-1 基本信息'!$A:$I,8,0),"")</f>
        <v/>
      </c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64" t="str">
        <f t="shared" si="3"/>
        <v/>
      </c>
    </row>
    <row r="236" spans="1:19" x14ac:dyDescent="0.3">
      <c r="A236" s="46"/>
      <c r="B236" s="33" t="str">
        <f>IFERROR(VLOOKUP(A236,'1-1 基本信息'!$A:$K,11,0),"")</f>
        <v/>
      </c>
      <c r="C236" s="3" t="str">
        <f>IFERROR(VLOOKUP(A236,'1-1 基本信息'!$A:$I,8,0),"")</f>
        <v/>
      </c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64" t="str">
        <f t="shared" si="3"/>
        <v/>
      </c>
    </row>
    <row r="237" spans="1:19" x14ac:dyDescent="0.3">
      <c r="A237" s="46"/>
      <c r="B237" s="33" t="str">
        <f>IFERROR(VLOOKUP(A237,'1-1 基本信息'!$A:$K,11,0),"")</f>
        <v/>
      </c>
      <c r="C237" s="3" t="str">
        <f>IFERROR(VLOOKUP(A237,'1-1 基本信息'!$A:$I,8,0),"")</f>
        <v/>
      </c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64" t="str">
        <f t="shared" si="3"/>
        <v/>
      </c>
    </row>
    <row r="238" spans="1:19" x14ac:dyDescent="0.3">
      <c r="A238" s="46"/>
      <c r="B238" s="33" t="str">
        <f>IFERROR(VLOOKUP(A238,'1-1 基本信息'!$A:$K,11,0),"")</f>
        <v/>
      </c>
      <c r="C238" s="3" t="str">
        <f>IFERROR(VLOOKUP(A238,'1-1 基本信息'!$A:$I,8,0),"")</f>
        <v/>
      </c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64" t="str">
        <f t="shared" si="3"/>
        <v/>
      </c>
    </row>
    <row r="239" spans="1:19" x14ac:dyDescent="0.3">
      <c r="A239" s="46"/>
      <c r="B239" s="33" t="str">
        <f>IFERROR(VLOOKUP(A239,'1-1 基本信息'!$A:$K,11,0),"")</f>
        <v/>
      </c>
      <c r="C239" s="3" t="str">
        <f>IFERROR(VLOOKUP(A239,'1-1 基本信息'!$A:$I,8,0),"")</f>
        <v/>
      </c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64" t="str">
        <f t="shared" si="3"/>
        <v/>
      </c>
    </row>
    <row r="240" spans="1:19" x14ac:dyDescent="0.3">
      <c r="A240" s="46"/>
      <c r="B240" s="33" t="str">
        <f>IFERROR(VLOOKUP(A240,'1-1 基本信息'!$A:$K,11,0),"")</f>
        <v/>
      </c>
      <c r="C240" s="3" t="str">
        <f>IFERROR(VLOOKUP(A240,'1-1 基本信息'!$A:$I,8,0),"")</f>
        <v/>
      </c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64" t="str">
        <f t="shared" si="3"/>
        <v/>
      </c>
    </row>
    <row r="241" spans="1:19" x14ac:dyDescent="0.3">
      <c r="A241" s="46"/>
      <c r="B241" s="33" t="str">
        <f>IFERROR(VLOOKUP(A241,'1-1 基本信息'!$A:$K,11,0),"")</f>
        <v/>
      </c>
      <c r="C241" s="3" t="str">
        <f>IFERROR(VLOOKUP(A241,'1-1 基本信息'!$A:$I,8,0),"")</f>
        <v/>
      </c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64" t="str">
        <f t="shared" si="3"/>
        <v/>
      </c>
    </row>
    <row r="242" spans="1:19" x14ac:dyDescent="0.3">
      <c r="A242" s="46"/>
      <c r="B242" s="33" t="str">
        <f>IFERROR(VLOOKUP(A242,'1-1 基本信息'!$A:$K,11,0),"")</f>
        <v/>
      </c>
      <c r="C242" s="3" t="str">
        <f>IFERROR(VLOOKUP(A242,'1-1 基本信息'!$A:$I,8,0),"")</f>
        <v/>
      </c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64" t="str">
        <f t="shared" si="3"/>
        <v/>
      </c>
    </row>
    <row r="243" spans="1:19" x14ac:dyDescent="0.3">
      <c r="A243" s="46"/>
      <c r="B243" s="33" t="str">
        <f>IFERROR(VLOOKUP(A243,'1-1 基本信息'!$A:$K,11,0),"")</f>
        <v/>
      </c>
      <c r="C243" s="3" t="str">
        <f>IFERROR(VLOOKUP(A243,'1-1 基本信息'!$A:$I,8,0),"")</f>
        <v/>
      </c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64" t="str">
        <f t="shared" si="3"/>
        <v/>
      </c>
    </row>
    <row r="244" spans="1:19" x14ac:dyDescent="0.3">
      <c r="A244" s="46"/>
      <c r="B244" s="33" t="str">
        <f>IFERROR(VLOOKUP(A244,'1-1 基本信息'!$A:$K,11,0),"")</f>
        <v/>
      </c>
      <c r="C244" s="3" t="str">
        <f>IFERROR(VLOOKUP(A244,'1-1 基本信息'!$A:$I,8,0),"")</f>
        <v/>
      </c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64" t="str">
        <f t="shared" si="3"/>
        <v/>
      </c>
    </row>
    <row r="245" spans="1:19" x14ac:dyDescent="0.3">
      <c r="A245" s="46"/>
      <c r="B245" s="33" t="str">
        <f>IFERROR(VLOOKUP(A245,'1-1 基本信息'!$A:$K,11,0),"")</f>
        <v/>
      </c>
      <c r="C245" s="3" t="str">
        <f>IFERROR(VLOOKUP(A245,'1-1 基本信息'!$A:$I,8,0),"")</f>
        <v/>
      </c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64" t="str">
        <f t="shared" si="3"/>
        <v/>
      </c>
    </row>
    <row r="246" spans="1:19" x14ac:dyDescent="0.3">
      <c r="A246" s="46"/>
      <c r="B246" s="33" t="str">
        <f>IFERROR(VLOOKUP(A246,'1-1 基本信息'!$A:$K,11,0),"")</f>
        <v/>
      </c>
      <c r="C246" s="3" t="str">
        <f>IFERROR(VLOOKUP(A246,'1-1 基本信息'!$A:$I,8,0),"")</f>
        <v/>
      </c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64" t="str">
        <f t="shared" si="3"/>
        <v/>
      </c>
    </row>
    <row r="247" spans="1:19" x14ac:dyDescent="0.3">
      <c r="A247" s="46"/>
      <c r="B247" s="33" t="str">
        <f>IFERROR(VLOOKUP(A247,'1-1 基本信息'!$A:$K,11,0),"")</f>
        <v/>
      </c>
      <c r="C247" s="3" t="str">
        <f>IFERROR(VLOOKUP(A247,'1-1 基本信息'!$A:$I,8,0),"")</f>
        <v/>
      </c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64" t="str">
        <f t="shared" si="3"/>
        <v/>
      </c>
    </row>
    <row r="248" spans="1:19" x14ac:dyDescent="0.3">
      <c r="A248" s="46"/>
      <c r="B248" s="33" t="str">
        <f>IFERROR(VLOOKUP(A248,'1-1 基本信息'!$A:$K,11,0),"")</f>
        <v/>
      </c>
      <c r="C248" s="3" t="str">
        <f>IFERROR(VLOOKUP(A248,'1-1 基本信息'!$A:$I,8,0),"")</f>
        <v/>
      </c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64" t="str">
        <f t="shared" si="3"/>
        <v/>
      </c>
    </row>
    <row r="249" spans="1:19" x14ac:dyDescent="0.3">
      <c r="A249" s="46"/>
      <c r="B249" s="33" t="str">
        <f>IFERROR(VLOOKUP(A249,'1-1 基本信息'!$A:$K,11,0),"")</f>
        <v/>
      </c>
      <c r="C249" s="3" t="str">
        <f>IFERROR(VLOOKUP(A249,'1-1 基本信息'!$A:$I,8,0),"")</f>
        <v/>
      </c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64" t="str">
        <f t="shared" si="3"/>
        <v/>
      </c>
    </row>
    <row r="250" spans="1:19" x14ac:dyDescent="0.3">
      <c r="A250" s="46"/>
      <c r="B250" s="33" t="str">
        <f>IFERROR(VLOOKUP(A250,'1-1 基本信息'!$A:$K,11,0),"")</f>
        <v/>
      </c>
      <c r="C250" s="3" t="str">
        <f>IFERROR(VLOOKUP(A250,'1-1 基本信息'!$A:$I,8,0),"")</f>
        <v/>
      </c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64" t="str">
        <f t="shared" si="3"/>
        <v/>
      </c>
    </row>
    <row r="251" spans="1:19" x14ac:dyDescent="0.3">
      <c r="A251" s="46"/>
      <c r="B251" s="33" t="str">
        <f>IFERROR(VLOOKUP(A251,'1-1 基本信息'!$A:$K,11,0),"")</f>
        <v/>
      </c>
      <c r="C251" s="3" t="str">
        <f>IFERROR(VLOOKUP(A251,'1-1 基本信息'!$A:$I,8,0),"")</f>
        <v/>
      </c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64" t="str">
        <f t="shared" si="3"/>
        <v/>
      </c>
    </row>
    <row r="252" spans="1:19" x14ac:dyDescent="0.3">
      <c r="A252" s="46"/>
      <c r="B252" s="33" t="str">
        <f>IFERROR(VLOOKUP(A252,'1-1 基本信息'!$A:$K,11,0),"")</f>
        <v/>
      </c>
      <c r="C252" s="3" t="str">
        <f>IFERROR(VLOOKUP(A252,'1-1 基本信息'!$A:$I,8,0),"")</f>
        <v/>
      </c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64" t="str">
        <f t="shared" si="3"/>
        <v/>
      </c>
    </row>
    <row r="253" spans="1:19" x14ac:dyDescent="0.3">
      <c r="A253" s="46"/>
      <c r="B253" s="33" t="str">
        <f>IFERROR(VLOOKUP(A253,'1-1 基本信息'!$A:$K,11,0),"")</f>
        <v/>
      </c>
      <c r="C253" s="3" t="str">
        <f>IFERROR(VLOOKUP(A253,'1-1 基本信息'!$A:$I,8,0),"")</f>
        <v/>
      </c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64" t="str">
        <f t="shared" si="3"/>
        <v/>
      </c>
    </row>
    <row r="254" spans="1:19" x14ac:dyDescent="0.3">
      <c r="A254" s="46"/>
      <c r="B254" s="33" t="str">
        <f>IFERROR(VLOOKUP(A254,'1-1 基本信息'!$A:$K,11,0),"")</f>
        <v/>
      </c>
      <c r="C254" s="3" t="str">
        <f>IFERROR(VLOOKUP(A254,'1-1 基本信息'!$A:$I,8,0),"")</f>
        <v/>
      </c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64" t="str">
        <f t="shared" si="3"/>
        <v/>
      </c>
    </row>
    <row r="255" spans="1:19" x14ac:dyDescent="0.3">
      <c r="A255" s="46"/>
      <c r="B255" s="33" t="str">
        <f>IFERROR(VLOOKUP(A255,'1-1 基本信息'!$A:$K,11,0),"")</f>
        <v/>
      </c>
      <c r="C255" s="3" t="str">
        <f>IFERROR(VLOOKUP(A255,'1-1 基本信息'!$A:$I,8,0),"")</f>
        <v/>
      </c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64" t="str">
        <f t="shared" si="3"/>
        <v/>
      </c>
    </row>
    <row r="256" spans="1:19" x14ac:dyDescent="0.3">
      <c r="A256" s="46"/>
      <c r="B256" s="33" t="str">
        <f>IFERROR(VLOOKUP(A256,'1-1 基本信息'!$A:$K,11,0),"")</f>
        <v/>
      </c>
      <c r="C256" s="3" t="str">
        <f>IFERROR(VLOOKUP(A256,'1-1 基本信息'!$A:$I,8,0),"")</f>
        <v/>
      </c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64" t="str">
        <f t="shared" si="3"/>
        <v/>
      </c>
    </row>
    <row r="257" spans="1:19" x14ac:dyDescent="0.3">
      <c r="A257" s="46"/>
      <c r="B257" s="33" t="str">
        <f>IFERROR(VLOOKUP(A257,'1-1 基本信息'!$A:$K,11,0),"")</f>
        <v/>
      </c>
      <c r="C257" s="3" t="str">
        <f>IFERROR(VLOOKUP(A257,'1-1 基本信息'!$A:$I,8,0),"")</f>
        <v/>
      </c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64" t="str">
        <f t="shared" si="3"/>
        <v/>
      </c>
    </row>
    <row r="258" spans="1:19" x14ac:dyDescent="0.3">
      <c r="A258" s="46"/>
      <c r="B258" s="33" t="str">
        <f>IFERROR(VLOOKUP(A258,'1-1 基本信息'!$A:$K,11,0),"")</f>
        <v/>
      </c>
      <c r="C258" s="3" t="str">
        <f>IFERROR(VLOOKUP(A258,'1-1 基本信息'!$A:$I,8,0),"")</f>
        <v/>
      </c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64" t="str">
        <f t="shared" si="3"/>
        <v/>
      </c>
    </row>
    <row r="259" spans="1:19" x14ac:dyDescent="0.3">
      <c r="A259" s="46"/>
      <c r="B259" s="33" t="str">
        <f>IFERROR(VLOOKUP(A259,'1-1 基本信息'!$A:$K,11,0),"")</f>
        <v/>
      </c>
      <c r="C259" s="3" t="str">
        <f>IFERROR(VLOOKUP(A259,'1-1 基本信息'!$A:$I,8,0),"")</f>
        <v/>
      </c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64" t="str">
        <f t="shared" si="3"/>
        <v/>
      </c>
    </row>
    <row r="260" spans="1:19" x14ac:dyDescent="0.3">
      <c r="A260" s="46"/>
      <c r="B260" s="33" t="str">
        <f>IFERROR(VLOOKUP(A260,'1-1 基本信息'!$A:$K,11,0),"")</f>
        <v/>
      </c>
      <c r="C260" s="3" t="str">
        <f>IFERROR(VLOOKUP(A260,'1-1 基本信息'!$A:$I,8,0),"")</f>
        <v/>
      </c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64" t="str">
        <f t="shared" ref="S260:S323" si="4">IF(E260&lt;&gt;"",AVERAGE(D260:R260),"")</f>
        <v/>
      </c>
    </row>
    <row r="261" spans="1:19" x14ac:dyDescent="0.3">
      <c r="A261" s="46"/>
      <c r="B261" s="33" t="str">
        <f>IFERROR(VLOOKUP(A261,'1-1 基本信息'!$A:$K,11,0),"")</f>
        <v/>
      </c>
      <c r="C261" s="3" t="str">
        <f>IFERROR(VLOOKUP(A261,'1-1 基本信息'!$A:$I,8,0),"")</f>
        <v/>
      </c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64" t="str">
        <f t="shared" si="4"/>
        <v/>
      </c>
    </row>
    <row r="262" spans="1:19" x14ac:dyDescent="0.3">
      <c r="A262" s="46"/>
      <c r="B262" s="33" t="str">
        <f>IFERROR(VLOOKUP(A262,'1-1 基本信息'!$A:$K,11,0),"")</f>
        <v/>
      </c>
      <c r="C262" s="3" t="str">
        <f>IFERROR(VLOOKUP(A262,'1-1 基本信息'!$A:$I,8,0),"")</f>
        <v/>
      </c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64" t="str">
        <f t="shared" si="4"/>
        <v/>
      </c>
    </row>
    <row r="263" spans="1:19" x14ac:dyDescent="0.3">
      <c r="A263" s="46"/>
      <c r="B263" s="33" t="str">
        <f>IFERROR(VLOOKUP(A263,'1-1 基本信息'!$A:$K,11,0),"")</f>
        <v/>
      </c>
      <c r="C263" s="3" t="str">
        <f>IFERROR(VLOOKUP(A263,'1-1 基本信息'!$A:$I,8,0),"")</f>
        <v/>
      </c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64" t="str">
        <f t="shared" si="4"/>
        <v/>
      </c>
    </row>
    <row r="264" spans="1:19" x14ac:dyDescent="0.3">
      <c r="A264" s="46"/>
      <c r="B264" s="33" t="str">
        <f>IFERROR(VLOOKUP(A264,'1-1 基本信息'!$A:$K,11,0),"")</f>
        <v/>
      </c>
      <c r="C264" s="3" t="str">
        <f>IFERROR(VLOOKUP(A264,'1-1 基本信息'!$A:$I,8,0),"")</f>
        <v/>
      </c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64" t="str">
        <f t="shared" si="4"/>
        <v/>
      </c>
    </row>
    <row r="265" spans="1:19" x14ac:dyDescent="0.3">
      <c r="A265" s="46"/>
      <c r="B265" s="33" t="str">
        <f>IFERROR(VLOOKUP(A265,'1-1 基本信息'!$A:$K,11,0),"")</f>
        <v/>
      </c>
      <c r="C265" s="3" t="str">
        <f>IFERROR(VLOOKUP(A265,'1-1 基本信息'!$A:$I,8,0),"")</f>
        <v/>
      </c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64" t="str">
        <f t="shared" si="4"/>
        <v/>
      </c>
    </row>
    <row r="266" spans="1:19" x14ac:dyDescent="0.3">
      <c r="A266" s="46"/>
      <c r="B266" s="33" t="str">
        <f>IFERROR(VLOOKUP(A266,'1-1 基本信息'!$A:$K,11,0),"")</f>
        <v/>
      </c>
      <c r="C266" s="3" t="str">
        <f>IFERROR(VLOOKUP(A266,'1-1 基本信息'!$A:$I,8,0),"")</f>
        <v/>
      </c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64" t="str">
        <f t="shared" si="4"/>
        <v/>
      </c>
    </row>
    <row r="267" spans="1:19" x14ac:dyDescent="0.3">
      <c r="A267" s="46"/>
      <c r="B267" s="33" t="str">
        <f>IFERROR(VLOOKUP(A267,'1-1 基本信息'!$A:$K,11,0),"")</f>
        <v/>
      </c>
      <c r="C267" s="3" t="str">
        <f>IFERROR(VLOOKUP(A267,'1-1 基本信息'!$A:$I,8,0),"")</f>
        <v/>
      </c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64" t="str">
        <f t="shared" si="4"/>
        <v/>
      </c>
    </row>
    <row r="268" spans="1:19" x14ac:dyDescent="0.3">
      <c r="A268" s="46"/>
      <c r="B268" s="33" t="str">
        <f>IFERROR(VLOOKUP(A268,'1-1 基本信息'!$A:$K,11,0),"")</f>
        <v/>
      </c>
      <c r="C268" s="3" t="str">
        <f>IFERROR(VLOOKUP(A268,'1-1 基本信息'!$A:$I,8,0),"")</f>
        <v/>
      </c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64" t="str">
        <f t="shared" si="4"/>
        <v/>
      </c>
    </row>
    <row r="269" spans="1:19" x14ac:dyDescent="0.3">
      <c r="A269" s="46"/>
      <c r="B269" s="33" t="str">
        <f>IFERROR(VLOOKUP(A269,'1-1 基本信息'!$A:$K,11,0),"")</f>
        <v/>
      </c>
      <c r="C269" s="3" t="str">
        <f>IFERROR(VLOOKUP(A269,'1-1 基本信息'!$A:$I,8,0),"")</f>
        <v/>
      </c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64" t="str">
        <f t="shared" si="4"/>
        <v/>
      </c>
    </row>
    <row r="270" spans="1:19" x14ac:dyDescent="0.3">
      <c r="A270" s="46"/>
      <c r="B270" s="33" t="str">
        <f>IFERROR(VLOOKUP(A270,'1-1 基本信息'!$A:$K,11,0),"")</f>
        <v/>
      </c>
      <c r="C270" s="3" t="str">
        <f>IFERROR(VLOOKUP(A270,'1-1 基本信息'!$A:$I,8,0),"")</f>
        <v/>
      </c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64" t="str">
        <f t="shared" si="4"/>
        <v/>
      </c>
    </row>
    <row r="271" spans="1:19" x14ac:dyDescent="0.3">
      <c r="A271" s="46"/>
      <c r="B271" s="33" t="str">
        <f>IFERROR(VLOOKUP(A271,'1-1 基本信息'!$A:$K,11,0),"")</f>
        <v/>
      </c>
      <c r="C271" s="3" t="str">
        <f>IFERROR(VLOOKUP(A271,'1-1 基本信息'!$A:$I,8,0),"")</f>
        <v/>
      </c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64" t="str">
        <f t="shared" si="4"/>
        <v/>
      </c>
    </row>
    <row r="272" spans="1:19" x14ac:dyDescent="0.3">
      <c r="A272" s="46"/>
      <c r="B272" s="33" t="str">
        <f>IFERROR(VLOOKUP(A272,'1-1 基本信息'!$A:$K,11,0),"")</f>
        <v/>
      </c>
      <c r="C272" s="3" t="str">
        <f>IFERROR(VLOOKUP(A272,'1-1 基本信息'!$A:$I,8,0),"")</f>
        <v/>
      </c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64" t="str">
        <f t="shared" si="4"/>
        <v/>
      </c>
    </row>
    <row r="273" spans="1:19" x14ac:dyDescent="0.3">
      <c r="A273" s="46"/>
      <c r="B273" s="33" t="str">
        <f>IFERROR(VLOOKUP(A273,'1-1 基本信息'!$A:$K,11,0),"")</f>
        <v/>
      </c>
      <c r="C273" s="3" t="str">
        <f>IFERROR(VLOOKUP(A273,'1-1 基本信息'!$A:$I,8,0),"")</f>
        <v/>
      </c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64" t="str">
        <f t="shared" si="4"/>
        <v/>
      </c>
    </row>
    <row r="274" spans="1:19" x14ac:dyDescent="0.3">
      <c r="A274" s="46"/>
      <c r="B274" s="33" t="str">
        <f>IFERROR(VLOOKUP(A274,'1-1 基本信息'!$A:$K,11,0),"")</f>
        <v/>
      </c>
      <c r="C274" s="3" t="str">
        <f>IFERROR(VLOOKUP(A274,'1-1 基本信息'!$A:$I,8,0),"")</f>
        <v/>
      </c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64" t="str">
        <f t="shared" si="4"/>
        <v/>
      </c>
    </row>
    <row r="275" spans="1:19" x14ac:dyDescent="0.3">
      <c r="A275" s="46"/>
      <c r="B275" s="33" t="str">
        <f>IFERROR(VLOOKUP(A275,'1-1 基本信息'!$A:$K,11,0),"")</f>
        <v/>
      </c>
      <c r="C275" s="3" t="str">
        <f>IFERROR(VLOOKUP(A275,'1-1 基本信息'!$A:$I,8,0),"")</f>
        <v/>
      </c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64" t="str">
        <f t="shared" si="4"/>
        <v/>
      </c>
    </row>
    <row r="276" spans="1:19" x14ac:dyDescent="0.3">
      <c r="A276" s="46"/>
      <c r="B276" s="33" t="str">
        <f>IFERROR(VLOOKUP(A276,'1-1 基本信息'!$A:$K,11,0),"")</f>
        <v/>
      </c>
      <c r="C276" s="3" t="str">
        <f>IFERROR(VLOOKUP(A276,'1-1 基本信息'!$A:$I,8,0),"")</f>
        <v/>
      </c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64" t="str">
        <f t="shared" si="4"/>
        <v/>
      </c>
    </row>
    <row r="277" spans="1:19" x14ac:dyDescent="0.3">
      <c r="A277" s="46"/>
      <c r="B277" s="33" t="str">
        <f>IFERROR(VLOOKUP(A277,'1-1 基本信息'!$A:$K,11,0),"")</f>
        <v/>
      </c>
      <c r="C277" s="3" t="str">
        <f>IFERROR(VLOOKUP(A277,'1-1 基本信息'!$A:$I,8,0),"")</f>
        <v/>
      </c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64" t="str">
        <f t="shared" si="4"/>
        <v/>
      </c>
    </row>
    <row r="278" spans="1:19" x14ac:dyDescent="0.3">
      <c r="A278" s="46"/>
      <c r="B278" s="33" t="str">
        <f>IFERROR(VLOOKUP(A278,'1-1 基本信息'!$A:$K,11,0),"")</f>
        <v/>
      </c>
      <c r="C278" s="3" t="str">
        <f>IFERROR(VLOOKUP(A278,'1-1 基本信息'!$A:$I,8,0),"")</f>
        <v/>
      </c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64" t="str">
        <f t="shared" si="4"/>
        <v/>
      </c>
    </row>
    <row r="279" spans="1:19" x14ac:dyDescent="0.3">
      <c r="A279" s="46"/>
      <c r="B279" s="33" t="str">
        <f>IFERROR(VLOOKUP(A279,'1-1 基本信息'!$A:$K,11,0),"")</f>
        <v/>
      </c>
      <c r="C279" s="3" t="str">
        <f>IFERROR(VLOOKUP(A279,'1-1 基本信息'!$A:$I,8,0),"")</f>
        <v/>
      </c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64" t="str">
        <f t="shared" si="4"/>
        <v/>
      </c>
    </row>
    <row r="280" spans="1:19" x14ac:dyDescent="0.3">
      <c r="A280" s="46"/>
      <c r="B280" s="33" t="str">
        <f>IFERROR(VLOOKUP(A280,'1-1 基本信息'!$A:$K,11,0),"")</f>
        <v/>
      </c>
      <c r="C280" s="3" t="str">
        <f>IFERROR(VLOOKUP(A280,'1-1 基本信息'!$A:$I,8,0),"")</f>
        <v/>
      </c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64" t="str">
        <f t="shared" si="4"/>
        <v/>
      </c>
    </row>
    <row r="281" spans="1:19" x14ac:dyDescent="0.3">
      <c r="A281" s="46"/>
      <c r="B281" s="33" t="str">
        <f>IFERROR(VLOOKUP(A281,'1-1 基本信息'!$A:$K,11,0),"")</f>
        <v/>
      </c>
      <c r="C281" s="3" t="str">
        <f>IFERROR(VLOOKUP(A281,'1-1 基本信息'!$A:$I,8,0),"")</f>
        <v/>
      </c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64" t="str">
        <f t="shared" si="4"/>
        <v/>
      </c>
    </row>
    <row r="282" spans="1:19" x14ac:dyDescent="0.3">
      <c r="A282" s="46"/>
      <c r="B282" s="33" t="str">
        <f>IFERROR(VLOOKUP(A282,'1-1 基本信息'!$A:$K,11,0),"")</f>
        <v/>
      </c>
      <c r="C282" s="3" t="str">
        <f>IFERROR(VLOOKUP(A282,'1-1 基本信息'!$A:$I,8,0),"")</f>
        <v/>
      </c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64" t="str">
        <f t="shared" si="4"/>
        <v/>
      </c>
    </row>
    <row r="283" spans="1:19" x14ac:dyDescent="0.3">
      <c r="A283" s="46"/>
      <c r="B283" s="33" t="str">
        <f>IFERROR(VLOOKUP(A283,'1-1 基本信息'!$A:$K,11,0),"")</f>
        <v/>
      </c>
      <c r="C283" s="3" t="str">
        <f>IFERROR(VLOOKUP(A283,'1-1 基本信息'!$A:$I,8,0),"")</f>
        <v/>
      </c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64" t="str">
        <f t="shared" si="4"/>
        <v/>
      </c>
    </row>
    <row r="284" spans="1:19" x14ac:dyDescent="0.3">
      <c r="A284" s="46"/>
      <c r="B284" s="33" t="str">
        <f>IFERROR(VLOOKUP(A284,'1-1 基本信息'!$A:$K,11,0),"")</f>
        <v/>
      </c>
      <c r="C284" s="3" t="str">
        <f>IFERROR(VLOOKUP(A284,'1-1 基本信息'!$A:$I,8,0),"")</f>
        <v/>
      </c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64" t="str">
        <f t="shared" si="4"/>
        <v/>
      </c>
    </row>
    <row r="285" spans="1:19" x14ac:dyDescent="0.3">
      <c r="A285" s="46"/>
      <c r="B285" s="33" t="str">
        <f>IFERROR(VLOOKUP(A285,'1-1 基本信息'!$A:$K,11,0),"")</f>
        <v/>
      </c>
      <c r="C285" s="3" t="str">
        <f>IFERROR(VLOOKUP(A285,'1-1 基本信息'!$A:$I,8,0),"")</f>
        <v/>
      </c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64" t="str">
        <f t="shared" si="4"/>
        <v/>
      </c>
    </row>
    <row r="286" spans="1:19" x14ac:dyDescent="0.3">
      <c r="A286" s="46"/>
      <c r="B286" s="33" t="str">
        <f>IFERROR(VLOOKUP(A286,'1-1 基本信息'!$A:$K,11,0),"")</f>
        <v/>
      </c>
      <c r="C286" s="3" t="str">
        <f>IFERROR(VLOOKUP(A286,'1-1 基本信息'!$A:$I,8,0),"")</f>
        <v/>
      </c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64" t="str">
        <f t="shared" si="4"/>
        <v/>
      </c>
    </row>
    <row r="287" spans="1:19" x14ac:dyDescent="0.3">
      <c r="A287" s="46"/>
      <c r="B287" s="33" t="str">
        <f>IFERROR(VLOOKUP(A287,'1-1 基本信息'!$A:$K,11,0),"")</f>
        <v/>
      </c>
      <c r="C287" s="3" t="str">
        <f>IFERROR(VLOOKUP(A287,'1-1 基本信息'!$A:$I,8,0),"")</f>
        <v/>
      </c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64" t="str">
        <f t="shared" si="4"/>
        <v/>
      </c>
    </row>
    <row r="288" spans="1:19" x14ac:dyDescent="0.3">
      <c r="A288" s="46"/>
      <c r="B288" s="33" t="str">
        <f>IFERROR(VLOOKUP(A288,'1-1 基本信息'!$A:$K,11,0),"")</f>
        <v/>
      </c>
      <c r="C288" s="3" t="str">
        <f>IFERROR(VLOOKUP(A288,'1-1 基本信息'!$A:$I,8,0),"")</f>
        <v/>
      </c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64" t="str">
        <f t="shared" si="4"/>
        <v/>
      </c>
    </row>
    <row r="289" spans="1:19" x14ac:dyDescent="0.3">
      <c r="A289" s="46"/>
      <c r="B289" s="33" t="str">
        <f>IFERROR(VLOOKUP(A289,'1-1 基本信息'!$A:$K,11,0),"")</f>
        <v/>
      </c>
      <c r="C289" s="3" t="str">
        <f>IFERROR(VLOOKUP(A289,'1-1 基本信息'!$A:$I,8,0),"")</f>
        <v/>
      </c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64" t="str">
        <f t="shared" si="4"/>
        <v/>
      </c>
    </row>
    <row r="290" spans="1:19" x14ac:dyDescent="0.3">
      <c r="A290" s="46"/>
      <c r="B290" s="33" t="str">
        <f>IFERROR(VLOOKUP(A290,'1-1 基本信息'!$A:$K,11,0),"")</f>
        <v/>
      </c>
      <c r="C290" s="3" t="str">
        <f>IFERROR(VLOOKUP(A290,'1-1 基本信息'!$A:$I,8,0),"")</f>
        <v/>
      </c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64" t="str">
        <f t="shared" si="4"/>
        <v/>
      </c>
    </row>
    <row r="291" spans="1:19" x14ac:dyDescent="0.3">
      <c r="A291" s="46"/>
      <c r="B291" s="33" t="str">
        <f>IFERROR(VLOOKUP(A291,'1-1 基本信息'!$A:$K,11,0),"")</f>
        <v/>
      </c>
      <c r="C291" s="3" t="str">
        <f>IFERROR(VLOOKUP(A291,'1-1 基本信息'!$A:$I,8,0),"")</f>
        <v/>
      </c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64" t="str">
        <f t="shared" si="4"/>
        <v/>
      </c>
    </row>
    <row r="292" spans="1:19" x14ac:dyDescent="0.3">
      <c r="A292" s="46"/>
      <c r="B292" s="33" t="str">
        <f>IFERROR(VLOOKUP(A292,'1-1 基本信息'!$A:$K,11,0),"")</f>
        <v/>
      </c>
      <c r="C292" s="3" t="str">
        <f>IFERROR(VLOOKUP(A292,'1-1 基本信息'!$A:$I,8,0),"")</f>
        <v/>
      </c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64" t="str">
        <f t="shared" si="4"/>
        <v/>
      </c>
    </row>
    <row r="293" spans="1:19" x14ac:dyDescent="0.3">
      <c r="A293" s="46"/>
      <c r="B293" s="33" t="str">
        <f>IFERROR(VLOOKUP(A293,'1-1 基本信息'!$A:$K,11,0),"")</f>
        <v/>
      </c>
      <c r="C293" s="3" t="str">
        <f>IFERROR(VLOOKUP(A293,'1-1 基本信息'!$A:$I,8,0),"")</f>
        <v/>
      </c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64" t="str">
        <f t="shared" si="4"/>
        <v/>
      </c>
    </row>
    <row r="294" spans="1:19" x14ac:dyDescent="0.3">
      <c r="A294" s="46"/>
      <c r="B294" s="33" t="str">
        <f>IFERROR(VLOOKUP(A294,'1-1 基本信息'!$A:$K,11,0),"")</f>
        <v/>
      </c>
      <c r="C294" s="3" t="str">
        <f>IFERROR(VLOOKUP(A294,'1-1 基本信息'!$A:$I,8,0),"")</f>
        <v/>
      </c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64" t="str">
        <f t="shared" si="4"/>
        <v/>
      </c>
    </row>
    <row r="295" spans="1:19" x14ac:dyDescent="0.3">
      <c r="A295" s="46"/>
      <c r="B295" s="33" t="str">
        <f>IFERROR(VLOOKUP(A295,'1-1 基本信息'!$A:$K,11,0),"")</f>
        <v/>
      </c>
      <c r="C295" s="3" t="str">
        <f>IFERROR(VLOOKUP(A295,'1-1 基本信息'!$A:$I,8,0),"")</f>
        <v/>
      </c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64" t="str">
        <f t="shared" si="4"/>
        <v/>
      </c>
    </row>
    <row r="296" spans="1:19" x14ac:dyDescent="0.3">
      <c r="A296" s="46"/>
      <c r="B296" s="33" t="str">
        <f>IFERROR(VLOOKUP(A296,'1-1 基本信息'!$A:$K,11,0),"")</f>
        <v/>
      </c>
      <c r="C296" s="3" t="str">
        <f>IFERROR(VLOOKUP(A296,'1-1 基本信息'!$A:$I,8,0),"")</f>
        <v/>
      </c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64" t="str">
        <f t="shared" si="4"/>
        <v/>
      </c>
    </row>
    <row r="297" spans="1:19" x14ac:dyDescent="0.3">
      <c r="A297" s="46"/>
      <c r="B297" s="33" t="str">
        <f>IFERROR(VLOOKUP(A297,'1-1 基本信息'!$A:$K,11,0),"")</f>
        <v/>
      </c>
      <c r="C297" s="3" t="str">
        <f>IFERROR(VLOOKUP(A297,'1-1 基本信息'!$A:$I,8,0),"")</f>
        <v/>
      </c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64" t="str">
        <f t="shared" si="4"/>
        <v/>
      </c>
    </row>
    <row r="298" spans="1:19" x14ac:dyDescent="0.3">
      <c r="A298" s="46"/>
      <c r="B298" s="33" t="str">
        <f>IFERROR(VLOOKUP(A298,'1-1 基本信息'!$A:$K,11,0),"")</f>
        <v/>
      </c>
      <c r="C298" s="3" t="str">
        <f>IFERROR(VLOOKUP(A298,'1-1 基本信息'!$A:$I,8,0),"")</f>
        <v/>
      </c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64" t="str">
        <f t="shared" si="4"/>
        <v/>
      </c>
    </row>
    <row r="299" spans="1:19" x14ac:dyDescent="0.3">
      <c r="A299" s="46"/>
      <c r="B299" s="33" t="str">
        <f>IFERROR(VLOOKUP(A299,'1-1 基本信息'!$A:$K,11,0),"")</f>
        <v/>
      </c>
      <c r="C299" s="3" t="str">
        <f>IFERROR(VLOOKUP(A299,'1-1 基本信息'!$A:$I,8,0),"")</f>
        <v/>
      </c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64" t="str">
        <f t="shared" si="4"/>
        <v/>
      </c>
    </row>
    <row r="300" spans="1:19" x14ac:dyDescent="0.3">
      <c r="A300" s="46"/>
      <c r="B300" s="33" t="str">
        <f>IFERROR(VLOOKUP(A300,'1-1 基本信息'!$A:$K,11,0),"")</f>
        <v/>
      </c>
      <c r="C300" s="3" t="str">
        <f>IFERROR(VLOOKUP(A300,'1-1 基本信息'!$A:$I,8,0),"")</f>
        <v/>
      </c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64" t="str">
        <f t="shared" si="4"/>
        <v/>
      </c>
    </row>
    <row r="301" spans="1:19" x14ac:dyDescent="0.3">
      <c r="A301" s="46"/>
      <c r="B301" s="33" t="str">
        <f>IFERROR(VLOOKUP(A301,'1-1 基本信息'!$A:$K,11,0),"")</f>
        <v/>
      </c>
      <c r="C301" s="3" t="str">
        <f>IFERROR(VLOOKUP(A301,'1-1 基本信息'!$A:$I,8,0),"")</f>
        <v/>
      </c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64" t="str">
        <f t="shared" si="4"/>
        <v/>
      </c>
    </row>
    <row r="302" spans="1:19" x14ac:dyDescent="0.3">
      <c r="A302" s="46"/>
      <c r="B302" s="33" t="str">
        <f>IFERROR(VLOOKUP(A302,'1-1 基本信息'!$A:$K,11,0),"")</f>
        <v/>
      </c>
      <c r="C302" s="3" t="str">
        <f>IFERROR(VLOOKUP(A302,'1-1 基本信息'!$A:$I,8,0),"")</f>
        <v/>
      </c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64" t="str">
        <f t="shared" si="4"/>
        <v/>
      </c>
    </row>
    <row r="303" spans="1:19" x14ac:dyDescent="0.3">
      <c r="A303" s="46"/>
      <c r="B303" s="33" t="str">
        <f>IFERROR(VLOOKUP(A303,'1-1 基本信息'!$A:$K,11,0),"")</f>
        <v/>
      </c>
      <c r="C303" s="3" t="str">
        <f>IFERROR(VLOOKUP(A303,'1-1 基本信息'!$A:$I,8,0),"")</f>
        <v/>
      </c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64" t="str">
        <f t="shared" si="4"/>
        <v/>
      </c>
    </row>
    <row r="304" spans="1:19" x14ac:dyDescent="0.3">
      <c r="A304" s="46"/>
      <c r="B304" s="33" t="str">
        <f>IFERROR(VLOOKUP(A304,'1-1 基本信息'!$A:$K,11,0),"")</f>
        <v/>
      </c>
      <c r="C304" s="3" t="str">
        <f>IFERROR(VLOOKUP(A304,'1-1 基本信息'!$A:$I,8,0),"")</f>
        <v/>
      </c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64" t="str">
        <f t="shared" si="4"/>
        <v/>
      </c>
    </row>
    <row r="305" spans="1:19" x14ac:dyDescent="0.3">
      <c r="A305" s="46"/>
      <c r="B305" s="33" t="str">
        <f>IFERROR(VLOOKUP(A305,'1-1 基本信息'!$A:$K,11,0),"")</f>
        <v/>
      </c>
      <c r="C305" s="3" t="str">
        <f>IFERROR(VLOOKUP(A305,'1-1 基本信息'!$A:$I,8,0),"")</f>
        <v/>
      </c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64" t="str">
        <f t="shared" si="4"/>
        <v/>
      </c>
    </row>
    <row r="306" spans="1:19" x14ac:dyDescent="0.3">
      <c r="A306" s="46"/>
      <c r="B306" s="33" t="str">
        <f>IFERROR(VLOOKUP(A306,'1-1 基本信息'!$A:$K,11,0),"")</f>
        <v/>
      </c>
      <c r="C306" s="3" t="str">
        <f>IFERROR(VLOOKUP(A306,'1-1 基本信息'!$A:$I,8,0),"")</f>
        <v/>
      </c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64" t="str">
        <f t="shared" si="4"/>
        <v/>
      </c>
    </row>
    <row r="307" spans="1:19" x14ac:dyDescent="0.3">
      <c r="A307" s="46"/>
      <c r="B307" s="33" t="str">
        <f>IFERROR(VLOOKUP(A307,'1-1 基本信息'!$A:$K,11,0),"")</f>
        <v/>
      </c>
      <c r="C307" s="3" t="str">
        <f>IFERROR(VLOOKUP(A307,'1-1 基本信息'!$A:$I,8,0),"")</f>
        <v/>
      </c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64" t="str">
        <f t="shared" si="4"/>
        <v/>
      </c>
    </row>
    <row r="308" spans="1:19" x14ac:dyDescent="0.3">
      <c r="A308" s="46"/>
      <c r="B308" s="33" t="str">
        <f>IFERROR(VLOOKUP(A308,'1-1 基本信息'!$A:$K,11,0),"")</f>
        <v/>
      </c>
      <c r="C308" s="3" t="str">
        <f>IFERROR(VLOOKUP(A308,'1-1 基本信息'!$A:$I,8,0),"")</f>
        <v/>
      </c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64" t="str">
        <f t="shared" si="4"/>
        <v/>
      </c>
    </row>
    <row r="309" spans="1:19" x14ac:dyDescent="0.3">
      <c r="A309" s="46"/>
      <c r="B309" s="33" t="str">
        <f>IFERROR(VLOOKUP(A309,'1-1 基本信息'!$A:$K,11,0),"")</f>
        <v/>
      </c>
      <c r="C309" s="3" t="str">
        <f>IFERROR(VLOOKUP(A309,'1-1 基本信息'!$A:$I,8,0),"")</f>
        <v/>
      </c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64" t="str">
        <f t="shared" si="4"/>
        <v/>
      </c>
    </row>
    <row r="310" spans="1:19" x14ac:dyDescent="0.3">
      <c r="A310" s="46"/>
      <c r="B310" s="33" t="str">
        <f>IFERROR(VLOOKUP(A310,'1-1 基本信息'!$A:$K,11,0),"")</f>
        <v/>
      </c>
      <c r="C310" s="3" t="str">
        <f>IFERROR(VLOOKUP(A310,'1-1 基本信息'!$A:$I,8,0),"")</f>
        <v/>
      </c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64" t="str">
        <f t="shared" si="4"/>
        <v/>
      </c>
    </row>
    <row r="311" spans="1:19" x14ac:dyDescent="0.3">
      <c r="A311" s="46"/>
      <c r="B311" s="33" t="str">
        <f>IFERROR(VLOOKUP(A311,'1-1 基本信息'!$A:$K,11,0),"")</f>
        <v/>
      </c>
      <c r="C311" s="3" t="str">
        <f>IFERROR(VLOOKUP(A311,'1-1 基本信息'!$A:$I,8,0),"")</f>
        <v/>
      </c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64" t="str">
        <f t="shared" si="4"/>
        <v/>
      </c>
    </row>
    <row r="312" spans="1:19" x14ac:dyDescent="0.3">
      <c r="A312" s="46"/>
      <c r="B312" s="33" t="str">
        <f>IFERROR(VLOOKUP(A312,'1-1 基本信息'!$A:$K,11,0),"")</f>
        <v/>
      </c>
      <c r="C312" s="3" t="str">
        <f>IFERROR(VLOOKUP(A312,'1-1 基本信息'!$A:$I,8,0),"")</f>
        <v/>
      </c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64" t="str">
        <f t="shared" si="4"/>
        <v/>
      </c>
    </row>
    <row r="313" spans="1:19" x14ac:dyDescent="0.3">
      <c r="A313" s="46"/>
      <c r="B313" s="33" t="str">
        <f>IFERROR(VLOOKUP(A313,'1-1 基本信息'!$A:$K,11,0),"")</f>
        <v/>
      </c>
      <c r="C313" s="3" t="str">
        <f>IFERROR(VLOOKUP(A313,'1-1 基本信息'!$A:$I,8,0),"")</f>
        <v/>
      </c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64" t="str">
        <f t="shared" si="4"/>
        <v/>
      </c>
    </row>
    <row r="314" spans="1:19" x14ac:dyDescent="0.3">
      <c r="A314" s="46"/>
      <c r="B314" s="33" t="str">
        <f>IFERROR(VLOOKUP(A314,'1-1 基本信息'!$A:$K,11,0),"")</f>
        <v/>
      </c>
      <c r="C314" s="3" t="str">
        <f>IFERROR(VLOOKUP(A314,'1-1 基本信息'!$A:$I,8,0),"")</f>
        <v/>
      </c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64" t="str">
        <f t="shared" si="4"/>
        <v/>
      </c>
    </row>
    <row r="315" spans="1:19" x14ac:dyDescent="0.3">
      <c r="A315" s="46"/>
      <c r="B315" s="33" t="str">
        <f>IFERROR(VLOOKUP(A315,'1-1 基本信息'!$A:$K,11,0),"")</f>
        <v/>
      </c>
      <c r="C315" s="3" t="str">
        <f>IFERROR(VLOOKUP(A315,'1-1 基本信息'!$A:$I,8,0),"")</f>
        <v/>
      </c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64" t="str">
        <f t="shared" si="4"/>
        <v/>
      </c>
    </row>
    <row r="316" spans="1:19" x14ac:dyDescent="0.3">
      <c r="A316" s="46"/>
      <c r="B316" s="33" t="str">
        <f>IFERROR(VLOOKUP(A316,'1-1 基本信息'!$A:$K,11,0),"")</f>
        <v/>
      </c>
      <c r="C316" s="3" t="str">
        <f>IFERROR(VLOOKUP(A316,'1-1 基本信息'!$A:$I,8,0),"")</f>
        <v/>
      </c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64" t="str">
        <f t="shared" si="4"/>
        <v/>
      </c>
    </row>
    <row r="317" spans="1:19" x14ac:dyDescent="0.3">
      <c r="A317" s="46"/>
      <c r="B317" s="33" t="str">
        <f>IFERROR(VLOOKUP(A317,'1-1 基本信息'!$A:$K,11,0),"")</f>
        <v/>
      </c>
      <c r="C317" s="3" t="str">
        <f>IFERROR(VLOOKUP(A317,'1-1 基本信息'!$A:$I,8,0),"")</f>
        <v/>
      </c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64" t="str">
        <f t="shared" si="4"/>
        <v/>
      </c>
    </row>
    <row r="318" spans="1:19" x14ac:dyDescent="0.3">
      <c r="A318" s="46"/>
      <c r="B318" s="33" t="str">
        <f>IFERROR(VLOOKUP(A318,'1-1 基本信息'!$A:$K,11,0),"")</f>
        <v/>
      </c>
      <c r="C318" s="3" t="str">
        <f>IFERROR(VLOOKUP(A318,'1-1 基本信息'!$A:$I,8,0),"")</f>
        <v/>
      </c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64" t="str">
        <f t="shared" si="4"/>
        <v/>
      </c>
    </row>
    <row r="319" spans="1:19" x14ac:dyDescent="0.3">
      <c r="A319" s="46"/>
      <c r="B319" s="33" t="str">
        <f>IFERROR(VLOOKUP(A319,'1-1 基本信息'!$A:$K,11,0),"")</f>
        <v/>
      </c>
      <c r="C319" s="3" t="str">
        <f>IFERROR(VLOOKUP(A319,'1-1 基本信息'!$A:$I,8,0),"")</f>
        <v/>
      </c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64" t="str">
        <f t="shared" si="4"/>
        <v/>
      </c>
    </row>
    <row r="320" spans="1:19" x14ac:dyDescent="0.3">
      <c r="A320" s="46"/>
      <c r="B320" s="33" t="str">
        <f>IFERROR(VLOOKUP(A320,'1-1 基本信息'!$A:$K,11,0),"")</f>
        <v/>
      </c>
      <c r="C320" s="3" t="str">
        <f>IFERROR(VLOOKUP(A320,'1-1 基本信息'!$A:$I,8,0),"")</f>
        <v/>
      </c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64" t="str">
        <f t="shared" si="4"/>
        <v/>
      </c>
    </row>
    <row r="321" spans="1:19" x14ac:dyDescent="0.3">
      <c r="A321" s="46"/>
      <c r="B321" s="33" t="str">
        <f>IFERROR(VLOOKUP(A321,'1-1 基本信息'!$A:$K,11,0),"")</f>
        <v/>
      </c>
      <c r="C321" s="3" t="str">
        <f>IFERROR(VLOOKUP(A321,'1-1 基本信息'!$A:$I,8,0),"")</f>
        <v/>
      </c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64" t="str">
        <f t="shared" si="4"/>
        <v/>
      </c>
    </row>
    <row r="322" spans="1:19" x14ac:dyDescent="0.3">
      <c r="A322" s="46"/>
      <c r="B322" s="33" t="str">
        <f>IFERROR(VLOOKUP(A322,'1-1 基本信息'!$A:$K,11,0),"")</f>
        <v/>
      </c>
      <c r="C322" s="3" t="str">
        <f>IFERROR(VLOOKUP(A322,'1-1 基本信息'!$A:$I,8,0),"")</f>
        <v/>
      </c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64" t="str">
        <f t="shared" si="4"/>
        <v/>
      </c>
    </row>
    <row r="323" spans="1:19" x14ac:dyDescent="0.3">
      <c r="A323" s="46"/>
      <c r="B323" s="33" t="str">
        <f>IFERROR(VLOOKUP(A323,'1-1 基本信息'!$A:$K,11,0),"")</f>
        <v/>
      </c>
      <c r="C323" s="3" t="str">
        <f>IFERROR(VLOOKUP(A323,'1-1 基本信息'!$A:$I,8,0),"")</f>
        <v/>
      </c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64" t="str">
        <f t="shared" si="4"/>
        <v/>
      </c>
    </row>
    <row r="324" spans="1:19" x14ac:dyDescent="0.3">
      <c r="A324" s="46"/>
      <c r="B324" s="33" t="str">
        <f>IFERROR(VLOOKUP(A324,'1-1 基本信息'!$A:$K,11,0),"")</f>
        <v/>
      </c>
      <c r="C324" s="3" t="str">
        <f>IFERROR(VLOOKUP(A324,'1-1 基本信息'!$A:$I,8,0),"")</f>
        <v/>
      </c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64" t="str">
        <f t="shared" ref="S324:S387" si="5">IF(E324&lt;&gt;"",AVERAGE(D324:R324),"")</f>
        <v/>
      </c>
    </row>
    <row r="325" spans="1:19" x14ac:dyDescent="0.3">
      <c r="A325" s="46"/>
      <c r="B325" s="33" t="str">
        <f>IFERROR(VLOOKUP(A325,'1-1 基本信息'!$A:$K,11,0),"")</f>
        <v/>
      </c>
      <c r="C325" s="3" t="str">
        <f>IFERROR(VLOOKUP(A325,'1-1 基本信息'!$A:$I,8,0),"")</f>
        <v/>
      </c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64" t="str">
        <f t="shared" si="5"/>
        <v/>
      </c>
    </row>
    <row r="326" spans="1:19" x14ac:dyDescent="0.3">
      <c r="A326" s="46"/>
      <c r="B326" s="33" t="str">
        <f>IFERROR(VLOOKUP(A326,'1-1 基本信息'!$A:$K,11,0),"")</f>
        <v/>
      </c>
      <c r="C326" s="3" t="str">
        <f>IFERROR(VLOOKUP(A326,'1-1 基本信息'!$A:$I,8,0),"")</f>
        <v/>
      </c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64" t="str">
        <f t="shared" si="5"/>
        <v/>
      </c>
    </row>
    <row r="327" spans="1:19" x14ac:dyDescent="0.3">
      <c r="A327" s="46"/>
      <c r="B327" s="33" t="str">
        <f>IFERROR(VLOOKUP(A327,'1-1 基本信息'!$A:$K,11,0),"")</f>
        <v/>
      </c>
      <c r="C327" s="3" t="str">
        <f>IFERROR(VLOOKUP(A327,'1-1 基本信息'!$A:$I,8,0),"")</f>
        <v/>
      </c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64" t="str">
        <f t="shared" si="5"/>
        <v/>
      </c>
    </row>
    <row r="328" spans="1:19" x14ac:dyDescent="0.3">
      <c r="A328" s="46"/>
      <c r="B328" s="33" t="str">
        <f>IFERROR(VLOOKUP(A328,'1-1 基本信息'!$A:$K,11,0),"")</f>
        <v/>
      </c>
      <c r="C328" s="3" t="str">
        <f>IFERROR(VLOOKUP(A328,'1-1 基本信息'!$A:$I,8,0),"")</f>
        <v/>
      </c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64" t="str">
        <f t="shared" si="5"/>
        <v/>
      </c>
    </row>
    <row r="329" spans="1:19" x14ac:dyDescent="0.3">
      <c r="A329" s="46"/>
      <c r="B329" s="33" t="str">
        <f>IFERROR(VLOOKUP(A329,'1-1 基本信息'!$A:$K,11,0),"")</f>
        <v/>
      </c>
      <c r="C329" s="3" t="str">
        <f>IFERROR(VLOOKUP(A329,'1-1 基本信息'!$A:$I,8,0),"")</f>
        <v/>
      </c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64" t="str">
        <f t="shared" si="5"/>
        <v/>
      </c>
    </row>
    <row r="330" spans="1:19" x14ac:dyDescent="0.3">
      <c r="A330" s="46"/>
      <c r="B330" s="33" t="str">
        <f>IFERROR(VLOOKUP(A330,'1-1 基本信息'!$A:$K,11,0),"")</f>
        <v/>
      </c>
      <c r="C330" s="3" t="str">
        <f>IFERROR(VLOOKUP(A330,'1-1 基本信息'!$A:$I,8,0),"")</f>
        <v/>
      </c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64" t="str">
        <f t="shared" si="5"/>
        <v/>
      </c>
    </row>
    <row r="331" spans="1:19" x14ac:dyDescent="0.3">
      <c r="A331" s="46"/>
      <c r="B331" s="33" t="str">
        <f>IFERROR(VLOOKUP(A331,'1-1 基本信息'!$A:$K,11,0),"")</f>
        <v/>
      </c>
      <c r="C331" s="3" t="str">
        <f>IFERROR(VLOOKUP(A331,'1-1 基本信息'!$A:$I,8,0),"")</f>
        <v/>
      </c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64" t="str">
        <f t="shared" si="5"/>
        <v/>
      </c>
    </row>
    <row r="332" spans="1:19" x14ac:dyDescent="0.3">
      <c r="A332" s="46"/>
      <c r="B332" s="33" t="str">
        <f>IFERROR(VLOOKUP(A332,'1-1 基本信息'!$A:$K,11,0),"")</f>
        <v/>
      </c>
      <c r="C332" s="3" t="str">
        <f>IFERROR(VLOOKUP(A332,'1-1 基本信息'!$A:$I,8,0),"")</f>
        <v/>
      </c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64" t="str">
        <f t="shared" si="5"/>
        <v/>
      </c>
    </row>
    <row r="333" spans="1:19" x14ac:dyDescent="0.3">
      <c r="A333" s="46"/>
      <c r="B333" s="33" t="str">
        <f>IFERROR(VLOOKUP(A333,'1-1 基本信息'!$A:$K,11,0),"")</f>
        <v/>
      </c>
      <c r="C333" s="3" t="str">
        <f>IFERROR(VLOOKUP(A333,'1-1 基本信息'!$A:$I,8,0),"")</f>
        <v/>
      </c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64" t="str">
        <f t="shared" si="5"/>
        <v/>
      </c>
    </row>
    <row r="334" spans="1:19" x14ac:dyDescent="0.3">
      <c r="A334" s="46"/>
      <c r="B334" s="33" t="str">
        <f>IFERROR(VLOOKUP(A334,'1-1 基本信息'!$A:$K,11,0),"")</f>
        <v/>
      </c>
      <c r="C334" s="3" t="str">
        <f>IFERROR(VLOOKUP(A334,'1-1 基本信息'!$A:$I,8,0),"")</f>
        <v/>
      </c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64" t="str">
        <f t="shared" si="5"/>
        <v/>
      </c>
    </row>
    <row r="335" spans="1:19" x14ac:dyDescent="0.3">
      <c r="A335" s="46"/>
      <c r="B335" s="33" t="str">
        <f>IFERROR(VLOOKUP(A335,'1-1 基本信息'!$A:$K,11,0),"")</f>
        <v/>
      </c>
      <c r="C335" s="3" t="str">
        <f>IFERROR(VLOOKUP(A335,'1-1 基本信息'!$A:$I,8,0),"")</f>
        <v/>
      </c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64" t="str">
        <f t="shared" si="5"/>
        <v/>
      </c>
    </row>
    <row r="336" spans="1:19" x14ac:dyDescent="0.3">
      <c r="A336" s="46"/>
      <c r="B336" s="33" t="str">
        <f>IFERROR(VLOOKUP(A336,'1-1 基本信息'!$A:$K,11,0),"")</f>
        <v/>
      </c>
      <c r="C336" s="3" t="str">
        <f>IFERROR(VLOOKUP(A336,'1-1 基本信息'!$A:$I,8,0),"")</f>
        <v/>
      </c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64" t="str">
        <f t="shared" si="5"/>
        <v/>
      </c>
    </row>
    <row r="337" spans="1:19" x14ac:dyDescent="0.3">
      <c r="A337" s="46"/>
      <c r="B337" s="33" t="str">
        <f>IFERROR(VLOOKUP(A337,'1-1 基本信息'!$A:$K,11,0),"")</f>
        <v/>
      </c>
      <c r="C337" s="3" t="str">
        <f>IFERROR(VLOOKUP(A337,'1-1 基本信息'!$A:$I,8,0),"")</f>
        <v/>
      </c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64" t="str">
        <f t="shared" si="5"/>
        <v/>
      </c>
    </row>
    <row r="338" spans="1:19" x14ac:dyDescent="0.3">
      <c r="A338" s="46"/>
      <c r="B338" s="33" t="str">
        <f>IFERROR(VLOOKUP(A338,'1-1 基本信息'!$A:$K,11,0),"")</f>
        <v/>
      </c>
      <c r="C338" s="3" t="str">
        <f>IFERROR(VLOOKUP(A338,'1-1 基本信息'!$A:$I,8,0),"")</f>
        <v/>
      </c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64" t="str">
        <f t="shared" si="5"/>
        <v/>
      </c>
    </row>
    <row r="339" spans="1:19" x14ac:dyDescent="0.3">
      <c r="A339" s="46"/>
      <c r="B339" s="33" t="str">
        <f>IFERROR(VLOOKUP(A339,'1-1 基本信息'!$A:$K,11,0),"")</f>
        <v/>
      </c>
      <c r="C339" s="3" t="str">
        <f>IFERROR(VLOOKUP(A339,'1-1 基本信息'!$A:$I,8,0),"")</f>
        <v/>
      </c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64" t="str">
        <f t="shared" si="5"/>
        <v/>
      </c>
    </row>
    <row r="340" spans="1:19" x14ac:dyDescent="0.3">
      <c r="A340" s="46"/>
      <c r="B340" s="33" t="str">
        <f>IFERROR(VLOOKUP(A340,'1-1 基本信息'!$A:$K,11,0),"")</f>
        <v/>
      </c>
      <c r="C340" s="3" t="str">
        <f>IFERROR(VLOOKUP(A340,'1-1 基本信息'!$A:$I,8,0),"")</f>
        <v/>
      </c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64" t="str">
        <f t="shared" si="5"/>
        <v/>
      </c>
    </row>
    <row r="341" spans="1:19" x14ac:dyDescent="0.3">
      <c r="A341" s="46"/>
      <c r="B341" s="33" t="str">
        <f>IFERROR(VLOOKUP(A341,'1-1 基本信息'!$A:$K,11,0),"")</f>
        <v/>
      </c>
      <c r="C341" s="3" t="str">
        <f>IFERROR(VLOOKUP(A341,'1-1 基本信息'!$A:$I,8,0),"")</f>
        <v/>
      </c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64" t="str">
        <f t="shared" si="5"/>
        <v/>
      </c>
    </row>
    <row r="342" spans="1:19" x14ac:dyDescent="0.3">
      <c r="A342" s="46"/>
      <c r="B342" s="33" t="str">
        <f>IFERROR(VLOOKUP(A342,'1-1 基本信息'!$A:$K,11,0),"")</f>
        <v/>
      </c>
      <c r="C342" s="3" t="str">
        <f>IFERROR(VLOOKUP(A342,'1-1 基本信息'!$A:$I,8,0),"")</f>
        <v/>
      </c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64" t="str">
        <f t="shared" si="5"/>
        <v/>
      </c>
    </row>
    <row r="343" spans="1:19" x14ac:dyDescent="0.3">
      <c r="A343" s="46"/>
      <c r="B343" s="33" t="str">
        <f>IFERROR(VLOOKUP(A343,'1-1 基本信息'!$A:$K,11,0),"")</f>
        <v/>
      </c>
      <c r="C343" s="3" t="str">
        <f>IFERROR(VLOOKUP(A343,'1-1 基本信息'!$A:$I,8,0),"")</f>
        <v/>
      </c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64" t="str">
        <f t="shared" si="5"/>
        <v/>
      </c>
    </row>
    <row r="344" spans="1:19" x14ac:dyDescent="0.3">
      <c r="A344" s="46"/>
      <c r="B344" s="33" t="str">
        <f>IFERROR(VLOOKUP(A344,'1-1 基本信息'!$A:$K,11,0),"")</f>
        <v/>
      </c>
      <c r="C344" s="3" t="str">
        <f>IFERROR(VLOOKUP(A344,'1-1 基本信息'!$A:$I,8,0),"")</f>
        <v/>
      </c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64" t="str">
        <f t="shared" si="5"/>
        <v/>
      </c>
    </row>
    <row r="345" spans="1:19" x14ac:dyDescent="0.3">
      <c r="A345" s="46"/>
      <c r="B345" s="33" t="str">
        <f>IFERROR(VLOOKUP(A345,'1-1 基本信息'!$A:$K,11,0),"")</f>
        <v/>
      </c>
      <c r="C345" s="3" t="str">
        <f>IFERROR(VLOOKUP(A345,'1-1 基本信息'!$A:$I,8,0),"")</f>
        <v/>
      </c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64" t="str">
        <f t="shared" si="5"/>
        <v/>
      </c>
    </row>
    <row r="346" spans="1:19" x14ac:dyDescent="0.3">
      <c r="A346" s="46"/>
      <c r="B346" s="33" t="str">
        <f>IFERROR(VLOOKUP(A346,'1-1 基本信息'!$A:$K,11,0),"")</f>
        <v/>
      </c>
      <c r="C346" s="3" t="str">
        <f>IFERROR(VLOOKUP(A346,'1-1 基本信息'!$A:$I,8,0),"")</f>
        <v/>
      </c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64" t="str">
        <f t="shared" si="5"/>
        <v/>
      </c>
    </row>
    <row r="347" spans="1:19" x14ac:dyDescent="0.3">
      <c r="A347" s="46"/>
      <c r="B347" s="33" t="str">
        <f>IFERROR(VLOOKUP(A347,'1-1 基本信息'!$A:$K,11,0),"")</f>
        <v/>
      </c>
      <c r="C347" s="3" t="str">
        <f>IFERROR(VLOOKUP(A347,'1-1 基本信息'!$A:$I,8,0),"")</f>
        <v/>
      </c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64" t="str">
        <f t="shared" si="5"/>
        <v/>
      </c>
    </row>
    <row r="348" spans="1:19" x14ac:dyDescent="0.3">
      <c r="A348" s="46"/>
      <c r="B348" s="33" t="str">
        <f>IFERROR(VLOOKUP(A348,'1-1 基本信息'!$A:$K,11,0),"")</f>
        <v/>
      </c>
      <c r="C348" s="3" t="str">
        <f>IFERROR(VLOOKUP(A348,'1-1 基本信息'!$A:$I,8,0),"")</f>
        <v/>
      </c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64" t="str">
        <f t="shared" si="5"/>
        <v/>
      </c>
    </row>
    <row r="349" spans="1:19" x14ac:dyDescent="0.3">
      <c r="A349" s="46"/>
      <c r="B349" s="33" t="str">
        <f>IFERROR(VLOOKUP(A349,'1-1 基本信息'!$A:$K,11,0),"")</f>
        <v/>
      </c>
      <c r="C349" s="3" t="str">
        <f>IFERROR(VLOOKUP(A349,'1-1 基本信息'!$A:$I,8,0),"")</f>
        <v/>
      </c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64" t="str">
        <f t="shared" si="5"/>
        <v/>
      </c>
    </row>
    <row r="350" spans="1:19" x14ac:dyDescent="0.3">
      <c r="A350" s="46"/>
      <c r="B350" s="33" t="str">
        <f>IFERROR(VLOOKUP(A350,'1-1 基本信息'!$A:$K,11,0),"")</f>
        <v/>
      </c>
      <c r="C350" s="3" t="str">
        <f>IFERROR(VLOOKUP(A350,'1-1 基本信息'!$A:$I,8,0),"")</f>
        <v/>
      </c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64" t="str">
        <f t="shared" si="5"/>
        <v/>
      </c>
    </row>
    <row r="351" spans="1:19" x14ac:dyDescent="0.3">
      <c r="A351" s="46"/>
      <c r="B351" s="33" t="str">
        <f>IFERROR(VLOOKUP(A351,'1-1 基本信息'!$A:$K,11,0),"")</f>
        <v/>
      </c>
      <c r="C351" s="3" t="str">
        <f>IFERROR(VLOOKUP(A351,'1-1 基本信息'!$A:$I,8,0),"")</f>
        <v/>
      </c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64" t="str">
        <f t="shared" si="5"/>
        <v/>
      </c>
    </row>
    <row r="352" spans="1:19" x14ac:dyDescent="0.3">
      <c r="A352" s="46"/>
      <c r="B352" s="33" t="str">
        <f>IFERROR(VLOOKUP(A352,'1-1 基本信息'!$A:$K,11,0),"")</f>
        <v/>
      </c>
      <c r="C352" s="3" t="str">
        <f>IFERROR(VLOOKUP(A352,'1-1 基本信息'!$A:$I,8,0),"")</f>
        <v/>
      </c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64" t="str">
        <f t="shared" si="5"/>
        <v/>
      </c>
    </row>
    <row r="353" spans="1:19" x14ac:dyDescent="0.3">
      <c r="A353" s="46"/>
      <c r="B353" s="33" t="str">
        <f>IFERROR(VLOOKUP(A353,'1-1 基本信息'!$A:$K,11,0),"")</f>
        <v/>
      </c>
      <c r="C353" s="3" t="str">
        <f>IFERROR(VLOOKUP(A353,'1-1 基本信息'!$A:$I,8,0),"")</f>
        <v/>
      </c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64" t="str">
        <f t="shared" si="5"/>
        <v/>
      </c>
    </row>
    <row r="354" spans="1:19" x14ac:dyDescent="0.3">
      <c r="A354" s="46"/>
      <c r="B354" s="33" t="str">
        <f>IFERROR(VLOOKUP(A354,'1-1 基本信息'!$A:$K,11,0),"")</f>
        <v/>
      </c>
      <c r="C354" s="3" t="str">
        <f>IFERROR(VLOOKUP(A354,'1-1 基本信息'!$A:$I,8,0),"")</f>
        <v/>
      </c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64" t="str">
        <f t="shared" si="5"/>
        <v/>
      </c>
    </row>
    <row r="355" spans="1:19" x14ac:dyDescent="0.3">
      <c r="A355" s="46"/>
      <c r="B355" s="33" t="str">
        <f>IFERROR(VLOOKUP(A355,'1-1 基本信息'!$A:$K,11,0),"")</f>
        <v/>
      </c>
      <c r="C355" s="3" t="str">
        <f>IFERROR(VLOOKUP(A355,'1-1 基本信息'!$A:$I,8,0),"")</f>
        <v/>
      </c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64" t="str">
        <f t="shared" si="5"/>
        <v/>
      </c>
    </row>
    <row r="356" spans="1:19" x14ac:dyDescent="0.3">
      <c r="A356" s="46"/>
      <c r="B356" s="33" t="str">
        <f>IFERROR(VLOOKUP(A356,'1-1 基本信息'!$A:$K,11,0),"")</f>
        <v/>
      </c>
      <c r="C356" s="3" t="str">
        <f>IFERROR(VLOOKUP(A356,'1-1 基本信息'!$A:$I,8,0),"")</f>
        <v/>
      </c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64" t="str">
        <f t="shared" si="5"/>
        <v/>
      </c>
    </row>
    <row r="357" spans="1:19" x14ac:dyDescent="0.3">
      <c r="A357" s="46"/>
      <c r="B357" s="33" t="str">
        <f>IFERROR(VLOOKUP(A357,'1-1 基本信息'!$A:$K,11,0),"")</f>
        <v/>
      </c>
      <c r="C357" s="3" t="str">
        <f>IFERROR(VLOOKUP(A357,'1-1 基本信息'!$A:$I,8,0),"")</f>
        <v/>
      </c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64" t="str">
        <f t="shared" si="5"/>
        <v/>
      </c>
    </row>
    <row r="358" spans="1:19" x14ac:dyDescent="0.3">
      <c r="A358" s="46"/>
      <c r="B358" s="33" t="str">
        <f>IFERROR(VLOOKUP(A358,'1-1 基本信息'!$A:$K,11,0),"")</f>
        <v/>
      </c>
      <c r="C358" s="3" t="str">
        <f>IFERROR(VLOOKUP(A358,'1-1 基本信息'!$A:$I,8,0),"")</f>
        <v/>
      </c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64" t="str">
        <f t="shared" si="5"/>
        <v/>
      </c>
    </row>
    <row r="359" spans="1:19" x14ac:dyDescent="0.3">
      <c r="A359" s="46"/>
      <c r="B359" s="33" t="str">
        <f>IFERROR(VLOOKUP(A359,'1-1 基本信息'!$A:$K,11,0),"")</f>
        <v/>
      </c>
      <c r="C359" s="3" t="str">
        <f>IFERROR(VLOOKUP(A359,'1-1 基本信息'!$A:$I,8,0),"")</f>
        <v/>
      </c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64" t="str">
        <f t="shared" si="5"/>
        <v/>
      </c>
    </row>
    <row r="360" spans="1:19" x14ac:dyDescent="0.3">
      <c r="A360" s="46"/>
      <c r="B360" s="33" t="str">
        <f>IFERROR(VLOOKUP(A360,'1-1 基本信息'!$A:$K,11,0),"")</f>
        <v/>
      </c>
      <c r="C360" s="3" t="str">
        <f>IFERROR(VLOOKUP(A360,'1-1 基本信息'!$A:$I,8,0),"")</f>
        <v/>
      </c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64" t="str">
        <f t="shared" si="5"/>
        <v/>
      </c>
    </row>
    <row r="361" spans="1:19" x14ac:dyDescent="0.3">
      <c r="A361" s="46"/>
      <c r="B361" s="33" t="str">
        <f>IFERROR(VLOOKUP(A361,'1-1 基本信息'!$A:$K,11,0),"")</f>
        <v/>
      </c>
      <c r="C361" s="3" t="str">
        <f>IFERROR(VLOOKUP(A361,'1-1 基本信息'!$A:$I,8,0),"")</f>
        <v/>
      </c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64" t="str">
        <f t="shared" si="5"/>
        <v/>
      </c>
    </row>
    <row r="362" spans="1:19" x14ac:dyDescent="0.3">
      <c r="A362" s="46"/>
      <c r="B362" s="33" t="str">
        <f>IFERROR(VLOOKUP(A362,'1-1 基本信息'!$A:$K,11,0),"")</f>
        <v/>
      </c>
      <c r="C362" s="3" t="str">
        <f>IFERROR(VLOOKUP(A362,'1-1 基本信息'!$A:$I,8,0),"")</f>
        <v/>
      </c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64" t="str">
        <f t="shared" si="5"/>
        <v/>
      </c>
    </row>
    <row r="363" spans="1:19" x14ac:dyDescent="0.3">
      <c r="A363" s="46"/>
      <c r="B363" s="33" t="str">
        <f>IFERROR(VLOOKUP(A363,'1-1 基本信息'!$A:$K,11,0),"")</f>
        <v/>
      </c>
      <c r="C363" s="3" t="str">
        <f>IFERROR(VLOOKUP(A363,'1-1 基本信息'!$A:$I,8,0),"")</f>
        <v/>
      </c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64" t="str">
        <f t="shared" si="5"/>
        <v/>
      </c>
    </row>
    <row r="364" spans="1:19" x14ac:dyDescent="0.3">
      <c r="A364" s="46"/>
      <c r="B364" s="33" t="str">
        <f>IFERROR(VLOOKUP(A364,'1-1 基本信息'!$A:$K,11,0),"")</f>
        <v/>
      </c>
      <c r="C364" s="3" t="str">
        <f>IFERROR(VLOOKUP(A364,'1-1 基本信息'!$A:$I,8,0),"")</f>
        <v/>
      </c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64" t="str">
        <f t="shared" si="5"/>
        <v/>
      </c>
    </row>
    <row r="365" spans="1:19" x14ac:dyDescent="0.3">
      <c r="A365" s="46"/>
      <c r="B365" s="33" t="str">
        <f>IFERROR(VLOOKUP(A365,'1-1 基本信息'!$A:$K,11,0),"")</f>
        <v/>
      </c>
      <c r="C365" s="3" t="str">
        <f>IFERROR(VLOOKUP(A365,'1-1 基本信息'!$A:$I,8,0),"")</f>
        <v/>
      </c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64" t="str">
        <f t="shared" si="5"/>
        <v/>
      </c>
    </row>
    <row r="366" spans="1:19" x14ac:dyDescent="0.3">
      <c r="A366" s="46"/>
      <c r="B366" s="33" t="str">
        <f>IFERROR(VLOOKUP(A366,'1-1 基本信息'!$A:$K,11,0),"")</f>
        <v/>
      </c>
      <c r="C366" s="3" t="str">
        <f>IFERROR(VLOOKUP(A366,'1-1 基本信息'!$A:$I,8,0),"")</f>
        <v/>
      </c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64" t="str">
        <f t="shared" si="5"/>
        <v/>
      </c>
    </row>
    <row r="367" spans="1:19" x14ac:dyDescent="0.3">
      <c r="A367" s="46"/>
      <c r="B367" s="33" t="str">
        <f>IFERROR(VLOOKUP(A367,'1-1 基本信息'!$A:$K,11,0),"")</f>
        <v/>
      </c>
      <c r="C367" s="3" t="str">
        <f>IFERROR(VLOOKUP(A367,'1-1 基本信息'!$A:$I,8,0),"")</f>
        <v/>
      </c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64" t="str">
        <f t="shared" si="5"/>
        <v/>
      </c>
    </row>
    <row r="368" spans="1:19" x14ac:dyDescent="0.3">
      <c r="A368" s="46"/>
      <c r="B368" s="33" t="str">
        <f>IFERROR(VLOOKUP(A368,'1-1 基本信息'!$A:$K,11,0),"")</f>
        <v/>
      </c>
      <c r="C368" s="3" t="str">
        <f>IFERROR(VLOOKUP(A368,'1-1 基本信息'!$A:$I,8,0),"")</f>
        <v/>
      </c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64" t="str">
        <f t="shared" si="5"/>
        <v/>
      </c>
    </row>
    <row r="369" spans="1:19" x14ac:dyDescent="0.3">
      <c r="A369" s="46"/>
      <c r="B369" s="33" t="str">
        <f>IFERROR(VLOOKUP(A369,'1-1 基本信息'!$A:$K,11,0),"")</f>
        <v/>
      </c>
      <c r="C369" s="3" t="str">
        <f>IFERROR(VLOOKUP(A369,'1-1 基本信息'!$A:$I,8,0),"")</f>
        <v/>
      </c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64" t="str">
        <f t="shared" si="5"/>
        <v/>
      </c>
    </row>
    <row r="370" spans="1:19" x14ac:dyDescent="0.3">
      <c r="A370" s="46"/>
      <c r="B370" s="33" t="str">
        <f>IFERROR(VLOOKUP(A370,'1-1 基本信息'!$A:$K,11,0),"")</f>
        <v/>
      </c>
      <c r="C370" s="3" t="str">
        <f>IFERROR(VLOOKUP(A370,'1-1 基本信息'!$A:$I,8,0),"")</f>
        <v/>
      </c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64" t="str">
        <f t="shared" si="5"/>
        <v/>
      </c>
    </row>
    <row r="371" spans="1:19" x14ac:dyDescent="0.3">
      <c r="A371" s="46"/>
      <c r="B371" s="33" t="str">
        <f>IFERROR(VLOOKUP(A371,'1-1 基本信息'!$A:$K,11,0),"")</f>
        <v/>
      </c>
      <c r="C371" s="3" t="str">
        <f>IFERROR(VLOOKUP(A371,'1-1 基本信息'!$A:$I,8,0),"")</f>
        <v/>
      </c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64" t="str">
        <f t="shared" si="5"/>
        <v/>
      </c>
    </row>
    <row r="372" spans="1:19" x14ac:dyDescent="0.3">
      <c r="A372" s="46"/>
      <c r="B372" s="33" t="str">
        <f>IFERROR(VLOOKUP(A372,'1-1 基本信息'!$A:$K,11,0),"")</f>
        <v/>
      </c>
      <c r="C372" s="3" t="str">
        <f>IFERROR(VLOOKUP(A372,'1-1 基本信息'!$A:$I,8,0),"")</f>
        <v/>
      </c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64" t="str">
        <f t="shared" si="5"/>
        <v/>
      </c>
    </row>
    <row r="373" spans="1:19" x14ac:dyDescent="0.3">
      <c r="A373" s="46"/>
      <c r="B373" s="33" t="str">
        <f>IFERROR(VLOOKUP(A373,'1-1 基本信息'!$A:$K,11,0),"")</f>
        <v/>
      </c>
      <c r="C373" s="3" t="str">
        <f>IFERROR(VLOOKUP(A373,'1-1 基本信息'!$A:$I,8,0),"")</f>
        <v/>
      </c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64" t="str">
        <f t="shared" si="5"/>
        <v/>
      </c>
    </row>
    <row r="374" spans="1:19" x14ac:dyDescent="0.3">
      <c r="A374" s="46"/>
      <c r="B374" s="33" t="str">
        <f>IFERROR(VLOOKUP(A374,'1-1 基本信息'!$A:$K,11,0),"")</f>
        <v/>
      </c>
      <c r="C374" s="3" t="str">
        <f>IFERROR(VLOOKUP(A374,'1-1 基本信息'!$A:$I,8,0),"")</f>
        <v/>
      </c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64" t="str">
        <f t="shared" si="5"/>
        <v/>
      </c>
    </row>
    <row r="375" spans="1:19" x14ac:dyDescent="0.3">
      <c r="A375" s="46"/>
      <c r="B375" s="33" t="str">
        <f>IFERROR(VLOOKUP(A375,'1-1 基本信息'!$A:$K,11,0),"")</f>
        <v/>
      </c>
      <c r="C375" s="3" t="str">
        <f>IFERROR(VLOOKUP(A375,'1-1 基本信息'!$A:$I,8,0),"")</f>
        <v/>
      </c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64" t="str">
        <f t="shared" si="5"/>
        <v/>
      </c>
    </row>
    <row r="376" spans="1:19" x14ac:dyDescent="0.3">
      <c r="A376" s="46"/>
      <c r="B376" s="33" t="str">
        <f>IFERROR(VLOOKUP(A376,'1-1 基本信息'!$A:$K,11,0),"")</f>
        <v/>
      </c>
      <c r="C376" s="3" t="str">
        <f>IFERROR(VLOOKUP(A376,'1-1 基本信息'!$A:$I,8,0),"")</f>
        <v/>
      </c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64" t="str">
        <f t="shared" si="5"/>
        <v/>
      </c>
    </row>
    <row r="377" spans="1:19" x14ac:dyDescent="0.3">
      <c r="A377" s="46"/>
      <c r="B377" s="33" t="str">
        <f>IFERROR(VLOOKUP(A377,'1-1 基本信息'!$A:$K,11,0),"")</f>
        <v/>
      </c>
      <c r="C377" s="3" t="str">
        <f>IFERROR(VLOOKUP(A377,'1-1 基本信息'!$A:$I,8,0),"")</f>
        <v/>
      </c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64" t="str">
        <f t="shared" si="5"/>
        <v/>
      </c>
    </row>
    <row r="378" spans="1:19" x14ac:dyDescent="0.3">
      <c r="A378" s="46"/>
      <c r="B378" s="33" t="str">
        <f>IFERROR(VLOOKUP(A378,'1-1 基本信息'!$A:$K,11,0),"")</f>
        <v/>
      </c>
      <c r="C378" s="3" t="str">
        <f>IFERROR(VLOOKUP(A378,'1-1 基本信息'!$A:$I,8,0),"")</f>
        <v/>
      </c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64" t="str">
        <f t="shared" si="5"/>
        <v/>
      </c>
    </row>
    <row r="379" spans="1:19" x14ac:dyDescent="0.3">
      <c r="A379" s="46"/>
      <c r="B379" s="33" t="str">
        <f>IFERROR(VLOOKUP(A379,'1-1 基本信息'!$A:$K,11,0),"")</f>
        <v/>
      </c>
      <c r="C379" s="3" t="str">
        <f>IFERROR(VLOOKUP(A379,'1-1 基本信息'!$A:$I,8,0),"")</f>
        <v/>
      </c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64" t="str">
        <f t="shared" si="5"/>
        <v/>
      </c>
    </row>
    <row r="380" spans="1:19" x14ac:dyDescent="0.3">
      <c r="A380" s="46"/>
      <c r="B380" s="33" t="str">
        <f>IFERROR(VLOOKUP(A380,'1-1 基本信息'!$A:$K,11,0),"")</f>
        <v/>
      </c>
      <c r="C380" s="3" t="str">
        <f>IFERROR(VLOOKUP(A380,'1-1 基本信息'!$A:$I,8,0),"")</f>
        <v/>
      </c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64" t="str">
        <f t="shared" si="5"/>
        <v/>
      </c>
    </row>
    <row r="381" spans="1:19" x14ac:dyDescent="0.3">
      <c r="A381" s="46"/>
      <c r="B381" s="33" t="str">
        <f>IFERROR(VLOOKUP(A381,'1-1 基本信息'!$A:$K,11,0),"")</f>
        <v/>
      </c>
      <c r="C381" s="3" t="str">
        <f>IFERROR(VLOOKUP(A381,'1-1 基本信息'!$A:$I,8,0),"")</f>
        <v/>
      </c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64" t="str">
        <f t="shared" si="5"/>
        <v/>
      </c>
    </row>
    <row r="382" spans="1:19" x14ac:dyDescent="0.3">
      <c r="A382" s="46"/>
      <c r="B382" s="33" t="str">
        <f>IFERROR(VLOOKUP(A382,'1-1 基本信息'!$A:$K,11,0),"")</f>
        <v/>
      </c>
      <c r="C382" s="3" t="str">
        <f>IFERROR(VLOOKUP(A382,'1-1 基本信息'!$A:$I,8,0),"")</f>
        <v/>
      </c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64" t="str">
        <f t="shared" si="5"/>
        <v/>
      </c>
    </row>
    <row r="383" spans="1:19" x14ac:dyDescent="0.3">
      <c r="A383" s="46"/>
      <c r="B383" s="33" t="str">
        <f>IFERROR(VLOOKUP(A383,'1-1 基本信息'!$A:$K,11,0),"")</f>
        <v/>
      </c>
      <c r="C383" s="3" t="str">
        <f>IFERROR(VLOOKUP(A383,'1-1 基本信息'!$A:$I,8,0),"")</f>
        <v/>
      </c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64" t="str">
        <f t="shared" si="5"/>
        <v/>
      </c>
    </row>
    <row r="384" spans="1:19" x14ac:dyDescent="0.3">
      <c r="A384" s="46"/>
      <c r="B384" s="33" t="str">
        <f>IFERROR(VLOOKUP(A384,'1-1 基本信息'!$A:$K,11,0),"")</f>
        <v/>
      </c>
      <c r="C384" s="3" t="str">
        <f>IFERROR(VLOOKUP(A384,'1-1 基本信息'!$A:$I,8,0),"")</f>
        <v/>
      </c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64" t="str">
        <f t="shared" si="5"/>
        <v/>
      </c>
    </row>
    <row r="385" spans="1:19" x14ac:dyDescent="0.3">
      <c r="A385" s="46"/>
      <c r="B385" s="33" t="str">
        <f>IFERROR(VLOOKUP(A385,'1-1 基本信息'!$A:$K,11,0),"")</f>
        <v/>
      </c>
      <c r="C385" s="3" t="str">
        <f>IFERROR(VLOOKUP(A385,'1-1 基本信息'!$A:$I,8,0),"")</f>
        <v/>
      </c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64" t="str">
        <f t="shared" si="5"/>
        <v/>
      </c>
    </row>
    <row r="386" spans="1:19" x14ac:dyDescent="0.3">
      <c r="A386" s="46"/>
      <c r="B386" s="33" t="str">
        <f>IFERROR(VLOOKUP(A386,'1-1 基本信息'!$A:$K,11,0),"")</f>
        <v/>
      </c>
      <c r="C386" s="3" t="str">
        <f>IFERROR(VLOOKUP(A386,'1-1 基本信息'!$A:$I,8,0),"")</f>
        <v/>
      </c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64" t="str">
        <f t="shared" si="5"/>
        <v/>
      </c>
    </row>
    <row r="387" spans="1:19" x14ac:dyDescent="0.3">
      <c r="A387" s="46"/>
      <c r="B387" s="33" t="str">
        <f>IFERROR(VLOOKUP(A387,'1-1 基本信息'!$A:$K,11,0),"")</f>
        <v/>
      </c>
      <c r="C387" s="3" t="str">
        <f>IFERROR(VLOOKUP(A387,'1-1 基本信息'!$A:$I,8,0),"")</f>
        <v/>
      </c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64" t="str">
        <f t="shared" si="5"/>
        <v/>
      </c>
    </row>
    <row r="388" spans="1:19" x14ac:dyDescent="0.3">
      <c r="A388" s="46"/>
      <c r="B388" s="33" t="str">
        <f>IFERROR(VLOOKUP(A388,'1-1 基本信息'!$A:$K,11,0),"")</f>
        <v/>
      </c>
      <c r="C388" s="3" t="str">
        <f>IFERROR(VLOOKUP(A388,'1-1 基本信息'!$A:$I,8,0),"")</f>
        <v/>
      </c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64" t="str">
        <f t="shared" ref="S388:S445" si="6">IF(E388&lt;&gt;"",AVERAGE(D388:R388),"")</f>
        <v/>
      </c>
    </row>
    <row r="389" spans="1:19" x14ac:dyDescent="0.3">
      <c r="A389" s="46"/>
      <c r="B389" s="33" t="str">
        <f>IFERROR(VLOOKUP(A389,'1-1 基本信息'!$A:$K,11,0),"")</f>
        <v/>
      </c>
      <c r="C389" s="3" t="str">
        <f>IFERROR(VLOOKUP(A389,'1-1 基本信息'!$A:$I,8,0),"")</f>
        <v/>
      </c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64" t="str">
        <f t="shared" si="6"/>
        <v/>
      </c>
    </row>
    <row r="390" spans="1:19" x14ac:dyDescent="0.3">
      <c r="A390" s="46"/>
      <c r="B390" s="33" t="str">
        <f>IFERROR(VLOOKUP(A390,'1-1 基本信息'!$A:$K,11,0),"")</f>
        <v/>
      </c>
      <c r="C390" s="3" t="str">
        <f>IFERROR(VLOOKUP(A390,'1-1 基本信息'!$A:$I,8,0),"")</f>
        <v/>
      </c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64" t="str">
        <f t="shared" si="6"/>
        <v/>
      </c>
    </row>
    <row r="391" spans="1:19" x14ac:dyDescent="0.3">
      <c r="A391" s="46"/>
      <c r="B391" s="33" t="str">
        <f>IFERROR(VLOOKUP(A391,'1-1 基本信息'!$A:$K,11,0),"")</f>
        <v/>
      </c>
      <c r="C391" s="3" t="str">
        <f>IFERROR(VLOOKUP(A391,'1-1 基本信息'!$A:$I,8,0),"")</f>
        <v/>
      </c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64" t="str">
        <f t="shared" si="6"/>
        <v/>
      </c>
    </row>
    <row r="392" spans="1:19" x14ac:dyDescent="0.3">
      <c r="A392" s="46"/>
      <c r="B392" s="33" t="str">
        <f>IFERROR(VLOOKUP(A392,'1-1 基本信息'!$A:$K,11,0),"")</f>
        <v/>
      </c>
      <c r="C392" s="3" t="str">
        <f>IFERROR(VLOOKUP(A392,'1-1 基本信息'!$A:$I,8,0),"")</f>
        <v/>
      </c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64" t="str">
        <f t="shared" si="6"/>
        <v/>
      </c>
    </row>
    <row r="393" spans="1:19" x14ac:dyDescent="0.3">
      <c r="A393" s="46"/>
      <c r="B393" s="33" t="str">
        <f>IFERROR(VLOOKUP(A393,'1-1 基本信息'!$A:$K,11,0),"")</f>
        <v/>
      </c>
      <c r="C393" s="3" t="str">
        <f>IFERROR(VLOOKUP(A393,'1-1 基本信息'!$A:$I,8,0),"")</f>
        <v/>
      </c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64" t="str">
        <f t="shared" si="6"/>
        <v/>
      </c>
    </row>
    <row r="394" spans="1:19" x14ac:dyDescent="0.3">
      <c r="A394" s="46"/>
      <c r="B394" s="33" t="str">
        <f>IFERROR(VLOOKUP(A394,'1-1 基本信息'!$A:$K,11,0),"")</f>
        <v/>
      </c>
      <c r="C394" s="3" t="str">
        <f>IFERROR(VLOOKUP(A394,'1-1 基本信息'!$A:$I,8,0),"")</f>
        <v/>
      </c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64" t="str">
        <f t="shared" si="6"/>
        <v/>
      </c>
    </row>
    <row r="395" spans="1:19" x14ac:dyDescent="0.3">
      <c r="A395" s="46"/>
      <c r="B395" s="33" t="str">
        <f>IFERROR(VLOOKUP(A395,'1-1 基本信息'!$A:$K,11,0),"")</f>
        <v/>
      </c>
      <c r="C395" s="3" t="str">
        <f>IFERROR(VLOOKUP(A395,'1-1 基本信息'!$A:$I,8,0),"")</f>
        <v/>
      </c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64" t="str">
        <f t="shared" si="6"/>
        <v/>
      </c>
    </row>
    <row r="396" spans="1:19" x14ac:dyDescent="0.3">
      <c r="A396" s="46"/>
      <c r="B396" s="33" t="str">
        <f>IFERROR(VLOOKUP(A396,'1-1 基本信息'!$A:$K,11,0),"")</f>
        <v/>
      </c>
      <c r="C396" s="3" t="str">
        <f>IFERROR(VLOOKUP(A396,'1-1 基本信息'!$A:$I,8,0),"")</f>
        <v/>
      </c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64" t="str">
        <f t="shared" si="6"/>
        <v/>
      </c>
    </row>
    <row r="397" spans="1:19" x14ac:dyDescent="0.3">
      <c r="A397" s="46"/>
      <c r="B397" s="33" t="str">
        <f>IFERROR(VLOOKUP(A397,'1-1 基本信息'!$A:$K,11,0),"")</f>
        <v/>
      </c>
      <c r="C397" s="3" t="str">
        <f>IFERROR(VLOOKUP(A397,'1-1 基本信息'!$A:$I,8,0),"")</f>
        <v/>
      </c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64" t="str">
        <f t="shared" si="6"/>
        <v/>
      </c>
    </row>
    <row r="398" spans="1:19" x14ac:dyDescent="0.3">
      <c r="A398" s="46"/>
      <c r="B398" s="33" t="str">
        <f>IFERROR(VLOOKUP(A398,'1-1 基本信息'!$A:$K,11,0),"")</f>
        <v/>
      </c>
      <c r="C398" s="3" t="str">
        <f>IFERROR(VLOOKUP(A398,'1-1 基本信息'!$A:$I,8,0),"")</f>
        <v/>
      </c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64" t="str">
        <f t="shared" si="6"/>
        <v/>
      </c>
    </row>
    <row r="399" spans="1:19" x14ac:dyDescent="0.3">
      <c r="A399" s="46"/>
      <c r="B399" s="33" t="str">
        <f>IFERROR(VLOOKUP(A399,'1-1 基本信息'!$A:$K,11,0),"")</f>
        <v/>
      </c>
      <c r="C399" s="3" t="str">
        <f>IFERROR(VLOOKUP(A399,'1-1 基本信息'!$A:$I,8,0),"")</f>
        <v/>
      </c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64" t="str">
        <f t="shared" si="6"/>
        <v/>
      </c>
    </row>
    <row r="400" spans="1:19" x14ac:dyDescent="0.3">
      <c r="A400" s="46"/>
      <c r="B400" s="33" t="str">
        <f>IFERROR(VLOOKUP(A400,'1-1 基本信息'!$A:$K,11,0),"")</f>
        <v/>
      </c>
      <c r="C400" s="3" t="str">
        <f>IFERROR(VLOOKUP(A400,'1-1 基本信息'!$A:$I,8,0),"")</f>
        <v/>
      </c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64" t="str">
        <f t="shared" si="6"/>
        <v/>
      </c>
    </row>
    <row r="401" spans="1:19" x14ac:dyDescent="0.3">
      <c r="A401" s="46"/>
      <c r="B401" s="33" t="str">
        <f>IFERROR(VLOOKUP(A401,'1-1 基本信息'!$A:$K,11,0),"")</f>
        <v/>
      </c>
      <c r="C401" s="3" t="str">
        <f>IFERROR(VLOOKUP(A401,'1-1 基本信息'!$A:$I,8,0),"")</f>
        <v/>
      </c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64" t="str">
        <f t="shared" si="6"/>
        <v/>
      </c>
    </row>
    <row r="402" spans="1:19" x14ac:dyDescent="0.3">
      <c r="A402" s="46"/>
      <c r="B402" s="33" t="str">
        <f>IFERROR(VLOOKUP(A402,'1-1 基本信息'!$A:$K,11,0),"")</f>
        <v/>
      </c>
      <c r="C402" s="3" t="str">
        <f>IFERROR(VLOOKUP(A402,'1-1 基本信息'!$A:$I,8,0),"")</f>
        <v/>
      </c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64" t="str">
        <f t="shared" si="6"/>
        <v/>
      </c>
    </row>
    <row r="403" spans="1:19" x14ac:dyDescent="0.3">
      <c r="A403" s="46"/>
      <c r="B403" s="33" t="str">
        <f>IFERROR(VLOOKUP(A403,'1-1 基本信息'!$A:$K,11,0),"")</f>
        <v/>
      </c>
      <c r="C403" s="3" t="str">
        <f>IFERROR(VLOOKUP(A403,'1-1 基本信息'!$A:$I,8,0),"")</f>
        <v/>
      </c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64" t="str">
        <f t="shared" si="6"/>
        <v/>
      </c>
    </row>
    <row r="404" spans="1:19" x14ac:dyDescent="0.3">
      <c r="A404" s="46"/>
      <c r="B404" s="33" t="str">
        <f>IFERROR(VLOOKUP(A404,'1-1 基本信息'!$A:$K,11,0),"")</f>
        <v/>
      </c>
      <c r="C404" s="3" t="str">
        <f>IFERROR(VLOOKUP(A404,'1-1 基本信息'!$A:$I,8,0),"")</f>
        <v/>
      </c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64" t="str">
        <f t="shared" si="6"/>
        <v/>
      </c>
    </row>
    <row r="405" spans="1:19" x14ac:dyDescent="0.3">
      <c r="A405" s="46"/>
      <c r="B405" s="33" t="str">
        <f>IFERROR(VLOOKUP(A405,'1-1 基本信息'!$A:$K,11,0),"")</f>
        <v/>
      </c>
      <c r="C405" s="3" t="str">
        <f>IFERROR(VLOOKUP(A405,'1-1 基本信息'!$A:$I,8,0),"")</f>
        <v/>
      </c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64" t="str">
        <f t="shared" si="6"/>
        <v/>
      </c>
    </row>
    <row r="406" spans="1:19" x14ac:dyDescent="0.3">
      <c r="A406" s="46"/>
      <c r="B406" s="33" t="str">
        <f>IFERROR(VLOOKUP(A406,'1-1 基本信息'!$A:$K,11,0),"")</f>
        <v/>
      </c>
      <c r="C406" s="3" t="str">
        <f>IFERROR(VLOOKUP(A406,'1-1 基本信息'!$A:$I,8,0),"")</f>
        <v/>
      </c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64" t="str">
        <f t="shared" si="6"/>
        <v/>
      </c>
    </row>
    <row r="407" spans="1:19" x14ac:dyDescent="0.3">
      <c r="A407" s="46"/>
      <c r="B407" s="33" t="str">
        <f>IFERROR(VLOOKUP(A407,'1-1 基本信息'!$A:$K,11,0),"")</f>
        <v/>
      </c>
      <c r="C407" s="3" t="str">
        <f>IFERROR(VLOOKUP(A407,'1-1 基本信息'!$A:$I,8,0),"")</f>
        <v/>
      </c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64" t="str">
        <f t="shared" si="6"/>
        <v/>
      </c>
    </row>
    <row r="408" spans="1:19" x14ac:dyDescent="0.3">
      <c r="A408" s="46"/>
      <c r="B408" s="33" t="str">
        <f>IFERROR(VLOOKUP(A408,'1-1 基本信息'!$A:$K,11,0),"")</f>
        <v/>
      </c>
      <c r="C408" s="3" t="str">
        <f>IFERROR(VLOOKUP(A408,'1-1 基本信息'!$A:$I,8,0),"")</f>
        <v/>
      </c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64" t="str">
        <f t="shared" si="6"/>
        <v/>
      </c>
    </row>
    <row r="409" spans="1:19" x14ac:dyDescent="0.3">
      <c r="A409" s="46"/>
      <c r="B409" s="33" t="str">
        <f>IFERROR(VLOOKUP(A409,'1-1 基本信息'!$A:$K,11,0),"")</f>
        <v/>
      </c>
      <c r="C409" s="3" t="str">
        <f>IFERROR(VLOOKUP(A409,'1-1 基本信息'!$A:$I,8,0),"")</f>
        <v/>
      </c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64" t="str">
        <f t="shared" si="6"/>
        <v/>
      </c>
    </row>
    <row r="410" spans="1:19" x14ac:dyDescent="0.3">
      <c r="A410" s="46"/>
      <c r="B410" s="33" t="str">
        <f>IFERROR(VLOOKUP(A410,'1-1 基本信息'!$A:$K,11,0),"")</f>
        <v/>
      </c>
      <c r="C410" s="3" t="str">
        <f>IFERROR(VLOOKUP(A410,'1-1 基本信息'!$A:$I,8,0),"")</f>
        <v/>
      </c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64" t="str">
        <f t="shared" si="6"/>
        <v/>
      </c>
    </row>
    <row r="411" spans="1:19" x14ac:dyDescent="0.3">
      <c r="A411" s="46"/>
      <c r="B411" s="33" t="str">
        <f>IFERROR(VLOOKUP(A411,'1-1 基本信息'!$A:$K,11,0),"")</f>
        <v/>
      </c>
      <c r="C411" s="3" t="str">
        <f>IFERROR(VLOOKUP(A411,'1-1 基本信息'!$A:$I,8,0),"")</f>
        <v/>
      </c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64" t="str">
        <f t="shared" si="6"/>
        <v/>
      </c>
    </row>
    <row r="412" spans="1:19" x14ac:dyDescent="0.3">
      <c r="A412" s="46"/>
      <c r="B412" s="33" t="str">
        <f>IFERROR(VLOOKUP(A412,'1-1 基本信息'!$A:$K,11,0),"")</f>
        <v/>
      </c>
      <c r="C412" s="3" t="str">
        <f>IFERROR(VLOOKUP(A412,'1-1 基本信息'!$A:$I,8,0),"")</f>
        <v/>
      </c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64" t="str">
        <f t="shared" si="6"/>
        <v/>
      </c>
    </row>
    <row r="413" spans="1:19" x14ac:dyDescent="0.3">
      <c r="A413" s="46"/>
      <c r="B413" s="33" t="str">
        <f>IFERROR(VLOOKUP(A413,'1-1 基本信息'!$A:$K,11,0),"")</f>
        <v/>
      </c>
      <c r="C413" s="3" t="str">
        <f>IFERROR(VLOOKUP(A413,'1-1 基本信息'!$A:$I,8,0),"")</f>
        <v/>
      </c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64" t="str">
        <f t="shared" si="6"/>
        <v/>
      </c>
    </row>
    <row r="414" spans="1:19" x14ac:dyDescent="0.3">
      <c r="A414" s="46"/>
      <c r="B414" s="33" t="str">
        <f>IFERROR(VLOOKUP(A414,'1-1 基本信息'!$A:$K,11,0),"")</f>
        <v/>
      </c>
      <c r="C414" s="3" t="str">
        <f>IFERROR(VLOOKUP(A414,'1-1 基本信息'!$A:$I,8,0),"")</f>
        <v/>
      </c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64" t="str">
        <f t="shared" si="6"/>
        <v/>
      </c>
    </row>
    <row r="415" spans="1:19" x14ac:dyDescent="0.3">
      <c r="A415" s="46"/>
      <c r="B415" s="33" t="str">
        <f>IFERROR(VLOOKUP(A415,'1-1 基本信息'!$A:$K,11,0),"")</f>
        <v/>
      </c>
      <c r="C415" s="3" t="str">
        <f>IFERROR(VLOOKUP(A415,'1-1 基本信息'!$A:$I,8,0),"")</f>
        <v/>
      </c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64" t="str">
        <f t="shared" si="6"/>
        <v/>
      </c>
    </row>
    <row r="416" spans="1:19" x14ac:dyDescent="0.3">
      <c r="A416" s="46"/>
      <c r="B416" s="33" t="str">
        <f>IFERROR(VLOOKUP(A416,'1-1 基本信息'!$A:$K,11,0),"")</f>
        <v/>
      </c>
      <c r="C416" s="3" t="str">
        <f>IFERROR(VLOOKUP(A416,'1-1 基本信息'!$A:$I,8,0),"")</f>
        <v/>
      </c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64" t="str">
        <f t="shared" si="6"/>
        <v/>
      </c>
    </row>
    <row r="417" spans="1:19" x14ac:dyDescent="0.3">
      <c r="A417" s="46"/>
      <c r="B417" s="33" t="str">
        <f>IFERROR(VLOOKUP(A417,'1-1 基本信息'!$A:$K,11,0),"")</f>
        <v/>
      </c>
      <c r="C417" s="3" t="str">
        <f>IFERROR(VLOOKUP(A417,'1-1 基本信息'!$A:$I,8,0),"")</f>
        <v/>
      </c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64" t="str">
        <f t="shared" si="6"/>
        <v/>
      </c>
    </row>
    <row r="418" spans="1:19" x14ac:dyDescent="0.3">
      <c r="A418" s="46"/>
      <c r="B418" s="33" t="str">
        <f>IFERROR(VLOOKUP(A418,'1-1 基本信息'!$A:$K,11,0),"")</f>
        <v/>
      </c>
      <c r="C418" s="3" t="str">
        <f>IFERROR(VLOOKUP(A418,'1-1 基本信息'!$A:$I,8,0),"")</f>
        <v/>
      </c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64" t="str">
        <f t="shared" si="6"/>
        <v/>
      </c>
    </row>
    <row r="419" spans="1:19" x14ac:dyDescent="0.3">
      <c r="A419" s="46"/>
      <c r="B419" s="33" t="str">
        <f>IFERROR(VLOOKUP(A419,'1-1 基本信息'!$A:$K,11,0),"")</f>
        <v/>
      </c>
      <c r="C419" s="3" t="str">
        <f>IFERROR(VLOOKUP(A419,'1-1 基本信息'!$A:$I,8,0),"")</f>
        <v/>
      </c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64" t="str">
        <f t="shared" si="6"/>
        <v/>
      </c>
    </row>
    <row r="420" spans="1:19" x14ac:dyDescent="0.3">
      <c r="A420" s="46"/>
      <c r="B420" s="33" t="str">
        <f>IFERROR(VLOOKUP(A420,'1-1 基本信息'!$A:$K,11,0),"")</f>
        <v/>
      </c>
      <c r="C420" s="3" t="str">
        <f>IFERROR(VLOOKUP(A420,'1-1 基本信息'!$A:$I,8,0),"")</f>
        <v/>
      </c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64" t="str">
        <f t="shared" si="6"/>
        <v/>
      </c>
    </row>
    <row r="421" spans="1:19" x14ac:dyDescent="0.3">
      <c r="A421" s="46"/>
      <c r="B421" s="33" t="str">
        <f>IFERROR(VLOOKUP(A421,'1-1 基本信息'!$A:$K,11,0),"")</f>
        <v/>
      </c>
      <c r="C421" s="3" t="str">
        <f>IFERROR(VLOOKUP(A421,'1-1 基本信息'!$A:$I,8,0),"")</f>
        <v/>
      </c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64" t="str">
        <f t="shared" si="6"/>
        <v/>
      </c>
    </row>
    <row r="422" spans="1:19" x14ac:dyDescent="0.3">
      <c r="A422" s="46"/>
      <c r="B422" s="33" t="str">
        <f>IFERROR(VLOOKUP(A422,'1-1 基本信息'!$A:$K,11,0),"")</f>
        <v/>
      </c>
      <c r="C422" s="3" t="str">
        <f>IFERROR(VLOOKUP(A422,'1-1 基本信息'!$A:$I,8,0),"")</f>
        <v/>
      </c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64" t="str">
        <f t="shared" si="6"/>
        <v/>
      </c>
    </row>
    <row r="423" spans="1:19" x14ac:dyDescent="0.3">
      <c r="A423" s="46"/>
      <c r="B423" s="33" t="str">
        <f>IFERROR(VLOOKUP(A423,'1-1 基本信息'!$A:$K,11,0),"")</f>
        <v/>
      </c>
      <c r="C423" s="3" t="str">
        <f>IFERROR(VLOOKUP(A423,'1-1 基本信息'!$A:$I,8,0),"")</f>
        <v/>
      </c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64" t="str">
        <f t="shared" si="6"/>
        <v/>
      </c>
    </row>
    <row r="424" spans="1:19" x14ac:dyDescent="0.3">
      <c r="A424" s="46"/>
      <c r="B424" s="33" t="str">
        <f>IFERROR(VLOOKUP(A424,'1-1 基本信息'!$A:$K,11,0),"")</f>
        <v/>
      </c>
      <c r="C424" s="3" t="str">
        <f>IFERROR(VLOOKUP(A424,'1-1 基本信息'!$A:$I,8,0),"")</f>
        <v/>
      </c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64" t="str">
        <f t="shared" si="6"/>
        <v/>
      </c>
    </row>
    <row r="425" spans="1:19" x14ac:dyDescent="0.3">
      <c r="A425" s="46"/>
      <c r="B425" s="33" t="str">
        <f>IFERROR(VLOOKUP(A425,'1-1 基本信息'!$A:$K,11,0),"")</f>
        <v/>
      </c>
      <c r="C425" s="3" t="str">
        <f>IFERROR(VLOOKUP(A425,'1-1 基本信息'!$A:$I,8,0),"")</f>
        <v/>
      </c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64" t="str">
        <f t="shared" si="6"/>
        <v/>
      </c>
    </row>
    <row r="426" spans="1:19" x14ac:dyDescent="0.3">
      <c r="A426" s="46"/>
      <c r="B426" s="33" t="str">
        <f>IFERROR(VLOOKUP(A426,'1-1 基本信息'!$A:$K,11,0),"")</f>
        <v/>
      </c>
      <c r="C426" s="3" t="str">
        <f>IFERROR(VLOOKUP(A426,'1-1 基本信息'!$A:$I,8,0),"")</f>
        <v/>
      </c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64" t="str">
        <f t="shared" si="6"/>
        <v/>
      </c>
    </row>
    <row r="427" spans="1:19" x14ac:dyDescent="0.3">
      <c r="A427" s="46"/>
      <c r="B427" s="33" t="str">
        <f>IFERROR(VLOOKUP(A427,'1-1 基本信息'!$A:$K,11,0),"")</f>
        <v/>
      </c>
      <c r="C427" s="3" t="str">
        <f>IFERROR(VLOOKUP(A427,'1-1 基本信息'!$A:$I,8,0),"")</f>
        <v/>
      </c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64" t="str">
        <f t="shared" si="6"/>
        <v/>
      </c>
    </row>
    <row r="428" spans="1:19" x14ac:dyDescent="0.3">
      <c r="A428" s="46"/>
      <c r="B428" s="33" t="str">
        <f>IFERROR(VLOOKUP(A428,'1-1 基本信息'!$A:$K,11,0),"")</f>
        <v/>
      </c>
      <c r="C428" s="3" t="str">
        <f>IFERROR(VLOOKUP(A428,'1-1 基本信息'!$A:$I,8,0),"")</f>
        <v/>
      </c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64" t="str">
        <f t="shared" si="6"/>
        <v/>
      </c>
    </row>
    <row r="429" spans="1:19" x14ac:dyDescent="0.3">
      <c r="A429" s="46"/>
      <c r="B429" s="33" t="str">
        <f>IFERROR(VLOOKUP(A429,'1-1 基本信息'!$A:$K,11,0),"")</f>
        <v/>
      </c>
      <c r="C429" s="3" t="str">
        <f>IFERROR(VLOOKUP(A429,'1-1 基本信息'!$A:$I,8,0),"")</f>
        <v/>
      </c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64" t="str">
        <f t="shared" si="6"/>
        <v/>
      </c>
    </row>
    <row r="430" spans="1:19" x14ac:dyDescent="0.3">
      <c r="A430" s="46"/>
      <c r="B430" s="33" t="str">
        <f>IFERROR(VLOOKUP(A430,'1-1 基本信息'!$A:$K,11,0),"")</f>
        <v/>
      </c>
      <c r="C430" s="3" t="str">
        <f>IFERROR(VLOOKUP(A430,'1-1 基本信息'!$A:$I,8,0),"")</f>
        <v/>
      </c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64" t="str">
        <f t="shared" si="6"/>
        <v/>
      </c>
    </row>
    <row r="431" spans="1:19" x14ac:dyDescent="0.3">
      <c r="A431" s="46"/>
      <c r="B431" s="33" t="str">
        <f>IFERROR(VLOOKUP(A431,'1-1 基本信息'!$A:$K,11,0),"")</f>
        <v/>
      </c>
      <c r="C431" s="3" t="str">
        <f>IFERROR(VLOOKUP(A431,'1-1 基本信息'!$A:$I,8,0),"")</f>
        <v/>
      </c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64" t="str">
        <f t="shared" si="6"/>
        <v/>
      </c>
    </row>
    <row r="432" spans="1:19" x14ac:dyDescent="0.3">
      <c r="A432" s="46"/>
      <c r="B432" s="33" t="str">
        <f>IFERROR(VLOOKUP(A432,'1-1 基本信息'!$A:$K,11,0),"")</f>
        <v/>
      </c>
      <c r="C432" s="3" t="str">
        <f>IFERROR(VLOOKUP(A432,'1-1 基本信息'!$A:$I,8,0),"")</f>
        <v/>
      </c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64" t="str">
        <f t="shared" si="6"/>
        <v/>
      </c>
    </row>
    <row r="433" spans="1:19" x14ac:dyDescent="0.3">
      <c r="A433" s="46"/>
      <c r="B433" s="33" t="str">
        <f>IFERROR(VLOOKUP(A433,'1-1 基本信息'!$A:$K,11,0),"")</f>
        <v/>
      </c>
      <c r="C433" s="3" t="str">
        <f>IFERROR(VLOOKUP(A433,'1-1 基本信息'!$A:$I,8,0),"")</f>
        <v/>
      </c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64" t="str">
        <f t="shared" si="6"/>
        <v/>
      </c>
    </row>
    <row r="434" spans="1:19" x14ac:dyDescent="0.3">
      <c r="A434" s="46"/>
      <c r="B434" s="33" t="str">
        <f>IFERROR(VLOOKUP(A434,'1-1 基本信息'!$A:$K,11,0),"")</f>
        <v/>
      </c>
      <c r="C434" s="3" t="str">
        <f>IFERROR(VLOOKUP(A434,'1-1 基本信息'!$A:$I,8,0),"")</f>
        <v/>
      </c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64" t="str">
        <f t="shared" si="6"/>
        <v/>
      </c>
    </row>
    <row r="435" spans="1:19" x14ac:dyDescent="0.3">
      <c r="A435" s="46"/>
      <c r="B435" s="33" t="str">
        <f>IFERROR(VLOOKUP(A435,'1-1 基本信息'!$A:$K,11,0),"")</f>
        <v/>
      </c>
      <c r="C435" s="3" t="str">
        <f>IFERROR(VLOOKUP(A435,'1-1 基本信息'!$A:$I,8,0),"")</f>
        <v/>
      </c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64" t="str">
        <f t="shared" si="6"/>
        <v/>
      </c>
    </row>
    <row r="436" spans="1:19" x14ac:dyDescent="0.3">
      <c r="A436" s="46"/>
      <c r="B436" s="33" t="str">
        <f>IFERROR(VLOOKUP(A436,'1-1 基本信息'!$A:$K,11,0),"")</f>
        <v/>
      </c>
      <c r="C436" s="3" t="str">
        <f>IFERROR(VLOOKUP(A436,'1-1 基本信息'!$A:$I,8,0),"")</f>
        <v/>
      </c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64" t="str">
        <f t="shared" si="6"/>
        <v/>
      </c>
    </row>
    <row r="437" spans="1:19" x14ac:dyDescent="0.3">
      <c r="A437" s="46"/>
      <c r="B437" s="33" t="str">
        <f>IFERROR(VLOOKUP(A437,'1-1 基本信息'!$A:$K,11,0),"")</f>
        <v/>
      </c>
      <c r="C437" s="3" t="str">
        <f>IFERROR(VLOOKUP(A437,'1-1 基本信息'!$A:$I,8,0),"")</f>
        <v/>
      </c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64" t="str">
        <f t="shared" si="6"/>
        <v/>
      </c>
    </row>
    <row r="438" spans="1:19" x14ac:dyDescent="0.3">
      <c r="A438" s="46"/>
      <c r="B438" s="33" t="str">
        <f>IFERROR(VLOOKUP(A438,'1-1 基本信息'!$A:$K,11,0),"")</f>
        <v/>
      </c>
      <c r="C438" s="3" t="str">
        <f>IFERROR(VLOOKUP(A438,'1-1 基本信息'!$A:$I,8,0),"")</f>
        <v/>
      </c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64" t="str">
        <f t="shared" si="6"/>
        <v/>
      </c>
    </row>
    <row r="439" spans="1:19" x14ac:dyDescent="0.3">
      <c r="A439" s="46"/>
      <c r="B439" s="33" t="str">
        <f>IFERROR(VLOOKUP(A439,'1-1 基本信息'!$A:$K,11,0),"")</f>
        <v/>
      </c>
      <c r="C439" s="3" t="str">
        <f>IFERROR(VLOOKUP(A439,'1-1 基本信息'!$A:$I,8,0),"")</f>
        <v/>
      </c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64" t="str">
        <f t="shared" si="6"/>
        <v/>
      </c>
    </row>
    <row r="440" spans="1:19" x14ac:dyDescent="0.3">
      <c r="A440" s="46"/>
      <c r="B440" s="33" t="str">
        <f>IFERROR(VLOOKUP(A440,'1-1 基本信息'!$A:$K,11,0),"")</f>
        <v/>
      </c>
      <c r="C440" s="3" t="str">
        <f>IFERROR(VLOOKUP(A440,'1-1 基本信息'!$A:$I,8,0),"")</f>
        <v/>
      </c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64" t="str">
        <f t="shared" si="6"/>
        <v/>
      </c>
    </row>
    <row r="441" spans="1:19" x14ac:dyDescent="0.3">
      <c r="A441" s="46"/>
      <c r="B441" s="33" t="str">
        <f>IFERROR(VLOOKUP(A441,'1-1 基本信息'!$A:$K,11,0),"")</f>
        <v/>
      </c>
      <c r="C441" s="3" t="str">
        <f>IFERROR(VLOOKUP(A441,'1-1 基本信息'!$A:$I,8,0),"")</f>
        <v/>
      </c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64" t="str">
        <f t="shared" si="6"/>
        <v/>
      </c>
    </row>
    <row r="442" spans="1:19" x14ac:dyDescent="0.3">
      <c r="A442" s="46"/>
      <c r="B442" s="33" t="str">
        <f>IFERROR(VLOOKUP(A442,'1-1 基本信息'!$A:$K,11,0),"")</f>
        <v/>
      </c>
      <c r="C442" s="3" t="str">
        <f>IFERROR(VLOOKUP(A442,'1-1 基本信息'!$A:$I,8,0),"")</f>
        <v/>
      </c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64" t="str">
        <f t="shared" si="6"/>
        <v/>
      </c>
    </row>
    <row r="443" spans="1:19" x14ac:dyDescent="0.3">
      <c r="A443" s="46"/>
      <c r="B443" s="33" t="str">
        <f>IFERROR(VLOOKUP(A443,'1-1 基本信息'!$A:$K,11,0),"")</f>
        <v/>
      </c>
      <c r="C443" s="3" t="str">
        <f>IFERROR(VLOOKUP(A443,'1-1 基本信息'!$A:$I,8,0),"")</f>
        <v/>
      </c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64" t="str">
        <f t="shared" si="6"/>
        <v/>
      </c>
    </row>
    <row r="444" spans="1:19" x14ac:dyDescent="0.3">
      <c r="A444" s="46"/>
      <c r="B444" s="33" t="str">
        <f>IFERROR(VLOOKUP(A444,'1-1 基本信息'!$A:$K,11,0),"")</f>
        <v/>
      </c>
      <c r="C444" s="3" t="str">
        <f>IFERROR(VLOOKUP(A444,'1-1 基本信息'!$A:$I,8,0),"")</f>
        <v/>
      </c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64" t="str">
        <f t="shared" si="6"/>
        <v/>
      </c>
    </row>
    <row r="445" spans="1:19" x14ac:dyDescent="0.3">
      <c r="A445" s="46"/>
      <c r="B445" s="33" t="str">
        <f>IFERROR(VLOOKUP(A445,'1-1 基本信息'!$A:$K,11,0),"")</f>
        <v/>
      </c>
      <c r="C445" s="3" t="str">
        <f>IFERROR(VLOOKUP(A445,'1-1 基本信息'!$A:$I,8,0),"")</f>
        <v/>
      </c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64" t="str">
        <f t="shared" si="6"/>
        <v/>
      </c>
    </row>
  </sheetData>
  <autoFilter ref="A2:S2" xr:uid="{3881B1F7-EC3B-4F64-BA60-9B6AC8082C97}"/>
  <phoneticPr fontId="3" type="noConversion"/>
  <hyperlinks>
    <hyperlink ref="A1" location="'0-使用说明'!D1" display="'0-使用说明'!D1" xr:uid="{89855828-1C20-47E1-9F63-8F4E850FE7E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0FA31-C0D2-430E-9D0E-6D100DBB6DF9}">
  <sheetPr codeName="Sheet7"/>
  <dimension ref="A1:AY723"/>
  <sheetViews>
    <sheetView workbookViewId="0">
      <selection activeCell="B10" sqref="B10"/>
    </sheetView>
  </sheetViews>
  <sheetFormatPr defaultRowHeight="16.5" x14ac:dyDescent="0.3"/>
  <cols>
    <col min="1" max="1" width="9" style="52"/>
    <col min="2" max="2" width="19.5" style="52" bestFit="1" customWidth="1"/>
    <col min="3" max="3" width="9" style="52"/>
    <col min="4" max="4" width="27.875" style="52" hidden="1" customWidth="1"/>
    <col min="5" max="5" width="0" style="52" hidden="1" customWidth="1"/>
    <col min="6" max="11" width="13.625" style="8" customWidth="1"/>
    <col min="12" max="12" width="9" style="56"/>
    <col min="13" max="13" width="9.25" style="47" bestFit="1" customWidth="1"/>
    <col min="14" max="14" width="23.75" style="47" bestFit="1" customWidth="1"/>
    <col min="15" max="50" width="9" style="47"/>
    <col min="51" max="51" width="9" style="56"/>
    <col min="52" max="16384" width="9" style="38"/>
  </cols>
  <sheetData>
    <row r="1" spans="1:46" ht="36" x14ac:dyDescent="0.3">
      <c r="A1" s="116" t="s">
        <v>897</v>
      </c>
      <c r="B1" s="71" t="s">
        <v>885</v>
      </c>
      <c r="C1" s="125"/>
      <c r="D1" s="125"/>
      <c r="E1" s="125"/>
      <c r="F1" s="70"/>
      <c r="G1" s="70"/>
      <c r="H1" s="70"/>
      <c r="I1" s="70"/>
      <c r="J1" s="70"/>
      <c r="K1" s="70"/>
    </row>
    <row r="2" spans="1:46" x14ac:dyDescent="0.3">
      <c r="A2" s="92" t="s">
        <v>176</v>
      </c>
      <c r="B2" s="45" t="s">
        <v>452</v>
      </c>
      <c r="C2" s="45" t="s">
        <v>28</v>
      </c>
      <c r="D2" s="45" t="s">
        <v>677</v>
      </c>
      <c r="E2" s="92" t="s">
        <v>889</v>
      </c>
      <c r="F2" s="91" t="s">
        <v>453</v>
      </c>
      <c r="G2" s="91" t="s">
        <v>454</v>
      </c>
      <c r="H2" s="91" t="s">
        <v>455</v>
      </c>
      <c r="I2" s="91" t="s">
        <v>456</v>
      </c>
      <c r="J2" s="91" t="s">
        <v>459</v>
      </c>
      <c r="K2" s="91" t="s">
        <v>460</v>
      </c>
      <c r="M2" s="39" t="s">
        <v>457</v>
      </c>
      <c r="N2" s="88" t="s">
        <v>20</v>
      </c>
      <c r="O2" s="89" t="s">
        <v>144</v>
      </c>
      <c r="P2" s="89" t="s">
        <v>145</v>
      </c>
      <c r="Q2" s="89" t="s">
        <v>700</v>
      </c>
      <c r="R2" s="89" t="s">
        <v>701</v>
      </c>
      <c r="S2" s="88" t="s">
        <v>147</v>
      </c>
      <c r="T2" s="88" t="s">
        <v>148</v>
      </c>
      <c r="U2" s="88" t="s">
        <v>149</v>
      </c>
      <c r="V2" s="88" t="s">
        <v>150</v>
      </c>
      <c r="W2" s="88" t="s">
        <v>151</v>
      </c>
      <c r="X2" s="88" t="s">
        <v>152</v>
      </c>
      <c r="Y2" s="88" t="s">
        <v>153</v>
      </c>
      <c r="Z2" s="89" t="s">
        <v>154</v>
      </c>
      <c r="AA2" s="89" t="s">
        <v>155</v>
      </c>
      <c r="AB2" s="89" t="s">
        <v>838</v>
      </c>
      <c r="AC2" s="89" t="s">
        <v>157</v>
      </c>
      <c r="AD2" s="89" t="s">
        <v>558</v>
      </c>
      <c r="AE2" s="89" t="s">
        <v>159</v>
      </c>
      <c r="AF2" s="89" t="s">
        <v>160</v>
      </c>
      <c r="AG2" s="89" t="s">
        <v>161</v>
      </c>
      <c r="AH2" s="89" t="s">
        <v>162</v>
      </c>
      <c r="AI2" s="89" t="s">
        <v>163</v>
      </c>
      <c r="AJ2" s="40" t="s">
        <v>165</v>
      </c>
      <c r="AK2" s="40" t="s">
        <v>166</v>
      </c>
      <c r="AL2" s="40" t="s">
        <v>167</v>
      </c>
      <c r="AM2" s="40" t="s">
        <v>168</v>
      </c>
      <c r="AN2" s="40" t="s">
        <v>169</v>
      </c>
      <c r="AO2" s="40" t="s">
        <v>170</v>
      </c>
      <c r="AP2" s="40" t="s">
        <v>171</v>
      </c>
      <c r="AQ2" s="40" t="s">
        <v>172</v>
      </c>
      <c r="AR2" s="40" t="s">
        <v>173</v>
      </c>
      <c r="AS2" s="40" t="s">
        <v>174</v>
      </c>
      <c r="AT2" s="40" t="s">
        <v>175</v>
      </c>
    </row>
    <row r="3" spans="1:46" x14ac:dyDescent="0.3">
      <c r="A3" s="94" t="s">
        <v>92</v>
      </c>
      <c r="B3" s="95" t="s">
        <v>549</v>
      </c>
      <c r="C3" s="73" t="str">
        <f>VLOOKUP(A3,'1-1 基本信息'!$A:$H,8,0)</f>
        <v>中层正职</v>
      </c>
      <c r="D3" s="95" t="str">
        <f>B3&amp;C3</f>
        <v>油地工作保卫部中层正职</v>
      </c>
      <c r="E3" s="94" t="s">
        <v>92</v>
      </c>
      <c r="F3" s="95" t="s">
        <v>710</v>
      </c>
      <c r="G3" s="95" t="s">
        <v>711</v>
      </c>
      <c r="H3" s="95" t="s">
        <v>712</v>
      </c>
      <c r="I3" s="95" t="s">
        <v>713</v>
      </c>
      <c r="J3" s="95" t="s">
        <v>714</v>
      </c>
      <c r="K3" s="95"/>
      <c r="L3" s="55"/>
      <c r="M3" s="39" t="s">
        <v>458</v>
      </c>
      <c r="N3" s="41" t="s">
        <v>188</v>
      </c>
      <c r="O3" s="42" t="s">
        <v>189</v>
      </c>
      <c r="P3" s="42" t="s">
        <v>190</v>
      </c>
      <c r="Q3" s="42" t="s">
        <v>190</v>
      </c>
      <c r="R3" s="42" t="s">
        <v>190</v>
      </c>
      <c r="S3" s="41" t="s">
        <v>191</v>
      </c>
      <c r="T3" s="41" t="s">
        <v>192</v>
      </c>
      <c r="U3" s="41" t="s">
        <v>193</v>
      </c>
      <c r="V3" s="43" t="s">
        <v>194</v>
      </c>
      <c r="W3" s="43" t="s">
        <v>195</v>
      </c>
      <c r="X3" s="43" t="s">
        <v>196</v>
      </c>
      <c r="Y3" s="43" t="s">
        <v>197</v>
      </c>
      <c r="Z3" s="43" t="s">
        <v>198</v>
      </c>
      <c r="AA3" s="43" t="s">
        <v>199</v>
      </c>
      <c r="AB3" s="43" t="s">
        <v>199</v>
      </c>
      <c r="AC3" s="42" t="s">
        <v>200</v>
      </c>
      <c r="AD3" s="42" t="s">
        <v>201</v>
      </c>
      <c r="AE3" s="42" t="s">
        <v>202</v>
      </c>
      <c r="AF3" s="42" t="s">
        <v>203</v>
      </c>
      <c r="AG3" s="42" t="s">
        <v>204</v>
      </c>
      <c r="AH3" s="42" t="s">
        <v>205</v>
      </c>
      <c r="AI3" s="42" t="s">
        <v>21</v>
      </c>
      <c r="AJ3" s="42" t="s">
        <v>207</v>
      </c>
      <c r="AK3" s="42" t="s">
        <v>208</v>
      </c>
      <c r="AL3" s="42" t="s">
        <v>209</v>
      </c>
      <c r="AM3" s="42" t="s">
        <v>210</v>
      </c>
      <c r="AN3" s="42" t="s">
        <v>211</v>
      </c>
      <c r="AO3" s="42" t="s">
        <v>212</v>
      </c>
      <c r="AP3" s="42" t="s">
        <v>213</v>
      </c>
      <c r="AQ3" s="42" t="s">
        <v>214</v>
      </c>
      <c r="AR3" s="42" t="s">
        <v>215</v>
      </c>
      <c r="AS3" s="42" t="s">
        <v>216</v>
      </c>
      <c r="AT3" s="42" t="s">
        <v>217</v>
      </c>
    </row>
    <row r="4" spans="1:46" x14ac:dyDescent="0.3">
      <c r="A4" s="94" t="s">
        <v>88</v>
      </c>
      <c r="B4" s="95" t="s">
        <v>704</v>
      </c>
      <c r="C4" s="73" t="str">
        <f>VLOOKUP(A4,'1-1 基本信息'!$A:$H,8,0)</f>
        <v>中层正职</v>
      </c>
      <c r="D4" s="95" t="str">
        <f t="shared" ref="D4:D67" si="0">B4&amp;C4</f>
        <v>审计部中层正职</v>
      </c>
      <c r="E4" s="94" t="s">
        <v>88</v>
      </c>
      <c r="F4" s="95" t="s">
        <v>715</v>
      </c>
      <c r="G4" s="95" t="s">
        <v>716</v>
      </c>
      <c r="H4" s="95"/>
      <c r="I4" s="95"/>
      <c r="J4" s="95"/>
      <c r="K4" s="95"/>
      <c r="N4" s="41" t="s">
        <v>218</v>
      </c>
      <c r="O4" s="42" t="s">
        <v>219</v>
      </c>
      <c r="P4" s="42" t="s">
        <v>220</v>
      </c>
      <c r="Q4" s="42" t="s">
        <v>220</v>
      </c>
      <c r="R4" s="42" t="s">
        <v>220</v>
      </c>
      <c r="S4" s="41" t="s">
        <v>221</v>
      </c>
      <c r="T4" s="41" t="s">
        <v>222</v>
      </c>
      <c r="U4" s="41" t="s">
        <v>223</v>
      </c>
      <c r="V4" s="43" t="s">
        <v>224</v>
      </c>
      <c r="W4" s="43" t="s">
        <v>225</v>
      </c>
      <c r="X4" s="43" t="s">
        <v>226</v>
      </c>
      <c r="Y4" s="43" t="s">
        <v>227</v>
      </c>
      <c r="Z4" s="43" t="s">
        <v>228</v>
      </c>
      <c r="AA4" s="43" t="s">
        <v>229</v>
      </c>
      <c r="AB4" s="43" t="s">
        <v>229</v>
      </c>
      <c r="AC4" s="42" t="s">
        <v>230</v>
      </c>
      <c r="AD4" s="42" t="s">
        <v>231</v>
      </c>
      <c r="AE4" s="42" t="s">
        <v>232</v>
      </c>
      <c r="AF4" s="42" t="s">
        <v>233</v>
      </c>
      <c r="AG4" s="42" t="s">
        <v>234</v>
      </c>
      <c r="AH4" s="42" t="s">
        <v>235</v>
      </c>
      <c r="AI4" s="42" t="s">
        <v>236</v>
      </c>
      <c r="AJ4" s="42" t="s">
        <v>238</v>
      </c>
      <c r="AK4" s="42" t="s">
        <v>239</v>
      </c>
      <c r="AL4" s="42" t="s">
        <v>240</v>
      </c>
      <c r="AM4" s="42" t="s">
        <v>241</v>
      </c>
      <c r="AN4" s="42" t="s">
        <v>242</v>
      </c>
      <c r="AO4" s="42" t="s">
        <v>243</v>
      </c>
      <c r="AP4" s="42" t="s">
        <v>244</v>
      </c>
      <c r="AQ4" s="42" t="s">
        <v>245</v>
      </c>
      <c r="AR4" s="42" t="s">
        <v>246</v>
      </c>
      <c r="AS4" s="42" t="s">
        <v>247</v>
      </c>
      <c r="AT4" s="42" t="s">
        <v>248</v>
      </c>
    </row>
    <row r="5" spans="1:46" x14ac:dyDescent="0.3">
      <c r="A5" s="94" t="s">
        <v>103</v>
      </c>
      <c r="B5" s="95" t="s">
        <v>548</v>
      </c>
      <c r="C5" s="73" t="str">
        <f>VLOOKUP(A5,'1-1 基本信息'!$A:$H,8,0)</f>
        <v>中层正职</v>
      </c>
      <c r="D5" s="95" t="str">
        <f t="shared" si="0"/>
        <v>安全环保部中层正职</v>
      </c>
      <c r="E5" s="94" t="s">
        <v>103</v>
      </c>
      <c r="F5" s="95" t="s">
        <v>717</v>
      </c>
      <c r="G5" s="95" t="s">
        <v>718</v>
      </c>
      <c r="H5" s="95" t="s">
        <v>719</v>
      </c>
      <c r="I5" s="95" t="s">
        <v>720</v>
      </c>
      <c r="J5" s="95" t="s">
        <v>721</v>
      </c>
      <c r="K5" s="95"/>
      <c r="N5" s="41" t="s">
        <v>249</v>
      </c>
      <c r="O5" s="42" t="s">
        <v>250</v>
      </c>
      <c r="P5" s="42" t="s">
        <v>251</v>
      </c>
      <c r="Q5" s="42" t="s">
        <v>251</v>
      </c>
      <c r="R5" s="42" t="s">
        <v>251</v>
      </c>
      <c r="S5" s="41" t="s">
        <v>252</v>
      </c>
      <c r="T5" s="41" t="s">
        <v>253</v>
      </c>
      <c r="U5" s="41" t="s">
        <v>254</v>
      </c>
      <c r="V5" s="43" t="s">
        <v>255</v>
      </c>
      <c r="W5" s="43" t="s">
        <v>256</v>
      </c>
      <c r="X5" s="43" t="s">
        <v>257</v>
      </c>
      <c r="Y5" s="43" t="s">
        <v>258</v>
      </c>
      <c r="Z5" s="43" t="s">
        <v>259</v>
      </c>
      <c r="AA5" s="43" t="s">
        <v>260</v>
      </c>
      <c r="AB5" s="43" t="s">
        <v>260</v>
      </c>
      <c r="AC5" s="42" t="s">
        <v>261</v>
      </c>
      <c r="AD5" s="42" t="s">
        <v>262</v>
      </c>
      <c r="AE5" s="42" t="s">
        <v>263</v>
      </c>
      <c r="AF5" s="42" t="s">
        <v>264</v>
      </c>
      <c r="AG5" s="42" t="s">
        <v>265</v>
      </c>
      <c r="AH5" s="42" t="s">
        <v>266</v>
      </c>
      <c r="AI5" s="42" t="s">
        <v>267</v>
      </c>
      <c r="AJ5" s="42" t="s">
        <v>269</v>
      </c>
      <c r="AK5" s="42" t="s">
        <v>270</v>
      </c>
      <c r="AL5" s="42" t="s">
        <v>271</v>
      </c>
      <c r="AM5" s="42" t="s">
        <v>272</v>
      </c>
      <c r="AN5" s="48"/>
      <c r="AO5" s="42" t="s">
        <v>273</v>
      </c>
      <c r="AP5" s="42" t="s">
        <v>274</v>
      </c>
      <c r="AQ5" s="42" t="s">
        <v>275</v>
      </c>
      <c r="AR5" s="42" t="s">
        <v>276</v>
      </c>
      <c r="AS5" s="42" t="s">
        <v>277</v>
      </c>
      <c r="AT5" s="42" t="s">
        <v>278</v>
      </c>
    </row>
    <row r="6" spans="1:46" x14ac:dyDescent="0.3">
      <c r="A6" s="94" t="s">
        <v>112</v>
      </c>
      <c r="B6" s="95" t="s">
        <v>146</v>
      </c>
      <c r="C6" s="73" t="str">
        <f>VLOOKUP(A6,'1-1 基本信息'!$A:$H,8,0)</f>
        <v>中层正职</v>
      </c>
      <c r="D6" s="95" t="str">
        <f t="shared" si="0"/>
        <v>采油一厂   中层正职</v>
      </c>
      <c r="E6" s="94" t="s">
        <v>112</v>
      </c>
      <c r="F6" s="95" t="s">
        <v>305</v>
      </c>
      <c r="G6" s="95" t="s">
        <v>722</v>
      </c>
      <c r="H6" s="95"/>
      <c r="I6" s="95"/>
      <c r="J6" s="95"/>
      <c r="K6" s="95"/>
      <c r="N6" s="41" t="s">
        <v>279</v>
      </c>
      <c r="O6" s="42" t="s">
        <v>280</v>
      </c>
      <c r="P6" s="43" t="s">
        <v>281</v>
      </c>
      <c r="Q6" s="43" t="s">
        <v>281</v>
      </c>
      <c r="R6" s="43" t="s">
        <v>281</v>
      </c>
      <c r="S6" s="41" t="s">
        <v>282</v>
      </c>
      <c r="T6" s="41" t="s">
        <v>190</v>
      </c>
      <c r="U6" s="41" t="s">
        <v>283</v>
      </c>
      <c r="V6" s="43" t="s">
        <v>284</v>
      </c>
      <c r="W6" s="43" t="s">
        <v>285</v>
      </c>
      <c r="X6" s="43" t="s">
        <v>286</v>
      </c>
      <c r="Y6" s="43" t="s">
        <v>287</v>
      </c>
      <c r="Z6" s="43" t="s">
        <v>288</v>
      </c>
      <c r="AA6" s="43" t="s">
        <v>21</v>
      </c>
      <c r="AB6" s="43" t="s">
        <v>21</v>
      </c>
      <c r="AC6" s="42" t="s">
        <v>289</v>
      </c>
      <c r="AD6" s="42" t="s">
        <v>290</v>
      </c>
      <c r="AE6" s="42" t="s">
        <v>291</v>
      </c>
      <c r="AF6" s="42" t="s">
        <v>292</v>
      </c>
      <c r="AG6" s="42" t="s">
        <v>293</v>
      </c>
      <c r="AH6" s="42" t="s">
        <v>294</v>
      </c>
      <c r="AI6" s="48"/>
      <c r="AJ6" s="42" t="s">
        <v>295</v>
      </c>
      <c r="AK6" s="42" t="s">
        <v>296</v>
      </c>
      <c r="AL6" s="42" t="s">
        <v>297</v>
      </c>
      <c r="AM6" s="42" t="s">
        <v>298</v>
      </c>
      <c r="AN6" s="48"/>
      <c r="AO6" s="42" t="s">
        <v>299</v>
      </c>
      <c r="AP6" s="42" t="s">
        <v>300</v>
      </c>
      <c r="AQ6" s="42" t="s">
        <v>301</v>
      </c>
      <c r="AR6" s="42" t="s">
        <v>302</v>
      </c>
      <c r="AS6" s="42" t="s">
        <v>303</v>
      </c>
      <c r="AT6" s="48"/>
    </row>
    <row r="7" spans="1:46" x14ac:dyDescent="0.3">
      <c r="A7" s="94" t="s">
        <v>109</v>
      </c>
      <c r="B7" s="95" t="s">
        <v>705</v>
      </c>
      <c r="C7" s="73" t="str">
        <f>VLOOKUP(A7,'1-1 基本信息'!$A:$H,8,0)</f>
        <v>中层正职</v>
      </c>
      <c r="D7" s="95" t="str">
        <f t="shared" si="0"/>
        <v>党委组织部中层正职</v>
      </c>
      <c r="E7" s="94" t="s">
        <v>109</v>
      </c>
      <c r="F7" s="95" t="s">
        <v>723</v>
      </c>
      <c r="G7" s="95" t="s">
        <v>724</v>
      </c>
      <c r="H7" s="95" t="s">
        <v>725</v>
      </c>
      <c r="I7" s="95"/>
      <c r="J7" s="95"/>
      <c r="K7" s="95"/>
      <c r="N7" s="44" t="s">
        <v>285</v>
      </c>
      <c r="O7" s="42" t="s">
        <v>304</v>
      </c>
      <c r="P7" s="42" t="s">
        <v>305</v>
      </c>
      <c r="Q7" s="42" t="s">
        <v>305</v>
      </c>
      <c r="R7" s="42" t="s">
        <v>305</v>
      </c>
      <c r="S7" s="41" t="s">
        <v>306</v>
      </c>
      <c r="T7" s="41" t="s">
        <v>307</v>
      </c>
      <c r="U7" s="41" t="s">
        <v>308</v>
      </c>
      <c r="V7" s="43" t="s">
        <v>309</v>
      </c>
      <c r="W7" s="43" t="s">
        <v>21</v>
      </c>
      <c r="X7" s="43" t="s">
        <v>285</v>
      </c>
      <c r="Y7" s="43" t="s">
        <v>310</v>
      </c>
      <c r="Z7" s="43" t="s">
        <v>21</v>
      </c>
      <c r="AA7" s="43" t="s">
        <v>311</v>
      </c>
      <c r="AB7" s="43" t="s">
        <v>311</v>
      </c>
      <c r="AC7" s="42" t="s">
        <v>312</v>
      </c>
      <c r="AD7" s="42" t="s">
        <v>313</v>
      </c>
      <c r="AE7" s="42" t="s">
        <v>314</v>
      </c>
      <c r="AF7" s="42" t="s">
        <v>315</v>
      </c>
      <c r="AG7" s="42" t="s">
        <v>316</v>
      </c>
      <c r="AH7" s="48"/>
      <c r="AI7" s="48"/>
      <c r="AJ7" s="48"/>
      <c r="AK7" s="48"/>
      <c r="AL7" s="42" t="s">
        <v>317</v>
      </c>
      <c r="AM7" s="42" t="s">
        <v>318</v>
      </c>
      <c r="AN7" s="48"/>
      <c r="AO7" s="42" t="s">
        <v>319</v>
      </c>
      <c r="AP7" s="42" t="s">
        <v>320</v>
      </c>
      <c r="AQ7" s="42" t="s">
        <v>321</v>
      </c>
      <c r="AR7" s="42" t="s">
        <v>322</v>
      </c>
      <c r="AS7" s="42" t="s">
        <v>323</v>
      </c>
      <c r="AT7" s="48"/>
    </row>
    <row r="8" spans="1:46" x14ac:dyDescent="0.3">
      <c r="A8" s="94" t="s">
        <v>410</v>
      </c>
      <c r="B8" s="95" t="s">
        <v>706</v>
      </c>
      <c r="C8" s="73" t="str">
        <f>VLOOKUP(A8,'1-1 基本信息'!$A:$H,8,0)</f>
        <v>中层正职</v>
      </c>
      <c r="D8" s="95" t="str">
        <f t="shared" si="0"/>
        <v>人力资源部中层正职</v>
      </c>
      <c r="E8" s="94" t="s">
        <v>410</v>
      </c>
      <c r="F8" s="95" t="s">
        <v>726</v>
      </c>
      <c r="G8" s="95" t="s">
        <v>727</v>
      </c>
      <c r="H8" s="95" t="s">
        <v>728</v>
      </c>
      <c r="I8" s="95" t="s">
        <v>729</v>
      </c>
      <c r="J8" s="95" t="s">
        <v>730</v>
      </c>
      <c r="K8" s="95"/>
      <c r="N8" s="44" t="s">
        <v>21</v>
      </c>
      <c r="O8" s="42" t="s">
        <v>324</v>
      </c>
      <c r="P8" s="43" t="s">
        <v>285</v>
      </c>
      <c r="Q8" s="43" t="s">
        <v>285</v>
      </c>
      <c r="R8" s="43" t="s">
        <v>285</v>
      </c>
      <c r="S8" s="41" t="s">
        <v>325</v>
      </c>
      <c r="T8" s="41" t="s">
        <v>326</v>
      </c>
      <c r="U8" s="41" t="s">
        <v>327</v>
      </c>
      <c r="V8" s="43" t="s">
        <v>328</v>
      </c>
      <c r="W8" s="43" t="s">
        <v>329</v>
      </c>
      <c r="X8" s="43" t="s">
        <v>21</v>
      </c>
      <c r="Y8" s="43" t="s">
        <v>285</v>
      </c>
      <c r="Z8" s="43" t="s">
        <v>311</v>
      </c>
      <c r="AA8" s="48"/>
      <c r="AB8" s="48"/>
      <c r="AC8" s="43" t="s">
        <v>311</v>
      </c>
      <c r="AD8" s="42" t="s">
        <v>330</v>
      </c>
      <c r="AE8" s="42" t="s">
        <v>331</v>
      </c>
      <c r="AF8" s="42" t="s">
        <v>332</v>
      </c>
      <c r="AG8" s="42" t="s">
        <v>21</v>
      </c>
      <c r="AH8" s="48"/>
      <c r="AI8" s="48"/>
      <c r="AJ8" s="48"/>
      <c r="AK8" s="48"/>
      <c r="AL8" s="42" t="s">
        <v>333</v>
      </c>
      <c r="AM8" s="42" t="s">
        <v>334</v>
      </c>
      <c r="AN8" s="48"/>
      <c r="AO8" s="48"/>
      <c r="AP8" s="48"/>
      <c r="AQ8" s="42" t="s">
        <v>335</v>
      </c>
      <c r="AR8" s="42" t="s">
        <v>336</v>
      </c>
      <c r="AS8" s="42" t="s">
        <v>337</v>
      </c>
      <c r="AT8" s="48"/>
    </row>
    <row r="9" spans="1:46" x14ac:dyDescent="0.3">
      <c r="A9" s="94" t="s">
        <v>407</v>
      </c>
      <c r="B9" s="95" t="s">
        <v>544</v>
      </c>
      <c r="C9" s="73" t="str">
        <f>VLOOKUP(A9,'1-1 基本信息'!$A:$H,8,0)</f>
        <v>中层正职</v>
      </c>
      <c r="D9" s="95" t="str">
        <f t="shared" si="0"/>
        <v>生产运行管理部中层正职</v>
      </c>
      <c r="E9" s="94" t="s">
        <v>407</v>
      </c>
      <c r="F9" s="95" t="s">
        <v>731</v>
      </c>
      <c r="G9" s="95" t="s">
        <v>732</v>
      </c>
      <c r="H9" s="95" t="s">
        <v>733</v>
      </c>
      <c r="I9" s="95" t="s">
        <v>734</v>
      </c>
      <c r="J9" s="95" t="s">
        <v>735</v>
      </c>
      <c r="K9" s="95"/>
      <c r="N9" s="44" t="s">
        <v>311</v>
      </c>
      <c r="O9" s="43" t="s">
        <v>294</v>
      </c>
      <c r="P9" s="43" t="s">
        <v>294</v>
      </c>
      <c r="Q9" s="43" t="s">
        <v>294</v>
      </c>
      <c r="R9" s="43" t="s">
        <v>294</v>
      </c>
      <c r="S9" s="41" t="s">
        <v>338</v>
      </c>
      <c r="T9" s="44" t="s">
        <v>21</v>
      </c>
      <c r="U9" s="41" t="s">
        <v>339</v>
      </c>
      <c r="V9" s="43" t="s">
        <v>340</v>
      </c>
      <c r="W9" s="48"/>
      <c r="X9" s="43" t="s">
        <v>311</v>
      </c>
      <c r="Y9" s="43" t="s">
        <v>294</v>
      </c>
      <c r="Z9" s="48"/>
      <c r="AA9" s="48"/>
      <c r="AB9" s="48"/>
      <c r="AC9" s="48"/>
      <c r="AD9" s="42" t="s">
        <v>341</v>
      </c>
      <c r="AE9" s="42" t="s">
        <v>21</v>
      </c>
      <c r="AF9" s="42" t="s">
        <v>342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2" t="s">
        <v>343</v>
      </c>
      <c r="AT9" s="48"/>
    </row>
    <row r="10" spans="1:46" x14ac:dyDescent="0.3">
      <c r="A10" s="94" t="s">
        <v>134</v>
      </c>
      <c r="B10" s="95" t="s">
        <v>707</v>
      </c>
      <c r="C10" s="73" t="str">
        <f>VLOOKUP(A10,'1-1 基本信息'!$A:$H,8,0)</f>
        <v>中层正职</v>
      </c>
      <c r="D10" s="95" t="str">
        <f t="shared" si="0"/>
        <v>总经理办公室中层正职</v>
      </c>
      <c r="E10" s="94" t="s">
        <v>134</v>
      </c>
      <c r="F10" s="95" t="s">
        <v>736</v>
      </c>
      <c r="G10" s="95" t="s">
        <v>737</v>
      </c>
      <c r="H10" s="95" t="s">
        <v>738</v>
      </c>
      <c r="I10" s="95" t="s">
        <v>739</v>
      </c>
      <c r="J10" s="95" t="s">
        <v>740</v>
      </c>
      <c r="K10" s="96" t="s">
        <v>841</v>
      </c>
      <c r="N10" s="48"/>
      <c r="O10" s="43" t="s">
        <v>311</v>
      </c>
      <c r="P10" s="43" t="s">
        <v>311</v>
      </c>
      <c r="Q10" s="43" t="s">
        <v>311</v>
      </c>
      <c r="R10" s="43" t="s">
        <v>311</v>
      </c>
      <c r="S10" s="41" t="s">
        <v>344</v>
      </c>
      <c r="T10" s="44" t="s">
        <v>311</v>
      </c>
      <c r="U10" s="41" t="s">
        <v>345</v>
      </c>
      <c r="V10" s="43" t="s">
        <v>285</v>
      </c>
      <c r="W10" s="48"/>
      <c r="X10" s="48"/>
      <c r="Y10" s="43" t="s">
        <v>311</v>
      </c>
      <c r="Z10" s="48"/>
      <c r="AA10" s="48"/>
      <c r="AB10" s="48"/>
      <c r="AC10" s="48"/>
      <c r="AD10" s="42" t="s">
        <v>285</v>
      </c>
      <c r="AE10" s="48"/>
      <c r="AF10" s="42" t="s">
        <v>346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2" t="s">
        <v>347</v>
      </c>
      <c r="AT10" s="48"/>
    </row>
    <row r="11" spans="1:46" x14ac:dyDescent="0.3">
      <c r="A11" s="94" t="s">
        <v>74</v>
      </c>
      <c r="B11" s="95" t="s">
        <v>708</v>
      </c>
      <c r="C11" s="73" t="str">
        <f>VLOOKUP(A11,'1-1 基本信息'!$A:$H,8,0)</f>
        <v>中层副职</v>
      </c>
      <c r="D11" s="95" t="str">
        <f t="shared" si="0"/>
        <v>党委办公室中层副职</v>
      </c>
      <c r="E11" s="94" t="s">
        <v>74</v>
      </c>
      <c r="F11" s="95" t="s">
        <v>741</v>
      </c>
      <c r="G11" s="95" t="s">
        <v>294</v>
      </c>
      <c r="H11" s="95"/>
      <c r="I11" s="95"/>
      <c r="J11" s="95"/>
      <c r="K11" s="95"/>
      <c r="N11" s="48"/>
      <c r="O11" s="48"/>
      <c r="P11" s="48"/>
      <c r="Q11" s="48"/>
      <c r="R11" s="48"/>
      <c r="S11" s="41" t="s">
        <v>348</v>
      </c>
      <c r="T11" s="48"/>
      <c r="U11" s="41" t="s">
        <v>326</v>
      </c>
      <c r="V11" s="43" t="s">
        <v>21</v>
      </c>
      <c r="W11" s="48"/>
      <c r="X11" s="48"/>
      <c r="Y11" s="48"/>
      <c r="Z11" s="48"/>
      <c r="AA11" s="48"/>
      <c r="AB11" s="48"/>
      <c r="AC11" s="48"/>
      <c r="AD11" s="43" t="s">
        <v>294</v>
      </c>
      <c r="AE11" s="48"/>
      <c r="AF11" s="42" t="s">
        <v>349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</row>
    <row r="12" spans="1:46" x14ac:dyDescent="0.3">
      <c r="A12" s="94" t="s">
        <v>46</v>
      </c>
      <c r="B12" s="95" t="s">
        <v>707</v>
      </c>
      <c r="C12" s="73" t="str">
        <f>VLOOKUP(A12,'1-1 基本信息'!$A:$H,8,0)</f>
        <v>中层副职</v>
      </c>
      <c r="D12" s="95" t="str">
        <f t="shared" si="0"/>
        <v>总经理办公室中层副职</v>
      </c>
      <c r="E12" s="94" t="s">
        <v>46</v>
      </c>
      <c r="F12" s="95" t="s">
        <v>738</v>
      </c>
      <c r="G12" s="95" t="s">
        <v>737</v>
      </c>
      <c r="H12" s="95" t="s">
        <v>740</v>
      </c>
      <c r="I12" s="95"/>
      <c r="J12" s="95"/>
      <c r="K12" s="95"/>
      <c r="N12" s="48"/>
      <c r="O12" s="48"/>
      <c r="P12" s="48"/>
      <c r="Q12" s="48"/>
      <c r="R12" s="48"/>
      <c r="S12" s="41" t="s">
        <v>350</v>
      </c>
      <c r="T12" s="48"/>
      <c r="U12" s="44" t="s">
        <v>21</v>
      </c>
      <c r="V12" s="43" t="s">
        <v>311</v>
      </c>
      <c r="W12" s="48"/>
      <c r="X12" s="48"/>
      <c r="Y12" s="48"/>
      <c r="Z12" s="48"/>
      <c r="AA12" s="48"/>
      <c r="AB12" s="48"/>
      <c r="AC12" s="48"/>
      <c r="AD12" s="42" t="s">
        <v>206</v>
      </c>
      <c r="AE12" s="48"/>
      <c r="AF12" s="42" t="s">
        <v>21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</row>
    <row r="13" spans="1:46" x14ac:dyDescent="0.3">
      <c r="A13" s="94" t="s">
        <v>58</v>
      </c>
      <c r="B13" s="95" t="s">
        <v>705</v>
      </c>
      <c r="C13" s="73" t="str">
        <f>VLOOKUP(A13,'1-1 基本信息'!$A:$H,8,0)</f>
        <v>中层副职</v>
      </c>
      <c r="D13" s="95" t="str">
        <f t="shared" si="0"/>
        <v>党委组织部中层副职</v>
      </c>
      <c r="E13" s="94" t="s">
        <v>58</v>
      </c>
      <c r="F13" s="95" t="s">
        <v>724</v>
      </c>
      <c r="G13" s="95" t="s">
        <v>723</v>
      </c>
      <c r="H13" s="95"/>
      <c r="I13" s="95"/>
      <c r="J13" s="95"/>
      <c r="K13" s="95"/>
      <c r="N13" s="48"/>
      <c r="O13" s="48"/>
      <c r="P13" s="48"/>
      <c r="Q13" s="48"/>
      <c r="R13" s="48"/>
      <c r="S13" s="41" t="s">
        <v>326</v>
      </c>
      <c r="T13" s="48"/>
      <c r="U13" s="44" t="s">
        <v>311</v>
      </c>
      <c r="V13" s="48"/>
      <c r="W13" s="48"/>
      <c r="X13" s="48"/>
      <c r="Y13" s="48"/>
      <c r="Z13" s="48"/>
      <c r="AA13" s="48"/>
      <c r="AB13" s="48"/>
      <c r="AC13" s="48"/>
      <c r="AD13" s="42" t="s">
        <v>237</v>
      </c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</row>
    <row r="14" spans="1:46" x14ac:dyDescent="0.3">
      <c r="A14" s="94" t="s">
        <v>104</v>
      </c>
      <c r="B14" s="95" t="s">
        <v>706</v>
      </c>
      <c r="C14" s="73" t="str">
        <f>VLOOKUP(A14,'1-1 基本信息'!$A:$H,8,0)</f>
        <v>中层副职</v>
      </c>
      <c r="D14" s="95" t="str">
        <f t="shared" si="0"/>
        <v>人力资源部中层副职</v>
      </c>
      <c r="E14" s="94" t="s">
        <v>104</v>
      </c>
      <c r="F14" s="95" t="s">
        <v>728</v>
      </c>
      <c r="G14" s="95" t="s">
        <v>727</v>
      </c>
      <c r="H14" s="95" t="s">
        <v>726</v>
      </c>
      <c r="I14" s="95" t="s">
        <v>730</v>
      </c>
      <c r="J14" s="95" t="s">
        <v>742</v>
      </c>
      <c r="K14" s="95"/>
      <c r="N14" s="48"/>
      <c r="O14" s="48"/>
      <c r="P14" s="48"/>
      <c r="Q14" s="48"/>
      <c r="R14" s="48"/>
      <c r="S14" s="44" t="s">
        <v>21</v>
      </c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2" t="s">
        <v>268</v>
      </c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</row>
    <row r="15" spans="1:46" x14ac:dyDescent="0.3">
      <c r="A15" s="94" t="s">
        <v>108</v>
      </c>
      <c r="B15" s="95" t="s">
        <v>839</v>
      </c>
      <c r="C15" s="73" t="str">
        <f>VLOOKUP(A15,'1-1 基本信息'!$A:$H,8,0)</f>
        <v>中层正职</v>
      </c>
      <c r="D15" s="95" t="str">
        <f t="shared" si="0"/>
        <v>党委宣传部中层正职</v>
      </c>
      <c r="E15" s="94" t="s">
        <v>108</v>
      </c>
      <c r="F15" s="95" t="s">
        <v>842</v>
      </c>
      <c r="G15" s="95" t="s">
        <v>743</v>
      </c>
      <c r="H15" s="95" t="s">
        <v>744</v>
      </c>
      <c r="I15" s="95" t="s">
        <v>745</v>
      </c>
      <c r="J15" s="95" t="s">
        <v>746</v>
      </c>
      <c r="K15" s="95"/>
      <c r="N15" s="48"/>
      <c r="O15" s="48"/>
      <c r="P15" s="48"/>
      <c r="Q15" s="48"/>
      <c r="R15" s="48"/>
      <c r="S15" s="44" t="s">
        <v>311</v>
      </c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</row>
    <row r="16" spans="1:46" x14ac:dyDescent="0.3">
      <c r="A16" s="94" t="s">
        <v>115</v>
      </c>
      <c r="B16" s="95" t="s">
        <v>539</v>
      </c>
      <c r="C16" s="73" t="str">
        <f>VLOOKUP(A16,'1-1 基本信息'!$A:$H,8,0)</f>
        <v>中层正职</v>
      </c>
      <c r="D16" s="95" t="str">
        <f t="shared" si="0"/>
        <v>纪委监督部中层正职</v>
      </c>
      <c r="E16" s="94" t="s">
        <v>115</v>
      </c>
      <c r="F16" s="95" t="s">
        <v>747</v>
      </c>
      <c r="G16" s="95" t="s">
        <v>748</v>
      </c>
      <c r="H16" s="95" t="s">
        <v>749</v>
      </c>
      <c r="I16" s="95" t="s">
        <v>750</v>
      </c>
      <c r="J16" s="95"/>
      <c r="K16" s="95"/>
    </row>
    <row r="17" spans="1:27" x14ac:dyDescent="0.3">
      <c r="A17" s="94" t="s">
        <v>100</v>
      </c>
      <c r="B17" s="95" t="s">
        <v>539</v>
      </c>
      <c r="C17" s="73" t="str">
        <f>VLOOKUP(A17,'1-1 基本信息'!$A:$H,8,0)</f>
        <v>中层副职</v>
      </c>
      <c r="D17" s="95" t="str">
        <f t="shared" si="0"/>
        <v>纪委监督部中层副职</v>
      </c>
      <c r="E17" s="94" t="s">
        <v>100</v>
      </c>
      <c r="F17" s="95" t="s">
        <v>748</v>
      </c>
      <c r="G17" s="95" t="s">
        <v>749</v>
      </c>
      <c r="H17" s="95" t="s">
        <v>747</v>
      </c>
      <c r="I17" s="95"/>
      <c r="J17" s="95"/>
      <c r="K17" s="95"/>
      <c r="N17" s="39" t="s">
        <v>20</v>
      </c>
      <c r="O17" s="41" t="s">
        <v>188</v>
      </c>
      <c r="P17" s="41" t="s">
        <v>218</v>
      </c>
      <c r="Q17" s="41" t="s">
        <v>249</v>
      </c>
      <c r="R17" s="41" t="s">
        <v>279</v>
      </c>
      <c r="S17" s="44" t="s">
        <v>285</v>
      </c>
      <c r="T17" s="44" t="s">
        <v>21</v>
      </c>
      <c r="U17" s="44" t="s">
        <v>311</v>
      </c>
      <c r="V17" s="48"/>
      <c r="W17" s="48"/>
      <c r="X17" s="48"/>
      <c r="Y17" s="48"/>
      <c r="Z17" s="48"/>
      <c r="AA17" s="48"/>
    </row>
    <row r="18" spans="1:27" x14ac:dyDescent="0.3">
      <c r="A18" s="94" t="s">
        <v>47</v>
      </c>
      <c r="B18" s="95" t="s">
        <v>540</v>
      </c>
      <c r="C18" s="73" t="str">
        <f>VLOOKUP(A18,'1-1 基本信息'!$A:$H,8,0)</f>
        <v>中层正职</v>
      </c>
      <c r="D18" s="95" t="str">
        <f t="shared" si="0"/>
        <v>工会中层正职</v>
      </c>
      <c r="E18" s="94" t="s">
        <v>47</v>
      </c>
      <c r="F18" s="95" t="s">
        <v>843</v>
      </c>
      <c r="G18" s="95" t="s">
        <v>844</v>
      </c>
      <c r="H18" s="95" t="s">
        <v>751</v>
      </c>
      <c r="I18" s="95" t="s">
        <v>752</v>
      </c>
      <c r="J18" s="95" t="s">
        <v>753</v>
      </c>
      <c r="K18" s="95"/>
      <c r="N18" s="40" t="s">
        <v>144</v>
      </c>
      <c r="O18" s="42" t="s">
        <v>189</v>
      </c>
      <c r="P18" s="42" t="s">
        <v>219</v>
      </c>
      <c r="Q18" s="42" t="s">
        <v>250</v>
      </c>
      <c r="R18" s="42" t="s">
        <v>280</v>
      </c>
      <c r="S18" s="42" t="s">
        <v>304</v>
      </c>
      <c r="T18" s="42" t="s">
        <v>324</v>
      </c>
      <c r="U18" s="43" t="s">
        <v>294</v>
      </c>
      <c r="V18" s="43" t="s">
        <v>311</v>
      </c>
      <c r="W18" s="48"/>
      <c r="X18" s="48"/>
      <c r="Y18" s="48"/>
      <c r="Z18" s="48"/>
      <c r="AA18" s="48"/>
    </row>
    <row r="19" spans="1:27" x14ac:dyDescent="0.3">
      <c r="A19" s="94" t="s">
        <v>76</v>
      </c>
      <c r="B19" s="95" t="s">
        <v>541</v>
      </c>
      <c r="C19" s="73" t="str">
        <f>VLOOKUP(A19,'1-1 基本信息'!$A:$H,8,0)</f>
        <v>中层正职</v>
      </c>
      <c r="D19" s="95" t="str">
        <f t="shared" si="0"/>
        <v>油气勘探管理部中层正职</v>
      </c>
      <c r="E19" s="94" t="s">
        <v>76</v>
      </c>
      <c r="F19" s="95" t="s">
        <v>754</v>
      </c>
      <c r="G19" s="95" t="s">
        <v>755</v>
      </c>
      <c r="H19" s="95" t="s">
        <v>756</v>
      </c>
      <c r="I19" s="95" t="s">
        <v>757</v>
      </c>
      <c r="J19" s="95"/>
      <c r="K19" s="95"/>
      <c r="N19" s="40" t="s">
        <v>145</v>
      </c>
      <c r="O19" s="42" t="s">
        <v>190</v>
      </c>
      <c r="P19" s="42" t="s">
        <v>220</v>
      </c>
      <c r="Q19" s="42" t="s">
        <v>251</v>
      </c>
      <c r="R19" s="43" t="s">
        <v>281</v>
      </c>
      <c r="S19" s="42" t="s">
        <v>305</v>
      </c>
      <c r="T19" s="43" t="s">
        <v>285</v>
      </c>
      <c r="U19" s="43" t="s">
        <v>294</v>
      </c>
      <c r="V19" s="43" t="s">
        <v>311</v>
      </c>
      <c r="W19" s="48"/>
      <c r="X19" s="48"/>
      <c r="Y19" s="48"/>
      <c r="Z19" s="48"/>
      <c r="AA19" s="48"/>
    </row>
    <row r="20" spans="1:27" x14ac:dyDescent="0.3">
      <c r="A20" s="94" t="s">
        <v>125</v>
      </c>
      <c r="B20" s="95" t="s">
        <v>541</v>
      </c>
      <c r="C20" s="73" t="str">
        <f>VLOOKUP(A20,'1-1 基本信息'!$A:$H,8,0)</f>
        <v>中层副职</v>
      </c>
      <c r="D20" s="95" t="str">
        <f t="shared" si="0"/>
        <v>油气勘探管理部中层副职</v>
      </c>
      <c r="E20" s="94" t="s">
        <v>125</v>
      </c>
      <c r="F20" s="95" t="s">
        <v>754</v>
      </c>
      <c r="G20" s="95" t="s">
        <v>755</v>
      </c>
      <c r="H20" s="95" t="s">
        <v>756</v>
      </c>
      <c r="I20" s="95" t="s">
        <v>758</v>
      </c>
      <c r="J20" s="95" t="s">
        <v>759</v>
      </c>
      <c r="K20" s="95"/>
      <c r="N20" s="40" t="s">
        <v>30</v>
      </c>
      <c r="O20" s="42" t="s">
        <v>190</v>
      </c>
      <c r="P20" s="42" t="s">
        <v>220</v>
      </c>
      <c r="Q20" s="42" t="s">
        <v>251</v>
      </c>
      <c r="R20" s="43" t="s">
        <v>281</v>
      </c>
      <c r="S20" s="42" t="s">
        <v>305</v>
      </c>
      <c r="T20" s="43" t="s">
        <v>285</v>
      </c>
      <c r="U20" s="43" t="s">
        <v>294</v>
      </c>
      <c r="V20" s="43" t="s">
        <v>311</v>
      </c>
      <c r="W20" s="48"/>
      <c r="X20" s="48"/>
      <c r="Y20" s="48"/>
      <c r="Z20" s="48"/>
      <c r="AA20" s="48"/>
    </row>
    <row r="21" spans="1:27" x14ac:dyDescent="0.3">
      <c r="A21" s="94" t="s">
        <v>94</v>
      </c>
      <c r="B21" s="95" t="s">
        <v>32</v>
      </c>
      <c r="C21" s="73" t="str">
        <f>VLOOKUP(A21,'1-1 基本信息'!$A:$H,8,0)</f>
        <v>中层正职</v>
      </c>
      <c r="D21" s="95" t="str">
        <f t="shared" si="0"/>
        <v>勘探开发研究院中层正职</v>
      </c>
      <c r="E21" s="94" t="s">
        <v>94</v>
      </c>
      <c r="F21" s="95" t="s">
        <v>760</v>
      </c>
      <c r="G21" s="95" t="s">
        <v>761</v>
      </c>
      <c r="H21" s="95" t="s">
        <v>762</v>
      </c>
      <c r="I21" s="95" t="s">
        <v>763</v>
      </c>
      <c r="J21" s="95" t="s">
        <v>294</v>
      </c>
      <c r="K21" s="95"/>
      <c r="N21" s="40" t="s">
        <v>701</v>
      </c>
      <c r="O21" s="42" t="s">
        <v>190</v>
      </c>
      <c r="P21" s="42" t="s">
        <v>220</v>
      </c>
      <c r="Q21" s="42" t="s">
        <v>251</v>
      </c>
      <c r="R21" s="43" t="s">
        <v>281</v>
      </c>
      <c r="S21" s="42" t="s">
        <v>305</v>
      </c>
      <c r="T21" s="43" t="s">
        <v>285</v>
      </c>
      <c r="U21" s="43" t="s">
        <v>294</v>
      </c>
      <c r="V21" s="43" t="s">
        <v>311</v>
      </c>
      <c r="W21" s="48"/>
      <c r="X21" s="48"/>
      <c r="Y21" s="48"/>
      <c r="Z21" s="48"/>
      <c r="AA21" s="48"/>
    </row>
    <row r="22" spans="1:27" x14ac:dyDescent="0.3">
      <c r="A22" s="94" t="s">
        <v>138</v>
      </c>
      <c r="B22" s="95" t="s">
        <v>542</v>
      </c>
      <c r="C22" s="73" t="str">
        <f>VLOOKUP(A22,'1-1 基本信息'!$A:$H,8,0)</f>
        <v>中层副职</v>
      </c>
      <c r="D22" s="95" t="str">
        <f t="shared" si="0"/>
        <v>油气开发管理部中层副职</v>
      </c>
      <c r="E22" s="94" t="s">
        <v>138</v>
      </c>
      <c r="F22" s="95" t="s">
        <v>764</v>
      </c>
      <c r="G22" s="95" t="s">
        <v>845</v>
      </c>
      <c r="H22" s="95" t="s">
        <v>846</v>
      </c>
      <c r="I22" s="95" t="s">
        <v>847</v>
      </c>
      <c r="J22" s="95"/>
      <c r="K22" s="95"/>
      <c r="N22" s="39" t="s">
        <v>147</v>
      </c>
      <c r="O22" s="41" t="s">
        <v>191</v>
      </c>
      <c r="P22" s="41" t="s">
        <v>221</v>
      </c>
      <c r="Q22" s="41" t="s">
        <v>252</v>
      </c>
      <c r="R22" s="41" t="s">
        <v>282</v>
      </c>
      <c r="S22" s="41" t="s">
        <v>306</v>
      </c>
      <c r="T22" s="41" t="s">
        <v>325</v>
      </c>
      <c r="U22" s="41" t="s">
        <v>338</v>
      </c>
      <c r="V22" s="41" t="s">
        <v>344</v>
      </c>
      <c r="W22" s="41" t="s">
        <v>348</v>
      </c>
      <c r="X22" s="41" t="s">
        <v>350</v>
      </c>
      <c r="Y22" s="41" t="s">
        <v>326</v>
      </c>
      <c r="Z22" s="44" t="s">
        <v>21</v>
      </c>
      <c r="AA22" s="44" t="s">
        <v>311</v>
      </c>
    </row>
    <row r="23" spans="1:27" x14ac:dyDescent="0.3">
      <c r="A23" s="94" t="s">
        <v>117</v>
      </c>
      <c r="B23" s="95" t="s">
        <v>542</v>
      </c>
      <c r="C23" s="73" t="str">
        <f>VLOOKUP(A23,'1-1 基本信息'!$A:$H,8,0)</f>
        <v>中层副职</v>
      </c>
      <c r="D23" s="95" t="str">
        <f t="shared" si="0"/>
        <v>油气开发管理部中层副职</v>
      </c>
      <c r="E23" s="94" t="s">
        <v>117</v>
      </c>
      <c r="F23" s="95" t="s">
        <v>764</v>
      </c>
      <c r="G23" s="95" t="s">
        <v>845</v>
      </c>
      <c r="H23" s="95" t="s">
        <v>846</v>
      </c>
      <c r="I23" s="95" t="s">
        <v>848</v>
      </c>
      <c r="J23" s="95"/>
      <c r="K23" s="95"/>
      <c r="N23" s="39" t="s">
        <v>148</v>
      </c>
      <c r="O23" s="41" t="s">
        <v>192</v>
      </c>
      <c r="P23" s="41" t="s">
        <v>222</v>
      </c>
      <c r="Q23" s="41" t="s">
        <v>253</v>
      </c>
      <c r="R23" s="41" t="s">
        <v>190</v>
      </c>
      <c r="S23" s="41" t="s">
        <v>307</v>
      </c>
      <c r="T23" s="41" t="s">
        <v>326</v>
      </c>
      <c r="U23" s="44" t="s">
        <v>21</v>
      </c>
      <c r="V23" s="44" t="s">
        <v>311</v>
      </c>
      <c r="W23" s="48"/>
      <c r="X23" s="48"/>
      <c r="Y23" s="48"/>
      <c r="Z23" s="48"/>
      <c r="AA23" s="48"/>
    </row>
    <row r="24" spans="1:27" x14ac:dyDescent="0.3">
      <c r="A24" s="94" t="s">
        <v>118</v>
      </c>
      <c r="B24" s="95" t="s">
        <v>543</v>
      </c>
      <c r="C24" s="73" t="str">
        <f>VLOOKUP(A24,'1-1 基本信息'!$A:$H,8,0)</f>
        <v>中层正职</v>
      </c>
      <c r="D24" s="95" t="str">
        <f t="shared" si="0"/>
        <v>工程技术管理部中层正职</v>
      </c>
      <c r="E24" s="94" t="s">
        <v>118</v>
      </c>
      <c r="F24" s="95" t="s">
        <v>767</v>
      </c>
      <c r="G24" s="95" t="s">
        <v>768</v>
      </c>
      <c r="H24" s="95" t="s">
        <v>769</v>
      </c>
      <c r="I24" s="95" t="s">
        <v>765</v>
      </c>
      <c r="J24" s="95" t="s">
        <v>766</v>
      </c>
      <c r="K24" s="95"/>
      <c r="N24" s="39" t="s">
        <v>149</v>
      </c>
      <c r="O24" s="41" t="s">
        <v>193</v>
      </c>
      <c r="P24" s="41" t="s">
        <v>223</v>
      </c>
      <c r="Q24" s="41" t="s">
        <v>254</v>
      </c>
      <c r="R24" s="41" t="s">
        <v>283</v>
      </c>
      <c r="S24" s="41" t="s">
        <v>308</v>
      </c>
      <c r="T24" s="41" t="s">
        <v>327</v>
      </c>
      <c r="U24" s="41" t="s">
        <v>339</v>
      </c>
      <c r="V24" s="41" t="s">
        <v>345</v>
      </c>
      <c r="W24" s="41" t="s">
        <v>326</v>
      </c>
      <c r="X24" s="44" t="s">
        <v>21</v>
      </c>
      <c r="Y24" s="44" t="s">
        <v>311</v>
      </c>
      <c r="Z24" s="48"/>
      <c r="AA24" s="48"/>
    </row>
    <row r="25" spans="1:27" x14ac:dyDescent="0.3">
      <c r="A25" s="94" t="s">
        <v>466</v>
      </c>
      <c r="B25" s="95" t="s">
        <v>543</v>
      </c>
      <c r="C25" s="73" t="str">
        <f>VLOOKUP(A25,'1-1 基本信息'!$A:$H,8,0)</f>
        <v>中层副职</v>
      </c>
      <c r="D25" s="95" t="str">
        <f t="shared" si="0"/>
        <v>工程技术管理部中层副职</v>
      </c>
      <c r="E25" s="94" t="s">
        <v>466</v>
      </c>
      <c r="F25" s="95" t="s">
        <v>767</v>
      </c>
      <c r="G25" s="95" t="s">
        <v>770</v>
      </c>
      <c r="H25" s="95" t="s">
        <v>771</v>
      </c>
      <c r="I25" s="95"/>
      <c r="J25" s="95"/>
      <c r="K25" s="95"/>
      <c r="N25" s="39" t="s">
        <v>150</v>
      </c>
      <c r="O25" s="43" t="s">
        <v>194</v>
      </c>
      <c r="P25" s="43" t="s">
        <v>224</v>
      </c>
      <c r="Q25" s="43" t="s">
        <v>255</v>
      </c>
      <c r="R25" s="43" t="s">
        <v>284</v>
      </c>
      <c r="S25" s="43" t="s">
        <v>309</v>
      </c>
      <c r="T25" s="43" t="s">
        <v>328</v>
      </c>
      <c r="U25" s="43" t="s">
        <v>340</v>
      </c>
      <c r="V25" s="43" t="s">
        <v>285</v>
      </c>
      <c r="W25" s="43" t="s">
        <v>21</v>
      </c>
      <c r="X25" s="43" t="s">
        <v>311</v>
      </c>
      <c r="Y25" s="48"/>
      <c r="Z25" s="48"/>
      <c r="AA25" s="48"/>
    </row>
    <row r="26" spans="1:27" x14ac:dyDescent="0.3">
      <c r="A26" s="94" t="s">
        <v>61</v>
      </c>
      <c r="B26" s="95" t="s">
        <v>544</v>
      </c>
      <c r="C26" s="73" t="str">
        <f>VLOOKUP(A26,'1-1 基本信息'!$A:$H,8,0)</f>
        <v>中层副职</v>
      </c>
      <c r="D26" s="95" t="str">
        <f t="shared" si="0"/>
        <v>生产运行管理部中层副职</v>
      </c>
      <c r="E26" s="94" t="s">
        <v>61</v>
      </c>
      <c r="F26" s="95" t="s">
        <v>731</v>
      </c>
      <c r="G26" s="95" t="s">
        <v>733</v>
      </c>
      <c r="H26" s="95" t="s">
        <v>734</v>
      </c>
      <c r="I26" s="95" t="s">
        <v>772</v>
      </c>
      <c r="J26" s="95" t="s">
        <v>773</v>
      </c>
      <c r="K26" s="95"/>
      <c r="N26" s="39" t="s">
        <v>151</v>
      </c>
      <c r="O26" s="43" t="s">
        <v>195</v>
      </c>
      <c r="P26" s="43" t="s">
        <v>225</v>
      </c>
      <c r="Q26" s="43" t="s">
        <v>256</v>
      </c>
      <c r="R26" s="43" t="s">
        <v>285</v>
      </c>
      <c r="S26" s="43" t="s">
        <v>21</v>
      </c>
      <c r="T26" s="43" t="s">
        <v>329</v>
      </c>
      <c r="U26" s="48"/>
      <c r="V26" s="48"/>
      <c r="W26" s="48"/>
      <c r="X26" s="48"/>
      <c r="Y26" s="48"/>
      <c r="Z26" s="48"/>
      <c r="AA26" s="48"/>
    </row>
    <row r="27" spans="1:27" x14ac:dyDescent="0.3">
      <c r="A27" s="94" t="s">
        <v>49</v>
      </c>
      <c r="B27" s="95" t="s">
        <v>544</v>
      </c>
      <c r="C27" s="73" t="str">
        <f>VLOOKUP(A27,'1-1 基本信息'!$A:$H,8,0)</f>
        <v>中层副职</v>
      </c>
      <c r="D27" s="95" t="str">
        <f t="shared" si="0"/>
        <v>生产运行管理部中层副职</v>
      </c>
      <c r="E27" s="94" t="s">
        <v>49</v>
      </c>
      <c r="F27" s="95" t="s">
        <v>732</v>
      </c>
      <c r="G27" s="95" t="s">
        <v>733</v>
      </c>
      <c r="H27" s="95"/>
      <c r="I27" s="95"/>
      <c r="J27" s="95"/>
      <c r="K27" s="95"/>
      <c r="N27" s="39" t="s">
        <v>152</v>
      </c>
      <c r="O27" s="43" t="s">
        <v>196</v>
      </c>
      <c r="P27" s="43" t="s">
        <v>226</v>
      </c>
      <c r="Q27" s="43" t="s">
        <v>257</v>
      </c>
      <c r="R27" s="43" t="s">
        <v>286</v>
      </c>
      <c r="S27" s="43" t="s">
        <v>285</v>
      </c>
      <c r="T27" s="43" t="s">
        <v>21</v>
      </c>
      <c r="U27" s="43" t="s">
        <v>311</v>
      </c>
      <c r="V27" s="48"/>
      <c r="W27" s="48"/>
      <c r="X27" s="48"/>
      <c r="Y27" s="48"/>
      <c r="Z27" s="48"/>
      <c r="AA27" s="48"/>
    </row>
    <row r="28" spans="1:27" x14ac:dyDescent="0.3">
      <c r="A28" s="94" t="s">
        <v>116</v>
      </c>
      <c r="B28" s="95" t="s">
        <v>545</v>
      </c>
      <c r="C28" s="73" t="str">
        <f>VLOOKUP(A28,'1-1 基本信息'!$A:$H,8,0)</f>
        <v>中层副职</v>
      </c>
      <c r="D28" s="95" t="str">
        <f t="shared" si="0"/>
        <v>企管与法律部中层副职</v>
      </c>
      <c r="E28" s="94" t="s">
        <v>116</v>
      </c>
      <c r="F28" s="95" t="s">
        <v>774</v>
      </c>
      <c r="G28" s="95" t="s">
        <v>775</v>
      </c>
      <c r="H28" s="95" t="s">
        <v>776</v>
      </c>
      <c r="I28" s="95" t="s">
        <v>777</v>
      </c>
      <c r="J28" s="95" t="s">
        <v>778</v>
      </c>
      <c r="K28" s="95"/>
      <c r="N28" s="39" t="s">
        <v>153</v>
      </c>
      <c r="O28" s="43" t="s">
        <v>197</v>
      </c>
      <c r="P28" s="43" t="s">
        <v>227</v>
      </c>
      <c r="Q28" s="43" t="s">
        <v>258</v>
      </c>
      <c r="R28" s="43" t="s">
        <v>287</v>
      </c>
      <c r="S28" s="43" t="s">
        <v>310</v>
      </c>
      <c r="T28" s="43" t="s">
        <v>285</v>
      </c>
      <c r="U28" s="43" t="s">
        <v>294</v>
      </c>
      <c r="V28" s="43" t="s">
        <v>311</v>
      </c>
      <c r="W28" s="48"/>
      <c r="X28" s="48"/>
      <c r="Y28" s="48"/>
      <c r="Z28" s="48"/>
      <c r="AA28" s="48"/>
    </row>
    <row r="29" spans="1:27" x14ac:dyDescent="0.3">
      <c r="A29" s="94" t="s">
        <v>132</v>
      </c>
      <c r="B29" s="95" t="s">
        <v>546</v>
      </c>
      <c r="C29" s="73" t="str">
        <f>VLOOKUP(A29,'1-1 基本信息'!$A:$H,8,0)</f>
        <v>中层正职</v>
      </c>
      <c r="D29" s="95" t="str">
        <f t="shared" si="0"/>
        <v>投资发展部中层正职</v>
      </c>
      <c r="E29" s="94" t="s">
        <v>132</v>
      </c>
      <c r="F29" s="95" t="s">
        <v>779</v>
      </c>
      <c r="G29" s="95" t="s">
        <v>780</v>
      </c>
      <c r="H29" s="95" t="s">
        <v>781</v>
      </c>
      <c r="I29" s="95" t="s">
        <v>849</v>
      </c>
      <c r="J29" s="95"/>
      <c r="K29" s="95"/>
      <c r="N29" s="40" t="s">
        <v>154</v>
      </c>
      <c r="O29" s="43" t="s">
        <v>198</v>
      </c>
      <c r="P29" s="43" t="s">
        <v>228</v>
      </c>
      <c r="Q29" s="43" t="s">
        <v>259</v>
      </c>
      <c r="R29" s="43" t="s">
        <v>288</v>
      </c>
      <c r="S29" s="43" t="s">
        <v>21</v>
      </c>
      <c r="T29" s="43" t="s">
        <v>311</v>
      </c>
      <c r="U29" s="48"/>
      <c r="V29" s="48"/>
      <c r="W29" s="48"/>
      <c r="X29" s="48"/>
      <c r="Y29" s="48"/>
      <c r="Z29" s="48"/>
      <c r="AA29" s="48"/>
    </row>
    <row r="30" spans="1:27" x14ac:dyDescent="0.3">
      <c r="A30" s="94" t="s">
        <v>90</v>
      </c>
      <c r="B30" s="95" t="s">
        <v>546</v>
      </c>
      <c r="C30" s="73" t="str">
        <f>VLOOKUP(A30,'1-1 基本信息'!$A:$H,8,0)</f>
        <v>中层副职</v>
      </c>
      <c r="D30" s="95" t="str">
        <f t="shared" si="0"/>
        <v>投资发展部中层副职</v>
      </c>
      <c r="E30" s="94" t="s">
        <v>90</v>
      </c>
      <c r="F30" s="95" t="s">
        <v>779</v>
      </c>
      <c r="G30" s="95" t="s">
        <v>782</v>
      </c>
      <c r="H30" s="95" t="s">
        <v>780</v>
      </c>
      <c r="I30" s="95" t="s">
        <v>783</v>
      </c>
      <c r="J30" s="95"/>
      <c r="K30" s="95"/>
      <c r="N30" s="40" t="s">
        <v>155</v>
      </c>
      <c r="O30" s="43" t="s">
        <v>199</v>
      </c>
      <c r="P30" s="43" t="s">
        <v>229</v>
      </c>
      <c r="Q30" s="43" t="s">
        <v>260</v>
      </c>
      <c r="R30" s="43" t="s">
        <v>21</v>
      </c>
      <c r="S30" s="43" t="s">
        <v>311</v>
      </c>
      <c r="T30" s="48"/>
      <c r="U30" s="48"/>
      <c r="V30" s="48"/>
      <c r="W30" s="48"/>
      <c r="X30" s="48"/>
      <c r="Y30" s="48"/>
      <c r="Z30" s="48"/>
      <c r="AA30" s="48"/>
    </row>
    <row r="31" spans="1:27" x14ac:dyDescent="0.3">
      <c r="A31" s="94" t="s">
        <v>126</v>
      </c>
      <c r="B31" s="95" t="s">
        <v>547</v>
      </c>
      <c r="C31" s="73" t="str">
        <f>VLOOKUP(A31,'1-1 基本信息'!$A:$H,8,0)</f>
        <v>中层正职</v>
      </c>
      <c r="D31" s="95" t="str">
        <f t="shared" si="0"/>
        <v>财务资产部中层正职</v>
      </c>
      <c r="E31" s="94" t="s">
        <v>126</v>
      </c>
      <c r="F31" s="95" t="s">
        <v>784</v>
      </c>
      <c r="G31" s="95" t="s">
        <v>785</v>
      </c>
      <c r="H31" s="95" t="s">
        <v>786</v>
      </c>
      <c r="I31" s="95" t="s">
        <v>787</v>
      </c>
      <c r="J31" s="95" t="s">
        <v>788</v>
      </c>
      <c r="K31" s="95"/>
      <c r="N31" s="40" t="s">
        <v>838</v>
      </c>
      <c r="O31" s="43" t="s">
        <v>199</v>
      </c>
      <c r="P31" s="43" t="s">
        <v>229</v>
      </c>
      <c r="Q31" s="43" t="s">
        <v>260</v>
      </c>
      <c r="R31" s="43" t="s">
        <v>21</v>
      </c>
      <c r="S31" s="43" t="s">
        <v>311</v>
      </c>
      <c r="T31" s="48"/>
      <c r="U31" s="48"/>
      <c r="V31" s="48"/>
      <c r="W31" s="48"/>
      <c r="X31" s="48"/>
      <c r="Y31" s="48"/>
      <c r="Z31" s="48"/>
      <c r="AA31" s="48"/>
    </row>
    <row r="32" spans="1:27" x14ac:dyDescent="0.3">
      <c r="A32" s="94" t="s">
        <v>70</v>
      </c>
      <c r="B32" s="95" t="s">
        <v>547</v>
      </c>
      <c r="C32" s="73" t="str">
        <f>VLOOKUP(A32,'1-1 基本信息'!$A:$H,8,0)</f>
        <v>中层副职</v>
      </c>
      <c r="D32" s="95" t="str">
        <f t="shared" si="0"/>
        <v>财务资产部中层副职</v>
      </c>
      <c r="E32" s="94" t="s">
        <v>70</v>
      </c>
      <c r="F32" s="95" t="s">
        <v>784</v>
      </c>
      <c r="G32" s="95" t="s">
        <v>785</v>
      </c>
      <c r="H32" s="95" t="s">
        <v>788</v>
      </c>
      <c r="I32" s="95"/>
      <c r="J32" s="95"/>
      <c r="K32" s="95"/>
      <c r="N32" s="40" t="s">
        <v>157</v>
      </c>
      <c r="O32" s="42" t="s">
        <v>200</v>
      </c>
      <c r="P32" s="42" t="s">
        <v>230</v>
      </c>
      <c r="Q32" s="42" t="s">
        <v>261</v>
      </c>
      <c r="R32" s="42" t="s">
        <v>289</v>
      </c>
      <c r="S32" s="42" t="s">
        <v>312</v>
      </c>
      <c r="T32" s="43" t="s">
        <v>311</v>
      </c>
      <c r="U32" s="48"/>
      <c r="V32" s="48"/>
      <c r="W32" s="48"/>
      <c r="X32" s="48"/>
      <c r="Y32" s="48"/>
      <c r="Z32" s="48"/>
      <c r="AA32" s="48"/>
    </row>
    <row r="33" spans="1:27" x14ac:dyDescent="0.3">
      <c r="A33" s="94" t="s">
        <v>60</v>
      </c>
      <c r="B33" s="95" t="s">
        <v>548</v>
      </c>
      <c r="C33" s="73" t="str">
        <f>VLOOKUP(A33,'1-1 基本信息'!$A:$H,8,0)</f>
        <v>中层副职</v>
      </c>
      <c r="D33" s="95" t="str">
        <f t="shared" si="0"/>
        <v>安全环保部中层副职</v>
      </c>
      <c r="E33" s="94" t="s">
        <v>60</v>
      </c>
      <c r="F33" s="95" t="s">
        <v>718</v>
      </c>
      <c r="G33" s="95" t="s">
        <v>717</v>
      </c>
      <c r="H33" s="95"/>
      <c r="I33" s="95"/>
      <c r="J33" s="95"/>
      <c r="K33" s="95"/>
      <c r="N33" s="40" t="s">
        <v>558</v>
      </c>
      <c r="O33" s="42" t="s">
        <v>201</v>
      </c>
      <c r="P33" s="42" t="s">
        <v>231</v>
      </c>
      <c r="Q33" s="42" t="s">
        <v>262</v>
      </c>
      <c r="R33" s="42" t="s">
        <v>290</v>
      </c>
      <c r="S33" s="42" t="s">
        <v>313</v>
      </c>
      <c r="T33" s="42" t="s">
        <v>330</v>
      </c>
      <c r="U33" s="42" t="s">
        <v>341</v>
      </c>
      <c r="V33" s="42" t="s">
        <v>285</v>
      </c>
      <c r="W33" s="43" t="s">
        <v>294</v>
      </c>
      <c r="X33" s="42" t="s">
        <v>206</v>
      </c>
      <c r="Y33" s="42" t="s">
        <v>237</v>
      </c>
      <c r="Z33" s="42" t="s">
        <v>268</v>
      </c>
      <c r="AA33" s="48"/>
    </row>
    <row r="34" spans="1:27" x14ac:dyDescent="0.3">
      <c r="A34" s="94" t="s">
        <v>86</v>
      </c>
      <c r="B34" s="95" t="s">
        <v>549</v>
      </c>
      <c r="C34" s="73" t="str">
        <f>VLOOKUP(A34,'1-1 基本信息'!$A:$H,8,0)</f>
        <v>中层副职</v>
      </c>
      <c r="D34" s="95" t="str">
        <f t="shared" si="0"/>
        <v>油地工作保卫部中层副职</v>
      </c>
      <c r="E34" s="94" t="s">
        <v>86</v>
      </c>
      <c r="F34" s="95" t="s">
        <v>712</v>
      </c>
      <c r="G34" s="95" t="s">
        <v>710</v>
      </c>
      <c r="H34" s="95" t="s">
        <v>711</v>
      </c>
      <c r="I34" s="95" t="s">
        <v>713</v>
      </c>
      <c r="J34" s="95" t="s">
        <v>789</v>
      </c>
      <c r="K34" s="95"/>
      <c r="N34" s="40" t="s">
        <v>159</v>
      </c>
      <c r="O34" s="42" t="s">
        <v>202</v>
      </c>
      <c r="P34" s="42" t="s">
        <v>232</v>
      </c>
      <c r="Q34" s="42" t="s">
        <v>263</v>
      </c>
      <c r="R34" s="42" t="s">
        <v>291</v>
      </c>
      <c r="S34" s="42" t="s">
        <v>314</v>
      </c>
      <c r="T34" s="42" t="s">
        <v>331</v>
      </c>
      <c r="U34" s="42" t="s">
        <v>21</v>
      </c>
      <c r="V34" s="48"/>
      <c r="W34" s="48"/>
      <c r="X34" s="48"/>
      <c r="Y34" s="48"/>
      <c r="Z34" s="48"/>
      <c r="AA34" s="48"/>
    </row>
    <row r="35" spans="1:27" x14ac:dyDescent="0.3">
      <c r="A35" s="94" t="s">
        <v>71</v>
      </c>
      <c r="B35" s="95" t="s">
        <v>550</v>
      </c>
      <c r="C35" s="73" t="str">
        <f>VLOOKUP(A35,'1-1 基本信息'!$A:$H,8,0)</f>
        <v>中层正职</v>
      </c>
      <c r="D35" s="95" t="str">
        <f t="shared" si="0"/>
        <v>科技管理部中层正职</v>
      </c>
      <c r="E35" s="94" t="s">
        <v>71</v>
      </c>
      <c r="F35" s="95" t="s">
        <v>790</v>
      </c>
      <c r="G35" s="95" t="s">
        <v>791</v>
      </c>
      <c r="H35" s="95" t="s">
        <v>792</v>
      </c>
      <c r="I35" s="95" t="s">
        <v>793</v>
      </c>
      <c r="J35" s="95" t="s">
        <v>794</v>
      </c>
      <c r="K35" s="95"/>
      <c r="N35" s="40" t="s">
        <v>160</v>
      </c>
      <c r="O35" s="42" t="s">
        <v>203</v>
      </c>
      <c r="P35" s="42" t="s">
        <v>233</v>
      </c>
      <c r="Q35" s="42" t="s">
        <v>264</v>
      </c>
      <c r="R35" s="42" t="s">
        <v>292</v>
      </c>
      <c r="S35" s="42" t="s">
        <v>315</v>
      </c>
      <c r="T35" s="42" t="s">
        <v>332</v>
      </c>
      <c r="U35" s="42" t="s">
        <v>342</v>
      </c>
      <c r="V35" s="42" t="s">
        <v>346</v>
      </c>
      <c r="W35" s="42" t="s">
        <v>349</v>
      </c>
      <c r="X35" s="42" t="s">
        <v>21</v>
      </c>
      <c r="Y35" s="48"/>
      <c r="Z35" s="48"/>
      <c r="AA35" s="48"/>
    </row>
    <row r="36" spans="1:27" x14ac:dyDescent="0.3">
      <c r="A36" s="94" t="s">
        <v>56</v>
      </c>
      <c r="B36" s="95" t="s">
        <v>840</v>
      </c>
      <c r="C36" s="73" t="str">
        <f>VLOOKUP(A36,'1-1 基本信息'!$A:$H,8,0)</f>
        <v>中层正职</v>
      </c>
      <c r="D36" s="95" t="str">
        <f t="shared" si="0"/>
        <v>设备管理部中层正职</v>
      </c>
      <c r="E36" s="94" t="s">
        <v>56</v>
      </c>
      <c r="F36" s="95" t="s">
        <v>795</v>
      </c>
      <c r="G36" s="95" t="s">
        <v>796</v>
      </c>
      <c r="H36" s="95" t="s">
        <v>850</v>
      </c>
      <c r="I36" s="95" t="s">
        <v>797</v>
      </c>
      <c r="J36" s="95"/>
      <c r="K36" s="95"/>
      <c r="N36" s="40" t="s">
        <v>161</v>
      </c>
      <c r="O36" s="42" t="s">
        <v>204</v>
      </c>
      <c r="P36" s="42" t="s">
        <v>234</v>
      </c>
      <c r="Q36" s="42" t="s">
        <v>265</v>
      </c>
      <c r="R36" s="42" t="s">
        <v>293</v>
      </c>
      <c r="S36" s="42" t="s">
        <v>316</v>
      </c>
      <c r="T36" s="42" t="s">
        <v>21</v>
      </c>
      <c r="U36" s="48"/>
      <c r="V36" s="48"/>
      <c r="W36" s="48"/>
      <c r="X36" s="48"/>
      <c r="Y36" s="48"/>
      <c r="Z36" s="48"/>
      <c r="AA36" s="48"/>
    </row>
    <row r="37" spans="1:27" x14ac:dyDescent="0.3">
      <c r="A37" s="94" t="s">
        <v>51</v>
      </c>
      <c r="B37" s="95" t="s">
        <v>543</v>
      </c>
      <c r="C37" s="73" t="str">
        <f>VLOOKUP(A37,'1-1 基本信息'!$A:$H,8,0)</f>
        <v>中层副职</v>
      </c>
      <c r="D37" s="95" t="str">
        <f t="shared" si="0"/>
        <v>工程技术管理部中层副职</v>
      </c>
      <c r="E37" s="94" t="s">
        <v>51</v>
      </c>
      <c r="F37" s="95" t="s">
        <v>798</v>
      </c>
      <c r="G37" s="95"/>
      <c r="H37" s="95"/>
      <c r="I37" s="95"/>
      <c r="J37" s="95"/>
      <c r="K37" s="95"/>
      <c r="N37" s="40" t="s">
        <v>162</v>
      </c>
      <c r="O37" s="42" t="s">
        <v>205</v>
      </c>
      <c r="P37" s="42" t="s">
        <v>235</v>
      </c>
      <c r="Q37" s="42" t="s">
        <v>266</v>
      </c>
      <c r="R37" s="42" t="s">
        <v>294</v>
      </c>
      <c r="S37" s="48"/>
      <c r="T37" s="48"/>
      <c r="U37" s="48"/>
      <c r="V37" s="48"/>
      <c r="W37" s="48"/>
      <c r="X37" s="48"/>
      <c r="Y37" s="48"/>
      <c r="Z37" s="48"/>
      <c r="AA37" s="48"/>
    </row>
    <row r="38" spans="1:27" x14ac:dyDescent="0.3">
      <c r="A38" s="94" t="s">
        <v>57</v>
      </c>
      <c r="B38" s="95" t="s">
        <v>552</v>
      </c>
      <c r="C38" s="73" t="str">
        <f>VLOOKUP(A38,'1-1 基本信息'!$A:$H,8,0)</f>
        <v>中层正职</v>
      </c>
      <c r="D38" s="95" t="str">
        <f t="shared" si="0"/>
        <v>概预算中心中层正职</v>
      </c>
      <c r="E38" s="94" t="s">
        <v>57</v>
      </c>
      <c r="F38" s="95" t="s">
        <v>799</v>
      </c>
      <c r="G38" s="95" t="s">
        <v>800</v>
      </c>
      <c r="H38" s="95" t="s">
        <v>801</v>
      </c>
      <c r="I38" s="95"/>
      <c r="J38" s="95"/>
      <c r="K38" s="95"/>
      <c r="N38" s="40" t="s">
        <v>163</v>
      </c>
      <c r="O38" s="42" t="s">
        <v>21</v>
      </c>
      <c r="P38" s="42" t="s">
        <v>236</v>
      </c>
      <c r="Q38" s="42" t="s">
        <v>267</v>
      </c>
      <c r="R38" s="48"/>
      <c r="S38" s="48"/>
      <c r="T38" s="48"/>
      <c r="U38" s="48"/>
      <c r="V38" s="48"/>
      <c r="W38" s="48"/>
      <c r="X38" s="48"/>
      <c r="Y38" s="48"/>
      <c r="Z38" s="48"/>
      <c r="AA38" s="48"/>
    </row>
    <row r="39" spans="1:27" x14ac:dyDescent="0.3">
      <c r="A39" s="94" t="s">
        <v>66</v>
      </c>
      <c r="B39" s="95" t="s">
        <v>553</v>
      </c>
      <c r="C39" s="73" t="str">
        <f>VLOOKUP(A39,'1-1 基本信息'!$A:$H,8,0)</f>
        <v>中层副职</v>
      </c>
      <c r="D39" s="95" t="str">
        <f t="shared" si="0"/>
        <v>信息化管理中心中层副职</v>
      </c>
      <c r="E39" s="94" t="s">
        <v>66</v>
      </c>
      <c r="F39" s="95" t="s">
        <v>802</v>
      </c>
      <c r="G39" s="95" t="s">
        <v>803</v>
      </c>
      <c r="H39" s="95" t="s">
        <v>804</v>
      </c>
      <c r="I39" s="95" t="s">
        <v>805</v>
      </c>
      <c r="J39" s="95" t="s">
        <v>806</v>
      </c>
      <c r="K39" s="95"/>
      <c r="N39" s="40" t="s">
        <v>165</v>
      </c>
      <c r="O39" s="42" t="s">
        <v>207</v>
      </c>
      <c r="P39" s="42" t="s">
        <v>238</v>
      </c>
      <c r="Q39" s="42" t="s">
        <v>269</v>
      </c>
      <c r="R39" s="42" t="s">
        <v>295</v>
      </c>
      <c r="S39" s="48"/>
      <c r="T39" s="48"/>
      <c r="U39" s="48"/>
      <c r="V39" s="48"/>
      <c r="W39" s="89"/>
      <c r="X39" s="89"/>
    </row>
    <row r="40" spans="1:27" x14ac:dyDescent="0.3">
      <c r="A40" s="94" t="s">
        <v>414</v>
      </c>
      <c r="B40" s="95" t="s">
        <v>554</v>
      </c>
      <c r="C40" s="73" t="str">
        <f>VLOOKUP(A40,'1-1 基本信息'!$A:$H,8,0)</f>
        <v>中层正职</v>
      </c>
      <c r="D40" s="95" t="str">
        <f t="shared" si="0"/>
        <v>档案管理中心中层正职</v>
      </c>
      <c r="E40" s="94" t="s">
        <v>414</v>
      </c>
      <c r="F40" s="95" t="s">
        <v>807</v>
      </c>
      <c r="G40" s="95" t="s">
        <v>808</v>
      </c>
      <c r="H40" s="95" t="s">
        <v>809</v>
      </c>
      <c r="I40" s="95"/>
      <c r="J40" s="95"/>
      <c r="K40" s="95"/>
      <c r="N40" s="40" t="s">
        <v>166</v>
      </c>
      <c r="O40" s="42" t="s">
        <v>208</v>
      </c>
      <c r="P40" s="42" t="s">
        <v>239</v>
      </c>
      <c r="Q40" s="42" t="s">
        <v>270</v>
      </c>
      <c r="R40" s="42" t="s">
        <v>296</v>
      </c>
      <c r="S40" s="48"/>
      <c r="T40" s="48"/>
      <c r="U40" s="48"/>
      <c r="V40" s="48"/>
      <c r="W40" s="89"/>
      <c r="X40" s="89"/>
      <c r="Y40" s="48"/>
      <c r="Z40" s="48"/>
      <c r="AA40" s="48"/>
    </row>
    <row r="41" spans="1:27" x14ac:dyDescent="0.3">
      <c r="A41" s="94" t="s">
        <v>64</v>
      </c>
      <c r="B41" s="95" t="s">
        <v>29</v>
      </c>
      <c r="C41" s="73" t="str">
        <f>VLOOKUP(A41,'1-1 基本信息'!$A:$H,8,0)</f>
        <v>中层正职</v>
      </c>
      <c r="D41" s="95" t="str">
        <f t="shared" si="0"/>
        <v>采气一厂中层正职</v>
      </c>
      <c r="E41" s="94" t="s">
        <v>64</v>
      </c>
      <c r="F41" s="95" t="s">
        <v>305</v>
      </c>
      <c r="G41" s="95" t="s">
        <v>722</v>
      </c>
      <c r="H41" s="95" t="s">
        <v>763</v>
      </c>
      <c r="I41" s="95" t="s">
        <v>294</v>
      </c>
      <c r="J41" s="95" t="s">
        <v>810</v>
      </c>
      <c r="K41" s="95"/>
      <c r="N41" s="40" t="s">
        <v>167</v>
      </c>
      <c r="O41" s="42" t="s">
        <v>209</v>
      </c>
      <c r="P41" s="42" t="s">
        <v>240</v>
      </c>
      <c r="Q41" s="42" t="s">
        <v>271</v>
      </c>
      <c r="R41" s="42" t="s">
        <v>297</v>
      </c>
      <c r="S41" s="42" t="s">
        <v>317</v>
      </c>
      <c r="T41" s="42" t="s">
        <v>333</v>
      </c>
      <c r="U41" s="48"/>
      <c r="V41" s="48"/>
      <c r="W41" s="89"/>
      <c r="X41" s="89"/>
      <c r="Y41" s="48"/>
      <c r="Z41" s="48"/>
      <c r="AA41" s="48"/>
    </row>
    <row r="42" spans="1:27" x14ac:dyDescent="0.3">
      <c r="A42" s="94" t="s">
        <v>84</v>
      </c>
      <c r="B42" s="95" t="s">
        <v>30</v>
      </c>
      <c r="C42" s="73" t="str">
        <f>VLOOKUP(A42,'1-1 基本信息'!$A:$H,8,0)</f>
        <v>党委书记</v>
      </c>
      <c r="D42" s="95" t="str">
        <f t="shared" si="0"/>
        <v>采气二厂党委书记</v>
      </c>
      <c r="E42" s="94" t="s">
        <v>84</v>
      </c>
      <c r="F42" s="95" t="s">
        <v>811</v>
      </c>
      <c r="G42" s="95" t="s">
        <v>812</v>
      </c>
      <c r="H42" s="95" t="s">
        <v>763</v>
      </c>
      <c r="I42" s="95" t="s">
        <v>810</v>
      </c>
      <c r="J42" s="95"/>
      <c r="K42" s="95"/>
      <c r="N42" s="40" t="s">
        <v>168</v>
      </c>
      <c r="O42" s="42" t="s">
        <v>210</v>
      </c>
      <c r="P42" s="42" t="s">
        <v>241</v>
      </c>
      <c r="Q42" s="42" t="s">
        <v>272</v>
      </c>
      <c r="R42" s="42" t="s">
        <v>298</v>
      </c>
      <c r="S42" s="42" t="s">
        <v>318</v>
      </c>
      <c r="T42" s="42" t="s">
        <v>334</v>
      </c>
      <c r="U42" s="48"/>
      <c r="V42" s="48"/>
      <c r="W42" s="89"/>
      <c r="X42" s="89"/>
      <c r="Y42" s="48"/>
      <c r="Z42" s="48"/>
      <c r="AA42" s="48"/>
    </row>
    <row r="43" spans="1:27" x14ac:dyDescent="0.3">
      <c r="A43" s="94" t="s">
        <v>91</v>
      </c>
      <c r="B43" s="95" t="s">
        <v>29</v>
      </c>
      <c r="C43" s="73" t="str">
        <f>VLOOKUP(A43,'1-1 基本信息'!$A:$H,8,0)</f>
        <v>中层副职</v>
      </c>
      <c r="D43" s="95" t="str">
        <f t="shared" si="0"/>
        <v>采气一厂中层副职</v>
      </c>
      <c r="E43" s="94" t="s">
        <v>91</v>
      </c>
      <c r="F43" s="95" t="s">
        <v>305</v>
      </c>
      <c r="G43" s="95" t="s">
        <v>763</v>
      </c>
      <c r="H43" s="95" t="s">
        <v>810</v>
      </c>
      <c r="I43" s="95"/>
      <c r="J43" s="95"/>
      <c r="K43" s="95"/>
      <c r="N43" s="40" t="s">
        <v>169</v>
      </c>
      <c r="O43" s="42" t="s">
        <v>211</v>
      </c>
      <c r="P43" s="42" t="s">
        <v>242</v>
      </c>
      <c r="Q43" s="48"/>
      <c r="R43" s="48"/>
      <c r="S43" s="48"/>
      <c r="T43" s="48"/>
      <c r="U43" s="48"/>
      <c r="V43" s="48"/>
      <c r="W43" s="89"/>
      <c r="X43" s="90"/>
      <c r="Y43" s="48"/>
      <c r="Z43" s="48"/>
      <c r="AA43" s="48"/>
    </row>
    <row r="44" spans="1:27" x14ac:dyDescent="0.3">
      <c r="A44" s="94" t="s">
        <v>96</v>
      </c>
      <c r="B44" s="95" t="s">
        <v>29</v>
      </c>
      <c r="C44" s="73" t="str">
        <f>VLOOKUP(A44,'1-1 基本信息'!$A:$H,8,0)</f>
        <v>中层副职</v>
      </c>
      <c r="D44" s="95" t="str">
        <f t="shared" si="0"/>
        <v>采气一厂中层副职</v>
      </c>
      <c r="E44" s="94" t="s">
        <v>96</v>
      </c>
      <c r="F44" s="95" t="s">
        <v>722</v>
      </c>
      <c r="G44" s="95" t="s">
        <v>813</v>
      </c>
      <c r="H44" s="95" t="s">
        <v>763</v>
      </c>
      <c r="I44" s="95" t="s">
        <v>810</v>
      </c>
      <c r="J44" s="95"/>
      <c r="K44" s="95"/>
      <c r="N44" s="40" t="s">
        <v>170</v>
      </c>
      <c r="O44" s="42" t="s">
        <v>212</v>
      </c>
      <c r="P44" s="42" t="s">
        <v>243</v>
      </c>
      <c r="Q44" s="42" t="s">
        <v>273</v>
      </c>
      <c r="R44" s="42" t="s">
        <v>299</v>
      </c>
      <c r="S44" s="42" t="s">
        <v>319</v>
      </c>
      <c r="T44" s="48"/>
      <c r="U44" s="48"/>
      <c r="V44" s="48"/>
      <c r="W44" s="89"/>
      <c r="X44" s="90"/>
      <c r="Y44" s="48"/>
      <c r="Z44" s="48"/>
      <c r="AA44" s="48"/>
    </row>
    <row r="45" spans="1:27" x14ac:dyDescent="0.3">
      <c r="A45" s="94" t="s">
        <v>52</v>
      </c>
      <c r="B45" s="95" t="s">
        <v>29</v>
      </c>
      <c r="C45" s="73" t="str">
        <f>VLOOKUP(A45,'1-1 基本信息'!$A:$H,8,0)</f>
        <v>中层副职</v>
      </c>
      <c r="D45" s="95" t="str">
        <f t="shared" si="0"/>
        <v>采气一厂中层副职</v>
      </c>
      <c r="E45" s="94" t="s">
        <v>52</v>
      </c>
      <c r="F45" s="95" t="s">
        <v>811</v>
      </c>
      <c r="G45" s="95" t="s">
        <v>812</v>
      </c>
      <c r="H45" s="95" t="s">
        <v>763</v>
      </c>
      <c r="I45" s="95" t="s">
        <v>810</v>
      </c>
      <c r="J45" s="95"/>
      <c r="K45" s="95"/>
      <c r="N45" s="40" t="s">
        <v>171</v>
      </c>
      <c r="O45" s="42" t="s">
        <v>213</v>
      </c>
      <c r="P45" s="42" t="s">
        <v>244</v>
      </c>
      <c r="Q45" s="42" t="s">
        <v>274</v>
      </c>
      <c r="R45" s="42" t="s">
        <v>300</v>
      </c>
      <c r="S45" s="42" t="s">
        <v>320</v>
      </c>
      <c r="T45" s="48"/>
      <c r="U45" s="48"/>
      <c r="V45" s="48"/>
      <c r="W45" s="89"/>
      <c r="X45" s="90"/>
      <c r="Y45" s="41"/>
      <c r="Z45" s="44"/>
      <c r="AA45" s="44"/>
    </row>
    <row r="46" spans="1:27" x14ac:dyDescent="0.3">
      <c r="A46" s="94" t="s">
        <v>124</v>
      </c>
      <c r="B46" s="95" t="s">
        <v>29</v>
      </c>
      <c r="C46" s="73" t="str">
        <f>VLOOKUP(A46,'1-1 基本信息'!$A:$H,8,0)</f>
        <v>中层副职</v>
      </c>
      <c r="D46" s="95" t="str">
        <f t="shared" si="0"/>
        <v>采气一厂中层副职</v>
      </c>
      <c r="E46" s="94" t="s">
        <v>124</v>
      </c>
      <c r="F46" s="95" t="s">
        <v>294</v>
      </c>
      <c r="G46" s="95" t="s">
        <v>763</v>
      </c>
      <c r="H46" s="95"/>
      <c r="I46" s="95"/>
      <c r="J46" s="95"/>
      <c r="K46" s="95"/>
      <c r="N46" s="40" t="s">
        <v>172</v>
      </c>
      <c r="O46" s="42" t="s">
        <v>214</v>
      </c>
      <c r="P46" s="42" t="s">
        <v>245</v>
      </c>
      <c r="Q46" s="42" t="s">
        <v>275</v>
      </c>
      <c r="R46" s="42" t="s">
        <v>301</v>
      </c>
      <c r="S46" s="42" t="s">
        <v>321</v>
      </c>
      <c r="T46" s="42" t="s">
        <v>335</v>
      </c>
      <c r="U46" s="48"/>
      <c r="V46" s="48"/>
      <c r="W46" s="89"/>
      <c r="X46" s="90"/>
      <c r="Y46" s="48"/>
      <c r="Z46" s="48"/>
      <c r="AA46" s="48"/>
    </row>
    <row r="47" spans="1:27" x14ac:dyDescent="0.3">
      <c r="A47" s="94" t="s">
        <v>65</v>
      </c>
      <c r="B47" s="95" t="s">
        <v>29</v>
      </c>
      <c r="C47" s="73" t="str">
        <f>VLOOKUP(A47,'1-1 基本信息'!$A:$H,8,0)</f>
        <v>中层副职</v>
      </c>
      <c r="D47" s="95" t="str">
        <f t="shared" si="0"/>
        <v>采气一厂中层副职</v>
      </c>
      <c r="E47" s="94" t="s">
        <v>65</v>
      </c>
      <c r="F47" s="95" t="s">
        <v>763</v>
      </c>
      <c r="G47" s="95"/>
      <c r="H47" s="95"/>
      <c r="I47" s="95"/>
      <c r="J47" s="95"/>
      <c r="K47" s="95"/>
      <c r="N47" s="40" t="s">
        <v>173</v>
      </c>
      <c r="O47" s="42" t="s">
        <v>215</v>
      </c>
      <c r="P47" s="42" t="s">
        <v>246</v>
      </c>
      <c r="Q47" s="42" t="s">
        <v>276</v>
      </c>
      <c r="R47" s="42" t="s">
        <v>302</v>
      </c>
      <c r="S47" s="42" t="s">
        <v>322</v>
      </c>
      <c r="T47" s="42" t="s">
        <v>336</v>
      </c>
      <c r="U47" s="48"/>
      <c r="V47" s="48"/>
      <c r="W47" s="89"/>
      <c r="X47" s="90"/>
      <c r="Y47" s="44"/>
      <c r="Z47" s="48"/>
      <c r="AA47" s="48"/>
    </row>
    <row r="48" spans="1:27" x14ac:dyDescent="0.3">
      <c r="A48" s="94" t="s">
        <v>114</v>
      </c>
      <c r="B48" s="95" t="s">
        <v>30</v>
      </c>
      <c r="C48" s="73" t="str">
        <f>VLOOKUP(A48,'1-1 基本信息'!$A:$H,8,0)</f>
        <v>中层正职</v>
      </c>
      <c r="D48" s="95" t="str">
        <f t="shared" si="0"/>
        <v>采气二厂中层正职</v>
      </c>
      <c r="E48" s="94" t="s">
        <v>114</v>
      </c>
      <c r="F48" s="95" t="s">
        <v>305</v>
      </c>
      <c r="G48" s="95" t="s">
        <v>722</v>
      </c>
      <c r="H48" s="95" t="s">
        <v>763</v>
      </c>
      <c r="I48" s="95" t="s">
        <v>294</v>
      </c>
      <c r="J48" s="95" t="s">
        <v>810</v>
      </c>
      <c r="K48" s="95"/>
      <c r="N48" s="40" t="s">
        <v>174</v>
      </c>
      <c r="O48" s="42" t="s">
        <v>216</v>
      </c>
      <c r="P48" s="42" t="s">
        <v>247</v>
      </c>
      <c r="Q48" s="42" t="s">
        <v>277</v>
      </c>
      <c r="R48" s="42" t="s">
        <v>303</v>
      </c>
      <c r="S48" s="42" t="s">
        <v>323</v>
      </c>
      <c r="T48" s="42" t="s">
        <v>337</v>
      </c>
      <c r="U48" s="42" t="s">
        <v>343</v>
      </c>
      <c r="V48" s="42" t="s">
        <v>347</v>
      </c>
      <c r="Y48" s="48"/>
      <c r="Z48" s="48"/>
      <c r="AA48" s="48"/>
    </row>
    <row r="49" spans="1:27" x14ac:dyDescent="0.3">
      <c r="A49" s="94" t="s">
        <v>41</v>
      </c>
      <c r="B49" s="95" t="s">
        <v>30</v>
      </c>
      <c r="C49" s="73" t="str">
        <f>VLOOKUP(A49,'1-1 基本信息'!$A:$H,8,0)</f>
        <v>党委书记</v>
      </c>
      <c r="D49" s="95" t="str">
        <f t="shared" si="0"/>
        <v>采气二厂党委书记</v>
      </c>
      <c r="E49" s="94" t="s">
        <v>41</v>
      </c>
      <c r="F49" s="95" t="s">
        <v>294</v>
      </c>
      <c r="G49" s="95" t="s">
        <v>763</v>
      </c>
      <c r="H49" s="95" t="s">
        <v>810</v>
      </c>
      <c r="I49" s="95"/>
      <c r="J49" s="95"/>
      <c r="K49" s="95"/>
      <c r="N49" s="40" t="s">
        <v>175</v>
      </c>
      <c r="O49" s="42" t="s">
        <v>217</v>
      </c>
      <c r="P49" s="42" t="s">
        <v>248</v>
      </c>
      <c r="Q49" s="42" t="s">
        <v>278</v>
      </c>
      <c r="R49" s="48"/>
      <c r="S49" s="48"/>
      <c r="T49" s="48"/>
      <c r="U49" s="48"/>
      <c r="V49" s="48"/>
      <c r="W49" s="48"/>
      <c r="X49" s="48"/>
      <c r="Y49" s="48"/>
      <c r="Z49" s="48"/>
      <c r="AA49" s="48"/>
    </row>
    <row r="50" spans="1:27" x14ac:dyDescent="0.3">
      <c r="A50" s="94" t="s">
        <v>59</v>
      </c>
      <c r="B50" s="95" t="s">
        <v>30</v>
      </c>
      <c r="C50" s="73" t="str">
        <f>VLOOKUP(A50,'1-1 基本信息'!$A:$H,8,0)</f>
        <v>中层副职</v>
      </c>
      <c r="D50" s="95" t="str">
        <f t="shared" si="0"/>
        <v>采气二厂中层副职</v>
      </c>
      <c r="E50" s="94" t="s">
        <v>59</v>
      </c>
      <c r="F50" s="95" t="s">
        <v>305</v>
      </c>
      <c r="G50" s="95" t="s">
        <v>722</v>
      </c>
      <c r="H50" s="95" t="s">
        <v>763</v>
      </c>
      <c r="I50" s="95" t="s">
        <v>810</v>
      </c>
      <c r="J50" s="95"/>
      <c r="K50" s="95"/>
      <c r="W50" s="48"/>
      <c r="X50" s="48"/>
      <c r="Y50" s="48"/>
      <c r="Z50" s="48"/>
      <c r="AA50" s="48"/>
    </row>
    <row r="51" spans="1:27" x14ac:dyDescent="0.3">
      <c r="A51" s="94" t="s">
        <v>54</v>
      </c>
      <c r="B51" s="95" t="s">
        <v>30</v>
      </c>
      <c r="C51" s="73" t="str">
        <f>VLOOKUP(A51,'1-1 基本信息'!$A:$H,8,0)</f>
        <v>中层副职</v>
      </c>
      <c r="D51" s="95" t="str">
        <f t="shared" si="0"/>
        <v>采气二厂中层副职</v>
      </c>
      <c r="E51" s="94" t="s">
        <v>54</v>
      </c>
      <c r="F51" s="95" t="s">
        <v>811</v>
      </c>
      <c r="G51" s="95" t="s">
        <v>812</v>
      </c>
      <c r="H51" s="95" t="s">
        <v>763</v>
      </c>
      <c r="I51" s="95" t="s">
        <v>810</v>
      </c>
      <c r="J51" s="95"/>
      <c r="K51" s="95"/>
      <c r="V51" s="43"/>
      <c r="W51" s="48"/>
      <c r="X51" s="48"/>
      <c r="Y51" s="48"/>
      <c r="Z51" s="48"/>
      <c r="AA51" s="48"/>
    </row>
    <row r="52" spans="1:27" x14ac:dyDescent="0.3">
      <c r="A52" s="94" t="s">
        <v>45</v>
      </c>
      <c r="B52" s="95" t="s">
        <v>30</v>
      </c>
      <c r="C52" s="73" t="str">
        <f>VLOOKUP(A52,'1-1 基本信息'!$A:$H,8,0)</f>
        <v>中层副职</v>
      </c>
      <c r="D52" s="95" t="str">
        <f t="shared" si="0"/>
        <v>采气二厂中层副职</v>
      </c>
      <c r="E52" s="94" t="s">
        <v>45</v>
      </c>
      <c r="F52" s="95" t="s">
        <v>294</v>
      </c>
      <c r="G52" s="95" t="s">
        <v>763</v>
      </c>
      <c r="H52" s="95"/>
      <c r="I52" s="95"/>
      <c r="J52" s="95"/>
      <c r="K52" s="95"/>
      <c r="N52" s="39" t="s">
        <v>20</v>
      </c>
      <c r="O52" s="41" t="s">
        <v>188</v>
      </c>
      <c r="P52" s="41" t="s">
        <v>218</v>
      </c>
      <c r="Q52" s="41" t="s">
        <v>249</v>
      </c>
      <c r="R52" s="41"/>
      <c r="S52" s="44"/>
      <c r="T52" s="44"/>
      <c r="U52" s="44"/>
      <c r="V52" s="43"/>
      <c r="W52" s="48"/>
      <c r="X52" s="48"/>
      <c r="Y52" s="48"/>
      <c r="Z52" s="48"/>
      <c r="AA52" s="48"/>
    </row>
    <row r="53" spans="1:27" x14ac:dyDescent="0.3">
      <c r="A53" s="94" t="s">
        <v>417</v>
      </c>
      <c r="B53" s="95" t="s">
        <v>30</v>
      </c>
      <c r="C53" s="73" t="str">
        <f>VLOOKUP(A53,'1-1 基本信息'!$A:$H,8,0)</f>
        <v>中层副职</v>
      </c>
      <c r="D53" s="95" t="str">
        <f t="shared" si="0"/>
        <v>采气二厂中层副职</v>
      </c>
      <c r="E53" s="94" t="s">
        <v>417</v>
      </c>
      <c r="F53" s="95" t="s">
        <v>763</v>
      </c>
      <c r="G53" s="95"/>
      <c r="H53" s="95"/>
      <c r="I53" s="95"/>
      <c r="J53" s="95"/>
      <c r="K53" s="95"/>
      <c r="N53" s="40" t="s">
        <v>144</v>
      </c>
      <c r="O53" s="42" t="s">
        <v>189</v>
      </c>
      <c r="P53" s="42" t="s">
        <v>219</v>
      </c>
      <c r="Q53" s="42" t="s">
        <v>250</v>
      </c>
      <c r="R53" s="42"/>
      <c r="S53" s="42"/>
      <c r="T53" s="42"/>
      <c r="U53" s="43"/>
      <c r="V53" s="43"/>
      <c r="W53" s="48"/>
      <c r="X53" s="48"/>
      <c r="Y53" s="48"/>
      <c r="Z53" s="48"/>
      <c r="AA53" s="48"/>
    </row>
    <row r="54" spans="1:27" x14ac:dyDescent="0.3">
      <c r="A54" s="94" t="s">
        <v>419</v>
      </c>
      <c r="B54" s="95" t="s">
        <v>146</v>
      </c>
      <c r="C54" s="73" t="str">
        <f>VLOOKUP(A54,'1-1 基本信息'!$A:$H,8,0)</f>
        <v>中层正职</v>
      </c>
      <c r="D54" s="95" t="str">
        <f t="shared" si="0"/>
        <v>采油一厂   中层正职</v>
      </c>
      <c r="E54" s="94" t="s">
        <v>419</v>
      </c>
      <c r="F54" s="95" t="s">
        <v>305</v>
      </c>
      <c r="G54" s="95" t="s">
        <v>722</v>
      </c>
      <c r="H54" s="95" t="s">
        <v>812</v>
      </c>
      <c r="I54" s="95" t="s">
        <v>763</v>
      </c>
      <c r="J54" s="95" t="s">
        <v>810</v>
      </c>
      <c r="K54" s="95"/>
      <c r="N54" s="40" t="s">
        <v>145</v>
      </c>
      <c r="O54" s="42" t="s">
        <v>190</v>
      </c>
      <c r="P54" s="42" t="s">
        <v>220</v>
      </c>
      <c r="Q54" s="42"/>
      <c r="R54" s="43"/>
      <c r="S54" s="42"/>
      <c r="T54" s="43"/>
      <c r="U54" s="43"/>
      <c r="V54" s="41"/>
      <c r="W54" s="41"/>
      <c r="X54" s="41"/>
      <c r="Y54" s="48"/>
      <c r="Z54" s="48"/>
      <c r="AA54" s="48"/>
    </row>
    <row r="55" spans="1:27" x14ac:dyDescent="0.3">
      <c r="A55" s="94" t="s">
        <v>83</v>
      </c>
      <c r="B55" s="95" t="s">
        <v>146</v>
      </c>
      <c r="C55" s="73" t="str">
        <f>VLOOKUP(A55,'1-1 基本信息'!$A:$H,8,0)</f>
        <v>党委书记</v>
      </c>
      <c r="D55" s="95" t="str">
        <f t="shared" si="0"/>
        <v>采油一厂   党委书记</v>
      </c>
      <c r="E55" s="94" t="s">
        <v>83</v>
      </c>
      <c r="F55" s="95" t="s">
        <v>294</v>
      </c>
      <c r="G55" s="95" t="s">
        <v>763</v>
      </c>
      <c r="H55" s="95" t="s">
        <v>810</v>
      </c>
      <c r="I55" s="95"/>
      <c r="J55" s="95"/>
      <c r="K55" s="95"/>
      <c r="N55" s="40" t="s">
        <v>30</v>
      </c>
      <c r="O55" s="42" t="s">
        <v>190</v>
      </c>
      <c r="P55" s="42" t="s">
        <v>220</v>
      </c>
      <c r="Q55" s="42"/>
      <c r="R55" s="43"/>
      <c r="S55" s="42"/>
      <c r="T55" s="43"/>
      <c r="U55" s="43"/>
      <c r="V55" s="44"/>
      <c r="W55" s="48"/>
      <c r="X55" s="48"/>
      <c r="Y55" s="48"/>
      <c r="Z55" s="48"/>
      <c r="AA55" s="48"/>
    </row>
    <row r="56" spans="1:27" x14ac:dyDescent="0.3">
      <c r="A56" s="94" t="s">
        <v>128</v>
      </c>
      <c r="B56" s="95" t="s">
        <v>146</v>
      </c>
      <c r="C56" s="73" t="str">
        <f>VLOOKUP(A56,'1-1 基本信息'!$A:$H,8,0)</f>
        <v>中层副职</v>
      </c>
      <c r="D56" s="95" t="str">
        <f t="shared" si="0"/>
        <v>采油一厂   中层副职</v>
      </c>
      <c r="E56" s="94" t="s">
        <v>128</v>
      </c>
      <c r="F56" s="95" t="s">
        <v>294</v>
      </c>
      <c r="G56" s="95" t="s">
        <v>763</v>
      </c>
      <c r="H56" s="95"/>
      <c r="I56" s="95"/>
      <c r="J56" s="95"/>
      <c r="K56" s="95"/>
      <c r="N56" s="40" t="s">
        <v>701</v>
      </c>
      <c r="O56" s="42" t="s">
        <v>190</v>
      </c>
      <c r="P56" s="42" t="s">
        <v>220</v>
      </c>
      <c r="Q56" s="42"/>
      <c r="R56" s="43"/>
      <c r="S56" s="42"/>
      <c r="T56" s="43"/>
      <c r="U56" s="43"/>
      <c r="V56" s="41"/>
      <c r="W56" s="41"/>
      <c r="X56" s="44"/>
      <c r="AA56" s="48"/>
    </row>
    <row r="57" spans="1:27" x14ac:dyDescent="0.3">
      <c r="A57" s="94" t="s">
        <v>119</v>
      </c>
      <c r="B57" s="95" t="s">
        <v>146</v>
      </c>
      <c r="C57" s="73" t="str">
        <f>VLOOKUP(A57,'1-1 基本信息'!$A:$H,8,0)</f>
        <v>中层副职</v>
      </c>
      <c r="D57" s="95" t="str">
        <f t="shared" si="0"/>
        <v>采油一厂   中层副职</v>
      </c>
      <c r="E57" s="94" t="s">
        <v>119</v>
      </c>
      <c r="F57" s="95" t="s">
        <v>763</v>
      </c>
      <c r="G57" s="95"/>
      <c r="H57" s="95"/>
      <c r="I57" s="95"/>
      <c r="J57" s="95"/>
      <c r="K57" s="95"/>
      <c r="N57" s="39" t="s">
        <v>147</v>
      </c>
      <c r="O57" s="41" t="s">
        <v>191</v>
      </c>
      <c r="P57" s="41" t="s">
        <v>221</v>
      </c>
      <c r="Q57" s="41" t="s">
        <v>252</v>
      </c>
      <c r="R57" s="41" t="s">
        <v>282</v>
      </c>
      <c r="S57" s="41" t="s">
        <v>306</v>
      </c>
      <c r="T57" s="41"/>
      <c r="U57" s="41"/>
      <c r="V57" s="43"/>
      <c r="W57" s="43"/>
      <c r="X57" s="43"/>
      <c r="Y57" s="48"/>
      <c r="Z57" s="48"/>
      <c r="AA57" s="48"/>
    </row>
    <row r="58" spans="1:27" x14ac:dyDescent="0.3">
      <c r="A58" s="94" t="s">
        <v>67</v>
      </c>
      <c r="B58" s="95" t="s">
        <v>32</v>
      </c>
      <c r="C58" s="73" t="str">
        <f>VLOOKUP(A58,'1-1 基本信息'!$A:$H,8,0)</f>
        <v>中层正职</v>
      </c>
      <c r="D58" s="95" t="str">
        <f t="shared" si="0"/>
        <v>勘探开发研究院中层正职</v>
      </c>
      <c r="E58" s="94" t="s">
        <v>67</v>
      </c>
      <c r="F58" s="95" t="s">
        <v>760</v>
      </c>
      <c r="G58" s="95" t="s">
        <v>761</v>
      </c>
      <c r="H58" s="95" t="s">
        <v>762</v>
      </c>
      <c r="I58" s="95" t="s">
        <v>814</v>
      </c>
      <c r="J58" s="95" t="s">
        <v>763</v>
      </c>
      <c r="K58" s="95"/>
      <c r="N58" s="39" t="s">
        <v>148</v>
      </c>
      <c r="O58" s="41" t="s">
        <v>192</v>
      </c>
      <c r="P58" s="41" t="s">
        <v>222</v>
      </c>
      <c r="Q58" s="41" t="s">
        <v>253</v>
      </c>
      <c r="R58" s="41"/>
      <c r="S58" s="41"/>
      <c r="T58" s="41"/>
      <c r="U58" s="44"/>
      <c r="V58" s="48"/>
      <c r="W58" s="48"/>
      <c r="X58" s="48"/>
      <c r="Y58" s="48"/>
      <c r="Z58" s="48"/>
      <c r="AA58" s="48"/>
    </row>
    <row r="59" spans="1:27" x14ac:dyDescent="0.3">
      <c r="A59" s="94" t="s">
        <v>85</v>
      </c>
      <c r="B59" s="95" t="s">
        <v>32</v>
      </c>
      <c r="C59" s="73" t="str">
        <f>VLOOKUP(A59,'1-1 基本信息'!$A:$H,8,0)</f>
        <v>党委书记</v>
      </c>
      <c r="D59" s="95" t="str">
        <f t="shared" si="0"/>
        <v>勘探开发研究院党委书记</v>
      </c>
      <c r="E59" s="94" t="s">
        <v>85</v>
      </c>
      <c r="F59" s="95" t="s">
        <v>294</v>
      </c>
      <c r="G59" s="95" t="s">
        <v>763</v>
      </c>
      <c r="H59" s="95" t="s">
        <v>810</v>
      </c>
      <c r="I59" s="95"/>
      <c r="J59" s="95"/>
      <c r="K59" s="95"/>
      <c r="N59" s="39" t="s">
        <v>149</v>
      </c>
      <c r="O59" s="41" t="s">
        <v>193</v>
      </c>
      <c r="P59" s="41" t="s">
        <v>223</v>
      </c>
      <c r="Q59" s="41" t="s">
        <v>254</v>
      </c>
      <c r="R59" s="41"/>
      <c r="S59" s="41"/>
      <c r="T59" s="41"/>
      <c r="U59" s="41"/>
      <c r="V59" s="48"/>
      <c r="W59" s="48"/>
      <c r="X59" s="48"/>
      <c r="Y59" s="48"/>
      <c r="Z59" s="48"/>
      <c r="AA59" s="48"/>
    </row>
    <row r="60" spans="1:27" x14ac:dyDescent="0.3">
      <c r="A60" s="94" t="s">
        <v>105</v>
      </c>
      <c r="B60" s="95" t="s">
        <v>32</v>
      </c>
      <c r="C60" s="73" t="str">
        <f>VLOOKUP(A60,'1-1 基本信息'!$A:$H,8,0)</f>
        <v>中层副职</v>
      </c>
      <c r="D60" s="95" t="str">
        <f t="shared" si="0"/>
        <v>勘探开发研究院中层副职</v>
      </c>
      <c r="E60" s="94" t="s">
        <v>105</v>
      </c>
      <c r="F60" s="95" t="s">
        <v>760</v>
      </c>
      <c r="G60" s="95" t="s">
        <v>761</v>
      </c>
      <c r="H60" s="95" t="s">
        <v>762</v>
      </c>
      <c r="I60" s="95" t="s">
        <v>814</v>
      </c>
      <c r="J60" s="95" t="s">
        <v>763</v>
      </c>
      <c r="K60" s="95"/>
      <c r="N60" s="39" t="s">
        <v>150</v>
      </c>
      <c r="O60" s="43" t="s">
        <v>194</v>
      </c>
      <c r="P60" s="43" t="s">
        <v>224</v>
      </c>
      <c r="Q60" s="43" t="s">
        <v>255</v>
      </c>
      <c r="R60" s="43" t="s">
        <v>284</v>
      </c>
      <c r="S60" s="43"/>
      <c r="T60" s="43"/>
      <c r="U60" s="43"/>
      <c r="V60" s="43"/>
      <c r="W60" s="48"/>
      <c r="X60" s="48"/>
      <c r="Y60" s="48"/>
      <c r="Z60" s="48"/>
      <c r="AA60" s="48"/>
    </row>
    <row r="61" spans="1:27" x14ac:dyDescent="0.3">
      <c r="A61" s="94" t="s">
        <v>55</v>
      </c>
      <c r="B61" s="95" t="s">
        <v>32</v>
      </c>
      <c r="C61" s="73" t="str">
        <f>VLOOKUP(A61,'1-1 基本信息'!$A:$H,8,0)</f>
        <v>中层副职</v>
      </c>
      <c r="D61" s="95" t="str">
        <f t="shared" si="0"/>
        <v>勘探开发研究院中层副职</v>
      </c>
      <c r="E61" s="94" t="s">
        <v>55</v>
      </c>
      <c r="F61" s="95" t="s">
        <v>760</v>
      </c>
      <c r="G61" s="95" t="s">
        <v>761</v>
      </c>
      <c r="H61" s="95" t="s">
        <v>762</v>
      </c>
      <c r="I61" s="95" t="s">
        <v>814</v>
      </c>
      <c r="J61" s="95" t="s">
        <v>763</v>
      </c>
      <c r="K61" s="95"/>
      <c r="N61" s="39" t="s">
        <v>151</v>
      </c>
      <c r="O61" s="43" t="s">
        <v>195</v>
      </c>
      <c r="P61" s="43"/>
      <c r="Q61" s="43"/>
      <c r="R61" s="43"/>
      <c r="S61" s="43"/>
      <c r="T61" s="43"/>
      <c r="U61" s="48"/>
      <c r="V61" s="48"/>
      <c r="W61" s="48"/>
      <c r="X61" s="48"/>
      <c r="Y61" s="48"/>
      <c r="Z61" s="48"/>
      <c r="AA61" s="48"/>
    </row>
    <row r="62" spans="1:27" x14ac:dyDescent="0.3">
      <c r="A62" s="94" t="s">
        <v>69</v>
      </c>
      <c r="B62" s="95" t="s">
        <v>33</v>
      </c>
      <c r="C62" s="73" t="str">
        <f>VLOOKUP(A62,'1-1 基本信息'!$A:$H,8,0)</f>
        <v>中层正职</v>
      </c>
      <c r="D62" s="95" t="str">
        <f t="shared" si="0"/>
        <v>石油工程技术研究院中层正职</v>
      </c>
      <c r="E62" s="94" t="s">
        <v>69</v>
      </c>
      <c r="F62" s="95" t="s">
        <v>815</v>
      </c>
      <c r="G62" s="95" t="s">
        <v>816</v>
      </c>
      <c r="H62" s="95" t="s">
        <v>817</v>
      </c>
      <c r="I62" s="95" t="s">
        <v>818</v>
      </c>
      <c r="J62" s="95" t="s">
        <v>763</v>
      </c>
      <c r="K62" s="95"/>
      <c r="N62" s="39" t="s">
        <v>152</v>
      </c>
      <c r="O62" s="43" t="s">
        <v>226</v>
      </c>
      <c r="Q62" s="43"/>
      <c r="R62" s="43"/>
      <c r="S62" s="43"/>
      <c r="T62" s="43"/>
      <c r="U62" s="43"/>
      <c r="V62" s="48"/>
      <c r="W62" s="48"/>
      <c r="X62" s="48"/>
    </row>
    <row r="63" spans="1:27" x14ac:dyDescent="0.3">
      <c r="A63" s="94" t="s">
        <v>82</v>
      </c>
      <c r="B63" s="95" t="s">
        <v>33</v>
      </c>
      <c r="C63" s="73" t="str">
        <f>VLOOKUP(A63,'1-1 基本信息'!$A:$H,8,0)</f>
        <v>党委书记</v>
      </c>
      <c r="D63" s="95" t="str">
        <f t="shared" si="0"/>
        <v>石油工程技术研究院党委书记</v>
      </c>
      <c r="E63" s="94" t="s">
        <v>82</v>
      </c>
      <c r="F63" s="95" t="s">
        <v>294</v>
      </c>
      <c r="G63" s="95" t="s">
        <v>763</v>
      </c>
      <c r="H63" s="95"/>
      <c r="I63" s="95"/>
      <c r="J63" s="95"/>
      <c r="K63" s="95"/>
      <c r="N63" s="39" t="s">
        <v>153</v>
      </c>
      <c r="O63" s="43" t="s">
        <v>197</v>
      </c>
      <c r="P63" s="43"/>
      <c r="Q63" s="43"/>
      <c r="R63" s="43"/>
      <c r="S63" s="43"/>
      <c r="T63" s="43"/>
      <c r="U63" s="43"/>
      <c r="V63" s="48"/>
      <c r="W63" s="48"/>
      <c r="X63" s="48"/>
    </row>
    <row r="64" spans="1:27" x14ac:dyDescent="0.3">
      <c r="A64" s="94" t="s">
        <v>110</v>
      </c>
      <c r="B64" s="95" t="s">
        <v>33</v>
      </c>
      <c r="C64" s="73" t="str">
        <f>VLOOKUP(A64,'1-1 基本信息'!$A:$H,8,0)</f>
        <v>中层副职</v>
      </c>
      <c r="D64" s="95" t="str">
        <f t="shared" si="0"/>
        <v>石油工程技术研究院中层副职</v>
      </c>
      <c r="E64" s="94" t="s">
        <v>110</v>
      </c>
      <c r="F64" s="95" t="s">
        <v>815</v>
      </c>
      <c r="G64" s="95" t="s">
        <v>816</v>
      </c>
      <c r="H64" s="95" t="s">
        <v>817</v>
      </c>
      <c r="I64" s="95" t="s">
        <v>819</v>
      </c>
      <c r="J64" s="95" t="s">
        <v>763</v>
      </c>
      <c r="K64" s="95"/>
      <c r="N64" s="40" t="s">
        <v>154</v>
      </c>
      <c r="O64" s="43" t="s">
        <v>198</v>
      </c>
      <c r="P64" s="43" t="s">
        <v>228</v>
      </c>
      <c r="Q64" s="43" t="s">
        <v>259</v>
      </c>
      <c r="R64" s="43" t="s">
        <v>288</v>
      </c>
      <c r="S64" s="43"/>
      <c r="T64" s="43"/>
      <c r="U64" s="48"/>
      <c r="V64" s="48"/>
      <c r="W64" s="48"/>
      <c r="X64" s="48"/>
    </row>
    <row r="65" spans="1:24" x14ac:dyDescent="0.3">
      <c r="A65" s="94" t="s">
        <v>140</v>
      </c>
      <c r="B65" s="95" t="s">
        <v>33</v>
      </c>
      <c r="C65" s="73" t="str">
        <f>VLOOKUP(A65,'1-1 基本信息'!$A:$H,8,0)</f>
        <v>中层副职</v>
      </c>
      <c r="D65" s="95" t="str">
        <f t="shared" si="0"/>
        <v>石油工程技术研究院中层副职</v>
      </c>
      <c r="E65" s="94" t="s">
        <v>140</v>
      </c>
      <c r="F65" s="95" t="s">
        <v>815</v>
      </c>
      <c r="G65" s="95" t="s">
        <v>816</v>
      </c>
      <c r="H65" s="95" t="s">
        <v>817</v>
      </c>
      <c r="I65" s="95" t="s">
        <v>820</v>
      </c>
      <c r="J65" s="95" t="s">
        <v>763</v>
      </c>
      <c r="K65" s="95"/>
      <c r="N65" s="40" t="s">
        <v>155</v>
      </c>
      <c r="O65" s="43" t="s">
        <v>199</v>
      </c>
      <c r="P65" s="43" t="s">
        <v>229</v>
      </c>
      <c r="Q65" s="43" t="s">
        <v>260</v>
      </c>
      <c r="R65" s="43"/>
      <c r="S65" s="43"/>
      <c r="T65" s="48"/>
      <c r="U65" s="48"/>
    </row>
    <row r="66" spans="1:24" x14ac:dyDescent="0.3">
      <c r="A66" s="94" t="s">
        <v>80</v>
      </c>
      <c r="B66" s="95" t="s">
        <v>34</v>
      </c>
      <c r="C66" s="73" t="str">
        <f>VLOOKUP(A66,'1-1 基本信息'!$A:$H,8,0)</f>
        <v>中层正职</v>
      </c>
      <c r="D66" s="95" t="str">
        <f t="shared" si="0"/>
        <v>采油气工程服务中心中层正职</v>
      </c>
      <c r="E66" s="94" t="s">
        <v>80</v>
      </c>
      <c r="F66" s="95" t="s">
        <v>821</v>
      </c>
      <c r="G66" s="95" t="s">
        <v>822</v>
      </c>
      <c r="H66" s="95" t="s">
        <v>763</v>
      </c>
      <c r="I66" s="95" t="s">
        <v>294</v>
      </c>
      <c r="J66" s="95" t="s">
        <v>810</v>
      </c>
      <c r="K66" s="95"/>
      <c r="N66" s="40" t="s">
        <v>838</v>
      </c>
      <c r="O66" s="43" t="s">
        <v>199</v>
      </c>
      <c r="P66" s="43" t="s">
        <v>229</v>
      </c>
      <c r="Q66" s="43" t="s">
        <v>260</v>
      </c>
      <c r="R66" s="43"/>
      <c r="S66" s="43"/>
      <c r="T66" s="48"/>
      <c r="U66" s="48"/>
      <c r="V66" s="48"/>
      <c r="W66" s="48"/>
      <c r="X66" s="48"/>
    </row>
    <row r="67" spans="1:24" x14ac:dyDescent="0.3">
      <c r="A67" s="94" t="s">
        <v>131</v>
      </c>
      <c r="B67" s="95" t="s">
        <v>34</v>
      </c>
      <c r="C67" s="73" t="str">
        <f>VLOOKUP(A67,'1-1 基本信息'!$A:$H,8,0)</f>
        <v>党委书记</v>
      </c>
      <c r="D67" s="95" t="str">
        <f t="shared" si="0"/>
        <v>采油气工程服务中心党委书记</v>
      </c>
      <c r="E67" s="94" t="s">
        <v>131</v>
      </c>
      <c r="F67" s="95" t="s">
        <v>294</v>
      </c>
      <c r="G67" s="95" t="s">
        <v>763</v>
      </c>
      <c r="H67" s="95" t="s">
        <v>810</v>
      </c>
      <c r="I67" s="95"/>
      <c r="J67" s="95"/>
      <c r="K67" s="95"/>
      <c r="N67" s="40" t="s">
        <v>157</v>
      </c>
      <c r="O67" s="42" t="s">
        <v>200</v>
      </c>
      <c r="P67" s="42" t="s">
        <v>289</v>
      </c>
      <c r="Q67" s="42"/>
      <c r="S67" s="42"/>
      <c r="T67" s="43"/>
      <c r="U67" s="48"/>
      <c r="V67" s="42"/>
      <c r="W67" s="42"/>
      <c r="X67" s="42"/>
    </row>
    <row r="68" spans="1:24" x14ac:dyDescent="0.3">
      <c r="A68" s="94" t="s">
        <v>121</v>
      </c>
      <c r="B68" s="95" t="s">
        <v>34</v>
      </c>
      <c r="C68" s="73" t="str">
        <f>VLOOKUP(A68,'1-1 基本信息'!$A:$H,8,0)</f>
        <v>中层副职</v>
      </c>
      <c r="D68" s="95" t="str">
        <f t="shared" ref="D68:D131" si="1">B68&amp;C68</f>
        <v>采油气工程服务中心中层副职</v>
      </c>
      <c r="E68" s="94" t="s">
        <v>121</v>
      </c>
      <c r="F68" s="95" t="s">
        <v>821</v>
      </c>
      <c r="G68" s="95" t="s">
        <v>823</v>
      </c>
      <c r="H68" s="95" t="s">
        <v>824</v>
      </c>
      <c r="I68" s="95" t="s">
        <v>825</v>
      </c>
      <c r="J68" s="95" t="s">
        <v>810</v>
      </c>
      <c r="K68" s="95"/>
      <c r="N68" s="40" t="s">
        <v>558</v>
      </c>
      <c r="O68" s="42" t="s">
        <v>201</v>
      </c>
      <c r="P68" s="42" t="s">
        <v>231</v>
      </c>
      <c r="Q68" s="42" t="s">
        <v>290</v>
      </c>
      <c r="R68" s="42" t="s">
        <v>313</v>
      </c>
      <c r="S68" s="42" t="s">
        <v>285</v>
      </c>
      <c r="T68" s="43" t="s">
        <v>294</v>
      </c>
      <c r="U68" s="42" t="s">
        <v>206</v>
      </c>
      <c r="V68" s="42" t="s">
        <v>237</v>
      </c>
      <c r="W68" s="42" t="s">
        <v>268</v>
      </c>
      <c r="X68" s="48"/>
    </row>
    <row r="69" spans="1:24" x14ac:dyDescent="0.3">
      <c r="A69" s="94" t="s">
        <v>98</v>
      </c>
      <c r="B69" s="95" t="s">
        <v>34</v>
      </c>
      <c r="C69" s="73" t="str">
        <f>VLOOKUP(A69,'1-1 基本信息'!$A:$H,8,0)</f>
        <v>中层副职</v>
      </c>
      <c r="D69" s="95" t="str">
        <f t="shared" si="1"/>
        <v>采油气工程服务中心中层副职</v>
      </c>
      <c r="E69" s="94" t="s">
        <v>98</v>
      </c>
      <c r="F69" s="95" t="s">
        <v>294</v>
      </c>
      <c r="G69" s="95" t="s">
        <v>826</v>
      </c>
      <c r="H69" s="95" t="s">
        <v>763</v>
      </c>
      <c r="I69" s="95"/>
      <c r="J69" s="95"/>
      <c r="K69" s="95"/>
      <c r="N69" s="40" t="s">
        <v>159</v>
      </c>
      <c r="O69" s="42" t="s">
        <v>202</v>
      </c>
      <c r="P69" s="42" t="s">
        <v>232</v>
      </c>
      <c r="Q69" s="42" t="s">
        <v>314</v>
      </c>
      <c r="R69" s="42" t="s">
        <v>331</v>
      </c>
      <c r="U69" s="42"/>
      <c r="V69" s="48"/>
      <c r="W69" s="48"/>
      <c r="X69" s="48"/>
    </row>
    <row r="70" spans="1:24" x14ac:dyDescent="0.3">
      <c r="A70" s="94" t="s">
        <v>106</v>
      </c>
      <c r="B70" s="95" t="s">
        <v>34</v>
      </c>
      <c r="C70" s="73" t="str">
        <f>VLOOKUP(A70,'1-1 基本信息'!$A:$H,8,0)</f>
        <v>中层副职</v>
      </c>
      <c r="D70" s="95" t="str">
        <f t="shared" si="1"/>
        <v>采油气工程服务中心中层副职</v>
      </c>
      <c r="E70" s="94" t="s">
        <v>106</v>
      </c>
      <c r="F70" s="95" t="s">
        <v>763</v>
      </c>
      <c r="G70" s="95" t="s">
        <v>826</v>
      </c>
      <c r="H70" s="95"/>
      <c r="I70" s="95"/>
      <c r="J70" s="95"/>
      <c r="K70" s="95"/>
      <c r="N70" s="40" t="s">
        <v>160</v>
      </c>
      <c r="O70" s="42" t="s">
        <v>203</v>
      </c>
      <c r="P70" s="42" t="s">
        <v>233</v>
      </c>
      <c r="Q70" s="42"/>
      <c r="R70" s="42"/>
      <c r="S70" s="42"/>
      <c r="T70" s="42"/>
      <c r="U70" s="42"/>
      <c r="V70" s="48"/>
      <c r="W70" s="48"/>
      <c r="X70" s="48"/>
    </row>
    <row r="71" spans="1:24" x14ac:dyDescent="0.3">
      <c r="A71" s="94" t="s">
        <v>87</v>
      </c>
      <c r="B71" s="95" t="s">
        <v>35</v>
      </c>
      <c r="C71" s="73" t="str">
        <f>VLOOKUP(A71,'1-1 基本信息'!$A:$H,8,0)</f>
        <v>中层正职</v>
      </c>
      <c r="D71" s="95" t="str">
        <f t="shared" si="1"/>
        <v>石油工程监督中心中层正职</v>
      </c>
      <c r="E71" s="94" t="s">
        <v>87</v>
      </c>
      <c r="F71" s="95" t="s">
        <v>827</v>
      </c>
      <c r="G71" s="95" t="s">
        <v>763</v>
      </c>
      <c r="H71" s="95" t="s">
        <v>294</v>
      </c>
      <c r="I71" s="95" t="s">
        <v>810</v>
      </c>
      <c r="J71" s="95"/>
      <c r="K71" s="95"/>
      <c r="N71" s="40" t="s">
        <v>161</v>
      </c>
      <c r="O71" s="42" t="s">
        <v>204</v>
      </c>
      <c r="P71" s="42"/>
      <c r="Q71" s="42"/>
      <c r="R71" s="42"/>
      <c r="S71" s="42"/>
      <c r="T71" s="42"/>
      <c r="U71" s="48"/>
    </row>
    <row r="72" spans="1:24" x14ac:dyDescent="0.3">
      <c r="A72" s="94" t="s">
        <v>53</v>
      </c>
      <c r="B72" s="95" t="s">
        <v>35</v>
      </c>
      <c r="C72" s="73" t="str">
        <f>VLOOKUP(A72,'1-1 基本信息'!$A:$H,8,0)</f>
        <v>党委书记</v>
      </c>
      <c r="D72" s="95" t="str">
        <f t="shared" si="1"/>
        <v>石油工程监督中心党委书记</v>
      </c>
      <c r="E72" s="94" t="s">
        <v>53</v>
      </c>
      <c r="F72" s="95" t="s">
        <v>294</v>
      </c>
      <c r="G72" s="95" t="s">
        <v>763</v>
      </c>
      <c r="H72" s="95"/>
      <c r="I72" s="95"/>
      <c r="J72" s="95"/>
      <c r="K72" s="95"/>
      <c r="N72" s="40" t="s">
        <v>162</v>
      </c>
      <c r="O72" s="42" t="s">
        <v>205</v>
      </c>
      <c r="P72" s="42"/>
      <c r="Q72" s="42"/>
      <c r="R72" s="42"/>
      <c r="S72" s="48"/>
      <c r="T72" s="48"/>
      <c r="U72" s="48"/>
    </row>
    <row r="73" spans="1:24" x14ac:dyDescent="0.3">
      <c r="A73" s="94" t="s">
        <v>111</v>
      </c>
      <c r="B73" s="95" t="s">
        <v>35</v>
      </c>
      <c r="C73" s="73" t="str">
        <f>VLOOKUP(A73,'1-1 基本信息'!$A:$H,8,0)</f>
        <v>中层副职</v>
      </c>
      <c r="D73" s="95" t="str">
        <f t="shared" si="1"/>
        <v>石油工程监督中心中层副职</v>
      </c>
      <c r="E73" s="94" t="s">
        <v>111</v>
      </c>
      <c r="F73" s="95" t="s">
        <v>827</v>
      </c>
      <c r="G73" s="95" t="s">
        <v>763</v>
      </c>
      <c r="H73" s="95"/>
      <c r="I73" s="95"/>
      <c r="J73" s="95"/>
      <c r="K73" s="95"/>
      <c r="N73" s="40" t="s">
        <v>163</v>
      </c>
      <c r="O73" s="42" t="s">
        <v>21</v>
      </c>
      <c r="P73" s="42" t="s">
        <v>236</v>
      </c>
      <c r="Q73" s="42" t="s">
        <v>267</v>
      </c>
      <c r="R73" s="48"/>
      <c r="S73" s="48"/>
      <c r="T73" s="48"/>
      <c r="U73" s="48"/>
    </row>
    <row r="74" spans="1:24" x14ac:dyDescent="0.3">
      <c r="A74" s="94" t="s">
        <v>423</v>
      </c>
      <c r="B74" s="95" t="s">
        <v>35</v>
      </c>
      <c r="C74" s="73" t="str">
        <f>VLOOKUP(A74,'1-1 基本信息'!$A:$H,8,0)</f>
        <v>中层副职</v>
      </c>
      <c r="D74" s="95" t="str">
        <f t="shared" si="1"/>
        <v>石油工程监督中心中层副职</v>
      </c>
      <c r="E74" s="94" t="s">
        <v>423</v>
      </c>
      <c r="F74" s="95" t="s">
        <v>827</v>
      </c>
      <c r="G74" s="95" t="s">
        <v>763</v>
      </c>
      <c r="H74" s="95"/>
      <c r="I74" s="95"/>
      <c r="J74" s="95"/>
      <c r="K74" s="95"/>
      <c r="N74" s="40" t="s">
        <v>165</v>
      </c>
      <c r="O74" s="42" t="s">
        <v>207</v>
      </c>
      <c r="P74" s="42" t="s">
        <v>238</v>
      </c>
      <c r="Q74" s="42" t="s">
        <v>269</v>
      </c>
      <c r="R74" s="42" t="s">
        <v>295</v>
      </c>
      <c r="S74" s="48"/>
      <c r="T74" s="48"/>
      <c r="U74" s="48"/>
      <c r="V74" s="48"/>
    </row>
    <row r="75" spans="1:24" x14ac:dyDescent="0.3">
      <c r="A75" s="94" t="s">
        <v>50</v>
      </c>
      <c r="B75" s="95" t="s">
        <v>36</v>
      </c>
      <c r="C75" s="73" t="str">
        <f>VLOOKUP(A75,'1-1 基本信息'!$A:$H,8,0)</f>
        <v>中层正职</v>
      </c>
      <c r="D75" s="95" t="str">
        <f t="shared" si="1"/>
        <v>物资供应中心中层正职</v>
      </c>
      <c r="E75" s="94" t="s">
        <v>50</v>
      </c>
      <c r="F75" s="95" t="s">
        <v>828</v>
      </c>
      <c r="G75" s="95" t="s">
        <v>763</v>
      </c>
      <c r="H75" s="95" t="s">
        <v>294</v>
      </c>
      <c r="I75" s="95" t="s">
        <v>810</v>
      </c>
      <c r="J75" s="95"/>
      <c r="K75" s="95"/>
      <c r="N75" s="40" t="s">
        <v>166</v>
      </c>
      <c r="O75" s="42" t="s">
        <v>208</v>
      </c>
      <c r="P75" s="42" t="s">
        <v>239</v>
      </c>
      <c r="Q75" s="42" t="s">
        <v>270</v>
      </c>
      <c r="R75" s="42" t="s">
        <v>296</v>
      </c>
      <c r="S75" s="48"/>
      <c r="T75" s="48"/>
      <c r="U75" s="48"/>
      <c r="V75" s="48"/>
    </row>
    <row r="76" spans="1:24" x14ac:dyDescent="0.3">
      <c r="A76" s="94" t="s">
        <v>130</v>
      </c>
      <c r="B76" s="95" t="s">
        <v>36</v>
      </c>
      <c r="C76" s="73" t="str">
        <f>VLOOKUP(A76,'1-1 基本信息'!$A:$H,8,0)</f>
        <v>党委书记</v>
      </c>
      <c r="D76" s="95" t="str">
        <f t="shared" si="1"/>
        <v>物资供应中心党委书记</v>
      </c>
      <c r="E76" s="94" t="s">
        <v>130</v>
      </c>
      <c r="F76" s="95" t="s">
        <v>294</v>
      </c>
      <c r="G76" s="95" t="s">
        <v>763</v>
      </c>
      <c r="H76" s="95" t="s">
        <v>810</v>
      </c>
      <c r="I76" s="95"/>
      <c r="J76" s="95"/>
      <c r="K76" s="95"/>
      <c r="N76" s="40" t="s">
        <v>167</v>
      </c>
      <c r="O76" s="42" t="s">
        <v>209</v>
      </c>
      <c r="P76" s="42" t="s">
        <v>240</v>
      </c>
      <c r="Q76" s="42" t="s">
        <v>271</v>
      </c>
      <c r="R76" s="42" t="s">
        <v>297</v>
      </c>
      <c r="S76" s="42" t="s">
        <v>317</v>
      </c>
      <c r="T76" s="42" t="s">
        <v>333</v>
      </c>
      <c r="U76" s="48"/>
      <c r="V76" s="48"/>
    </row>
    <row r="77" spans="1:24" x14ac:dyDescent="0.3">
      <c r="A77" s="94" t="s">
        <v>43</v>
      </c>
      <c r="B77" s="95" t="s">
        <v>36</v>
      </c>
      <c r="C77" s="73" t="str">
        <f>VLOOKUP(A77,'1-1 基本信息'!$A:$H,8,0)</f>
        <v>中层副职</v>
      </c>
      <c r="D77" s="95" t="str">
        <f t="shared" si="1"/>
        <v>物资供应中心中层副职</v>
      </c>
      <c r="E77" s="94" t="s">
        <v>43</v>
      </c>
      <c r="F77" s="95" t="s">
        <v>829</v>
      </c>
      <c r="G77" s="95" t="s">
        <v>828</v>
      </c>
      <c r="H77" s="95" t="s">
        <v>763</v>
      </c>
      <c r="I77" s="95"/>
      <c r="J77" s="95"/>
      <c r="K77" s="95"/>
      <c r="N77" s="40" t="s">
        <v>168</v>
      </c>
      <c r="O77" s="42" t="s">
        <v>210</v>
      </c>
      <c r="P77" s="42" t="s">
        <v>241</v>
      </c>
      <c r="Q77" s="42" t="s">
        <v>272</v>
      </c>
      <c r="R77" s="42" t="s">
        <v>298</v>
      </c>
      <c r="S77" s="42" t="s">
        <v>318</v>
      </c>
      <c r="T77" s="42" t="s">
        <v>334</v>
      </c>
      <c r="U77" s="48"/>
      <c r="V77" s="48"/>
    </row>
    <row r="78" spans="1:24" x14ac:dyDescent="0.3">
      <c r="A78" s="94" t="s">
        <v>107</v>
      </c>
      <c r="B78" s="95" t="s">
        <v>37</v>
      </c>
      <c r="C78" s="73" t="str">
        <f>VLOOKUP(A78,'1-1 基本信息'!$A:$H,8,0)</f>
        <v>中层正职</v>
      </c>
      <c r="D78" s="95" t="str">
        <f t="shared" si="1"/>
        <v>油气销售中心中层正职</v>
      </c>
      <c r="E78" s="94" t="s">
        <v>107</v>
      </c>
      <c r="F78" s="95" t="s">
        <v>830</v>
      </c>
      <c r="G78" s="95" t="s">
        <v>831</v>
      </c>
      <c r="H78" s="95" t="s">
        <v>763</v>
      </c>
      <c r="I78" s="95" t="s">
        <v>294</v>
      </c>
      <c r="J78" s="95" t="s">
        <v>810</v>
      </c>
      <c r="K78" s="95"/>
      <c r="N78" s="40" t="s">
        <v>169</v>
      </c>
      <c r="O78" s="42" t="s">
        <v>211</v>
      </c>
      <c r="P78" s="42" t="s">
        <v>242</v>
      </c>
      <c r="Q78" s="48"/>
      <c r="R78" s="48"/>
      <c r="S78" s="48"/>
      <c r="T78" s="48"/>
      <c r="U78" s="48"/>
      <c r="V78" s="48"/>
    </row>
    <row r="79" spans="1:24" x14ac:dyDescent="0.3">
      <c r="A79" s="94" t="s">
        <v>62</v>
      </c>
      <c r="B79" s="95" t="s">
        <v>37</v>
      </c>
      <c r="C79" s="73" t="str">
        <f>VLOOKUP(A79,'1-1 基本信息'!$A:$H,8,0)</f>
        <v>中层副职</v>
      </c>
      <c r="D79" s="95" t="str">
        <f t="shared" si="1"/>
        <v>油气销售中心中层副职</v>
      </c>
      <c r="E79" s="94" t="s">
        <v>62</v>
      </c>
      <c r="F79" s="95" t="s">
        <v>830</v>
      </c>
      <c r="G79" s="95" t="s">
        <v>832</v>
      </c>
      <c r="H79" s="95" t="s">
        <v>831</v>
      </c>
      <c r="I79" s="95" t="s">
        <v>833</v>
      </c>
      <c r="J79" s="95" t="s">
        <v>763</v>
      </c>
      <c r="K79" s="95"/>
      <c r="N79" s="40" t="s">
        <v>170</v>
      </c>
      <c r="O79" s="42" t="s">
        <v>212</v>
      </c>
      <c r="P79" s="42" t="s">
        <v>243</v>
      </c>
      <c r="Q79" s="42" t="s">
        <v>273</v>
      </c>
      <c r="R79" s="42" t="s">
        <v>299</v>
      </c>
      <c r="S79" s="42" t="s">
        <v>319</v>
      </c>
      <c r="T79" s="48"/>
      <c r="U79" s="48"/>
      <c r="V79" s="48"/>
    </row>
    <row r="80" spans="1:24" x14ac:dyDescent="0.3">
      <c r="A80" s="94" t="s">
        <v>137</v>
      </c>
      <c r="B80" s="95" t="s">
        <v>37</v>
      </c>
      <c r="C80" s="73" t="str">
        <f>VLOOKUP(A80,'1-1 基本信息'!$A:$H,8,0)</f>
        <v>中层副职</v>
      </c>
      <c r="D80" s="95" t="str">
        <f t="shared" si="1"/>
        <v>油气销售中心中层副职</v>
      </c>
      <c r="E80" s="94" t="s">
        <v>137</v>
      </c>
      <c r="F80" s="95" t="s">
        <v>294</v>
      </c>
      <c r="G80" s="95" t="s">
        <v>763</v>
      </c>
      <c r="H80" s="95"/>
      <c r="I80" s="95"/>
      <c r="J80" s="95"/>
      <c r="K80" s="95"/>
      <c r="N80" s="40" t="s">
        <v>171</v>
      </c>
      <c r="O80" s="42" t="s">
        <v>213</v>
      </c>
      <c r="P80" s="42" t="s">
        <v>244</v>
      </c>
      <c r="Q80" s="42" t="s">
        <v>274</v>
      </c>
      <c r="R80" s="42" t="s">
        <v>300</v>
      </c>
      <c r="S80" s="42" t="s">
        <v>320</v>
      </c>
      <c r="T80" s="48"/>
      <c r="U80" s="48"/>
      <c r="V80" s="48"/>
    </row>
    <row r="81" spans="1:22" x14ac:dyDescent="0.3">
      <c r="A81" s="94" t="s">
        <v>89</v>
      </c>
      <c r="B81" s="95" t="s">
        <v>146</v>
      </c>
      <c r="C81" s="73" t="str">
        <f>VLOOKUP(A81,'1-1 基本信息'!$A:$H,8,0)</f>
        <v>中层正职</v>
      </c>
      <c r="D81" s="95" t="str">
        <f t="shared" si="1"/>
        <v>采油一厂   中层正职</v>
      </c>
      <c r="E81" s="94" t="s">
        <v>89</v>
      </c>
      <c r="F81" s="95" t="s">
        <v>305</v>
      </c>
      <c r="G81" s="95" t="s">
        <v>722</v>
      </c>
      <c r="H81" s="95" t="s">
        <v>812</v>
      </c>
      <c r="I81" s="95" t="s">
        <v>763</v>
      </c>
      <c r="J81" s="95" t="s">
        <v>810</v>
      </c>
      <c r="K81" s="95"/>
      <c r="N81" s="40" t="s">
        <v>172</v>
      </c>
      <c r="O81" s="42" t="s">
        <v>214</v>
      </c>
      <c r="P81" s="42" t="s">
        <v>245</v>
      </c>
      <c r="Q81" s="42" t="s">
        <v>275</v>
      </c>
      <c r="R81" s="42" t="s">
        <v>301</v>
      </c>
      <c r="S81" s="42" t="s">
        <v>321</v>
      </c>
      <c r="T81" s="42" t="s">
        <v>335</v>
      </c>
      <c r="U81" s="48"/>
      <c r="V81" s="48"/>
    </row>
    <row r="82" spans="1:22" x14ac:dyDescent="0.3">
      <c r="A82" s="94" t="s">
        <v>75</v>
      </c>
      <c r="B82" s="95" t="s">
        <v>32</v>
      </c>
      <c r="C82" s="73" t="str">
        <f>VLOOKUP(A82,'1-1 基本信息'!$A:$H,8,0)</f>
        <v>中层副职</v>
      </c>
      <c r="D82" s="95" t="str">
        <f t="shared" si="1"/>
        <v>勘探开发研究院中层副职</v>
      </c>
      <c r="E82" s="94" t="s">
        <v>75</v>
      </c>
      <c r="F82" s="95" t="s">
        <v>760</v>
      </c>
      <c r="G82" s="95" t="s">
        <v>761</v>
      </c>
      <c r="H82" s="95" t="s">
        <v>762</v>
      </c>
      <c r="I82" s="95" t="s">
        <v>814</v>
      </c>
      <c r="J82" s="95" t="s">
        <v>763</v>
      </c>
      <c r="K82" s="95"/>
      <c r="N82" s="40" t="s">
        <v>173</v>
      </c>
      <c r="O82" s="42" t="s">
        <v>215</v>
      </c>
      <c r="P82" s="42" t="s">
        <v>246</v>
      </c>
      <c r="Q82" s="42" t="s">
        <v>276</v>
      </c>
      <c r="R82" s="42" t="s">
        <v>302</v>
      </c>
      <c r="S82" s="42" t="s">
        <v>322</v>
      </c>
      <c r="T82" s="42" t="s">
        <v>336</v>
      </c>
      <c r="U82" s="48"/>
      <c r="V82" s="48"/>
    </row>
    <row r="83" spans="1:22" x14ac:dyDescent="0.3">
      <c r="A83" s="94" t="s">
        <v>93</v>
      </c>
      <c r="B83" s="95" t="s">
        <v>708</v>
      </c>
      <c r="C83" s="73" t="str">
        <f>VLOOKUP(A83,'1-1 基本信息'!$A:$H,8,0)</f>
        <v>中层正职</v>
      </c>
      <c r="D83" s="95" t="str">
        <f t="shared" si="1"/>
        <v>党委办公室中层正职</v>
      </c>
      <c r="E83" s="94" t="s">
        <v>93</v>
      </c>
      <c r="F83" s="95" t="s">
        <v>294</v>
      </c>
      <c r="G83" s="95" t="s">
        <v>834</v>
      </c>
      <c r="H83" s="95"/>
      <c r="I83" s="95"/>
      <c r="J83" s="95"/>
      <c r="K83" s="95"/>
      <c r="N83" s="40" t="s">
        <v>174</v>
      </c>
      <c r="O83" s="42" t="s">
        <v>216</v>
      </c>
      <c r="P83" s="42" t="s">
        <v>247</v>
      </c>
      <c r="Q83" s="42" t="s">
        <v>277</v>
      </c>
      <c r="R83" s="42" t="s">
        <v>303</v>
      </c>
      <c r="S83" s="42" t="s">
        <v>323</v>
      </c>
      <c r="T83" s="42" t="s">
        <v>337</v>
      </c>
      <c r="U83" s="42" t="s">
        <v>343</v>
      </c>
      <c r="V83" s="42" t="s">
        <v>347</v>
      </c>
    </row>
    <row r="84" spans="1:22" x14ac:dyDescent="0.3">
      <c r="A84" s="94" t="s">
        <v>68</v>
      </c>
      <c r="B84" s="95" t="s">
        <v>709</v>
      </c>
      <c r="C84" s="73" t="str">
        <f>VLOOKUP(A84,'1-1 基本信息'!$A:$H,8,0)</f>
        <v>中层正职</v>
      </c>
      <c r="D84" s="95" t="str">
        <f t="shared" si="1"/>
        <v>郑州基地管理站中层正职</v>
      </c>
      <c r="E84" s="94" t="s">
        <v>68</v>
      </c>
      <c r="F84" s="95" t="s">
        <v>835</v>
      </c>
      <c r="G84" s="95" t="s">
        <v>836</v>
      </c>
      <c r="H84" s="95" t="s">
        <v>837</v>
      </c>
      <c r="I84" s="95" t="s">
        <v>763</v>
      </c>
      <c r="J84" s="95" t="s">
        <v>294</v>
      </c>
      <c r="K84" s="95"/>
      <c r="N84" s="40" t="s">
        <v>175</v>
      </c>
      <c r="O84" s="42" t="s">
        <v>217</v>
      </c>
      <c r="P84" s="42" t="s">
        <v>248</v>
      </c>
      <c r="Q84" s="42" t="s">
        <v>278</v>
      </c>
      <c r="R84" s="48"/>
      <c r="S84" s="48"/>
      <c r="T84" s="48"/>
      <c r="U84" s="48"/>
      <c r="V84" s="48"/>
    </row>
    <row r="85" spans="1:22" x14ac:dyDescent="0.3">
      <c r="A85" s="94" t="s">
        <v>99</v>
      </c>
      <c r="B85" s="95" t="s">
        <v>709</v>
      </c>
      <c r="C85" s="73" t="str">
        <f>VLOOKUP(A85,'1-1 基本信息'!$A:$H,8,0)</f>
        <v>中层副职</v>
      </c>
      <c r="D85" s="95" t="str">
        <f t="shared" si="1"/>
        <v>郑州基地管理站中层副职</v>
      </c>
      <c r="E85" s="94" t="s">
        <v>99</v>
      </c>
      <c r="F85" s="95" t="s">
        <v>294</v>
      </c>
      <c r="G85" s="95" t="s">
        <v>835</v>
      </c>
      <c r="H85" s="95" t="s">
        <v>836</v>
      </c>
      <c r="I85" s="95" t="s">
        <v>837</v>
      </c>
      <c r="J85" s="95" t="s">
        <v>763</v>
      </c>
      <c r="K85" s="95"/>
    </row>
    <row r="86" spans="1:22" x14ac:dyDescent="0.3">
      <c r="A86" s="94" t="s">
        <v>133</v>
      </c>
      <c r="B86" s="95" t="s">
        <v>838</v>
      </c>
      <c r="C86" s="73" t="str">
        <f>VLOOKUP(A86,'1-1 基本信息'!$A:$H,8,0)</f>
        <v>中层副职</v>
      </c>
      <c r="D86" s="95" t="str">
        <f t="shared" si="1"/>
        <v>新乡基地管理站中层副职</v>
      </c>
      <c r="E86" s="94" t="s">
        <v>133</v>
      </c>
      <c r="F86" s="95" t="s">
        <v>835</v>
      </c>
      <c r="G86" s="95" t="s">
        <v>836</v>
      </c>
      <c r="H86" s="95" t="s">
        <v>837</v>
      </c>
      <c r="I86" s="95" t="s">
        <v>763</v>
      </c>
      <c r="J86" s="95" t="s">
        <v>294</v>
      </c>
      <c r="K86" s="95"/>
    </row>
    <row r="87" spans="1:22" x14ac:dyDescent="0.3">
      <c r="A87" s="94" t="s">
        <v>426</v>
      </c>
      <c r="B87" s="95" t="s">
        <v>838</v>
      </c>
      <c r="C87" s="73" t="str">
        <f>VLOOKUP(A87,'1-1 基本信息'!$A:$H,8,0)</f>
        <v>党委书记</v>
      </c>
      <c r="D87" s="95" t="str">
        <f t="shared" si="1"/>
        <v>新乡基地管理站党委书记</v>
      </c>
      <c r="E87" s="94" t="s">
        <v>426</v>
      </c>
      <c r="F87" s="95" t="s">
        <v>294</v>
      </c>
      <c r="G87" s="95" t="s">
        <v>835</v>
      </c>
      <c r="H87" s="95" t="s">
        <v>836</v>
      </c>
      <c r="I87" s="95" t="s">
        <v>837</v>
      </c>
      <c r="J87" s="95" t="s">
        <v>763</v>
      </c>
      <c r="K87" s="95"/>
    </row>
    <row r="88" spans="1:22" x14ac:dyDescent="0.3">
      <c r="A88" s="94"/>
      <c r="B88" s="95"/>
      <c r="C88" s="73" t="e">
        <f>VLOOKUP(A88,'1-1 基本信息'!$A:$H,8,0)</f>
        <v>#N/A</v>
      </c>
      <c r="D88" s="95" t="e">
        <f t="shared" si="1"/>
        <v>#N/A</v>
      </c>
      <c r="E88" s="94"/>
      <c r="F88" s="95"/>
      <c r="G88" s="95"/>
      <c r="H88" s="95"/>
      <c r="I88" s="95"/>
      <c r="J88" s="95"/>
      <c r="K88" s="95"/>
    </row>
    <row r="89" spans="1:22" x14ac:dyDescent="0.3">
      <c r="A89" s="93"/>
      <c r="B89" s="8"/>
      <c r="C89" s="73" t="e">
        <f>VLOOKUP(A89,'1-1 基本信息'!$A:$H,8,0)</f>
        <v>#N/A</v>
      </c>
      <c r="D89" s="8" t="e">
        <f t="shared" si="1"/>
        <v>#N/A</v>
      </c>
      <c r="E89" s="93"/>
    </row>
    <row r="90" spans="1:22" x14ac:dyDescent="0.3">
      <c r="A90" s="93"/>
      <c r="B90" s="8"/>
      <c r="C90" s="73" t="e">
        <f>VLOOKUP(A90,'1-1 基本信息'!$A:$H,8,0)</f>
        <v>#N/A</v>
      </c>
      <c r="D90" s="8" t="e">
        <f t="shared" si="1"/>
        <v>#N/A</v>
      </c>
      <c r="E90" s="93"/>
    </row>
    <row r="91" spans="1:22" x14ac:dyDescent="0.3">
      <c r="A91" s="93"/>
      <c r="B91" s="8"/>
      <c r="C91" s="73" t="e">
        <f>VLOOKUP(A91,'1-1 基本信息'!$A:$H,8,0)</f>
        <v>#N/A</v>
      </c>
      <c r="D91" s="8" t="e">
        <f t="shared" si="1"/>
        <v>#N/A</v>
      </c>
      <c r="E91" s="93"/>
    </row>
    <row r="92" spans="1:22" x14ac:dyDescent="0.3">
      <c r="A92" s="93"/>
      <c r="B92" s="8"/>
      <c r="C92" s="73" t="e">
        <f>VLOOKUP(A92,'1-1 基本信息'!$A:$H,8,0)</f>
        <v>#N/A</v>
      </c>
      <c r="D92" s="8" t="e">
        <f t="shared" si="1"/>
        <v>#N/A</v>
      </c>
      <c r="E92" s="93"/>
    </row>
    <row r="93" spans="1:22" x14ac:dyDescent="0.3">
      <c r="A93" s="93"/>
      <c r="B93" s="8"/>
      <c r="C93" s="73" t="e">
        <f>VLOOKUP(A93,'1-1 基本信息'!$A:$H,8,0)</f>
        <v>#N/A</v>
      </c>
      <c r="D93" s="8" t="e">
        <f t="shared" si="1"/>
        <v>#N/A</v>
      </c>
      <c r="E93" s="93"/>
    </row>
    <row r="94" spans="1:22" x14ac:dyDescent="0.3">
      <c r="A94" s="93"/>
      <c r="B94" s="8"/>
      <c r="C94" s="73" t="e">
        <f>VLOOKUP(A94,'1-1 基本信息'!$A:$H,8,0)</f>
        <v>#N/A</v>
      </c>
      <c r="D94" s="8" t="e">
        <f t="shared" si="1"/>
        <v>#N/A</v>
      </c>
      <c r="E94" s="93"/>
    </row>
    <row r="95" spans="1:22" x14ac:dyDescent="0.3">
      <c r="A95" s="93"/>
      <c r="B95" s="8"/>
      <c r="C95" s="73" t="e">
        <f>VLOOKUP(A95,'1-1 基本信息'!$A:$H,8,0)</f>
        <v>#N/A</v>
      </c>
      <c r="D95" s="8" t="e">
        <f t="shared" si="1"/>
        <v>#N/A</v>
      </c>
      <c r="E95" s="93"/>
    </row>
    <row r="96" spans="1:22" x14ac:dyDescent="0.3">
      <c r="A96" s="93"/>
      <c r="B96" s="8"/>
      <c r="C96" s="73" t="e">
        <f>VLOOKUP(A96,'1-1 基本信息'!$A:$H,8,0)</f>
        <v>#N/A</v>
      </c>
      <c r="D96" s="8" t="e">
        <f t="shared" si="1"/>
        <v>#N/A</v>
      </c>
      <c r="E96" s="93"/>
    </row>
    <row r="97" spans="1:5" x14ac:dyDescent="0.3">
      <c r="A97" s="93"/>
      <c r="B97" s="8"/>
      <c r="C97" s="73" t="e">
        <f>VLOOKUP(A97,'1-1 基本信息'!$A:$H,8,0)</f>
        <v>#N/A</v>
      </c>
      <c r="D97" s="8" t="e">
        <f t="shared" si="1"/>
        <v>#N/A</v>
      </c>
      <c r="E97" s="93"/>
    </row>
    <row r="98" spans="1:5" x14ac:dyDescent="0.3">
      <c r="A98" s="93"/>
      <c r="B98" s="8"/>
      <c r="C98" s="73" t="e">
        <f>VLOOKUP(A98,'1-1 基本信息'!$A:$H,8,0)</f>
        <v>#N/A</v>
      </c>
      <c r="D98" s="8" t="e">
        <f t="shared" si="1"/>
        <v>#N/A</v>
      </c>
      <c r="E98" s="93"/>
    </row>
    <row r="99" spans="1:5" x14ac:dyDescent="0.3">
      <c r="A99" s="93"/>
      <c r="B99" s="8"/>
      <c r="C99" s="73" t="e">
        <f>VLOOKUP(A99,'1-1 基本信息'!$A:$H,8,0)</f>
        <v>#N/A</v>
      </c>
      <c r="D99" s="8" t="e">
        <f t="shared" si="1"/>
        <v>#N/A</v>
      </c>
      <c r="E99" s="93"/>
    </row>
    <row r="100" spans="1:5" x14ac:dyDescent="0.3">
      <c r="A100" s="93"/>
      <c r="B100" s="8"/>
      <c r="C100" s="73" t="e">
        <f>VLOOKUP(A100,'1-1 基本信息'!$A:$H,8,0)</f>
        <v>#N/A</v>
      </c>
      <c r="D100" s="8" t="e">
        <f t="shared" si="1"/>
        <v>#N/A</v>
      </c>
      <c r="E100" s="93"/>
    </row>
    <row r="101" spans="1:5" x14ac:dyDescent="0.3">
      <c r="A101" s="93"/>
      <c r="B101" s="8"/>
      <c r="C101" s="73" t="e">
        <f>VLOOKUP(A101,'1-1 基本信息'!$A:$H,8,0)</f>
        <v>#N/A</v>
      </c>
      <c r="D101" s="8" t="e">
        <f t="shared" si="1"/>
        <v>#N/A</v>
      </c>
      <c r="E101" s="93"/>
    </row>
    <row r="102" spans="1:5" x14ac:dyDescent="0.3">
      <c r="A102" s="93"/>
      <c r="B102" s="8"/>
      <c r="C102" s="73" t="e">
        <f>VLOOKUP(A102,'1-1 基本信息'!$A:$H,8,0)</f>
        <v>#N/A</v>
      </c>
      <c r="D102" s="8" t="e">
        <f t="shared" si="1"/>
        <v>#N/A</v>
      </c>
      <c r="E102" s="93"/>
    </row>
    <row r="103" spans="1:5" x14ac:dyDescent="0.3">
      <c r="A103" s="93"/>
      <c r="B103" s="8"/>
      <c r="C103" s="73" t="e">
        <f>VLOOKUP(A103,'1-1 基本信息'!$A:$H,8,0)</f>
        <v>#N/A</v>
      </c>
      <c r="D103" s="8" t="e">
        <f t="shared" si="1"/>
        <v>#N/A</v>
      </c>
      <c r="E103" s="93"/>
    </row>
    <row r="104" spans="1:5" x14ac:dyDescent="0.3">
      <c r="A104" s="93"/>
      <c r="B104" s="8"/>
      <c r="C104" s="73" t="e">
        <f>VLOOKUP(A104,'1-1 基本信息'!$A:$H,8,0)</f>
        <v>#N/A</v>
      </c>
      <c r="D104" s="8" t="e">
        <f t="shared" si="1"/>
        <v>#N/A</v>
      </c>
      <c r="E104" s="93"/>
    </row>
    <row r="105" spans="1:5" x14ac:dyDescent="0.3">
      <c r="A105" s="93"/>
      <c r="B105" s="8"/>
      <c r="C105" s="8"/>
      <c r="D105" s="8" t="str">
        <f t="shared" si="1"/>
        <v/>
      </c>
      <c r="E105" s="93"/>
    </row>
    <row r="106" spans="1:5" x14ac:dyDescent="0.3">
      <c r="A106" s="93"/>
      <c r="B106" s="8"/>
      <c r="C106" s="8"/>
      <c r="D106" s="8" t="str">
        <f t="shared" si="1"/>
        <v/>
      </c>
      <c r="E106" s="93"/>
    </row>
    <row r="107" spans="1:5" x14ac:dyDescent="0.3">
      <c r="A107" s="93"/>
      <c r="B107" s="8"/>
      <c r="C107" s="8"/>
      <c r="D107" s="8" t="str">
        <f t="shared" si="1"/>
        <v/>
      </c>
      <c r="E107" s="93"/>
    </row>
    <row r="108" spans="1:5" x14ac:dyDescent="0.3">
      <c r="A108" s="93"/>
      <c r="B108" s="8"/>
      <c r="C108" s="8"/>
      <c r="D108" s="8" t="str">
        <f t="shared" si="1"/>
        <v/>
      </c>
      <c r="E108" s="93"/>
    </row>
    <row r="109" spans="1:5" x14ac:dyDescent="0.3">
      <c r="A109" s="93"/>
      <c r="B109" s="8"/>
      <c r="C109" s="8"/>
      <c r="D109" s="8" t="str">
        <f t="shared" si="1"/>
        <v/>
      </c>
      <c r="E109" s="93"/>
    </row>
    <row r="110" spans="1:5" x14ac:dyDescent="0.3">
      <c r="A110" s="93"/>
      <c r="B110" s="8"/>
      <c r="C110" s="8"/>
      <c r="D110" s="8" t="str">
        <f t="shared" si="1"/>
        <v/>
      </c>
      <c r="E110" s="93"/>
    </row>
    <row r="111" spans="1:5" x14ac:dyDescent="0.3">
      <c r="A111" s="93"/>
      <c r="B111" s="8"/>
      <c r="C111" s="8"/>
      <c r="D111" s="8" t="str">
        <f t="shared" si="1"/>
        <v/>
      </c>
      <c r="E111" s="93"/>
    </row>
    <row r="112" spans="1:5" x14ac:dyDescent="0.3">
      <c r="A112" s="93"/>
      <c r="B112" s="8"/>
      <c r="C112" s="8"/>
      <c r="D112" s="8" t="str">
        <f t="shared" si="1"/>
        <v/>
      </c>
      <c r="E112" s="93"/>
    </row>
    <row r="113" spans="1:5" x14ac:dyDescent="0.3">
      <c r="A113" s="93"/>
      <c r="B113" s="8"/>
      <c r="C113" s="8"/>
      <c r="D113" s="8" t="str">
        <f t="shared" si="1"/>
        <v/>
      </c>
      <c r="E113" s="93"/>
    </row>
    <row r="114" spans="1:5" x14ac:dyDescent="0.3">
      <c r="A114" s="93"/>
      <c r="B114" s="8"/>
      <c r="C114" s="8"/>
      <c r="D114" s="8" t="str">
        <f t="shared" si="1"/>
        <v/>
      </c>
      <c r="E114" s="93"/>
    </row>
    <row r="115" spans="1:5" x14ac:dyDescent="0.3">
      <c r="A115" s="93"/>
      <c r="B115" s="8"/>
      <c r="C115" s="8"/>
      <c r="D115" s="8" t="str">
        <f t="shared" si="1"/>
        <v/>
      </c>
      <c r="E115" s="93"/>
    </row>
    <row r="116" spans="1:5" x14ac:dyDescent="0.3">
      <c r="A116" s="93"/>
      <c r="B116" s="8"/>
      <c r="C116" s="8"/>
      <c r="D116" s="8" t="str">
        <f t="shared" si="1"/>
        <v/>
      </c>
      <c r="E116" s="93"/>
    </row>
    <row r="117" spans="1:5" x14ac:dyDescent="0.3">
      <c r="A117" s="93"/>
      <c r="B117" s="8"/>
      <c r="C117" s="8"/>
      <c r="D117" s="8" t="str">
        <f t="shared" si="1"/>
        <v/>
      </c>
      <c r="E117" s="93"/>
    </row>
    <row r="118" spans="1:5" x14ac:dyDescent="0.3">
      <c r="A118" s="93"/>
      <c r="B118" s="8"/>
      <c r="C118" s="8"/>
      <c r="D118" s="8" t="str">
        <f t="shared" si="1"/>
        <v/>
      </c>
      <c r="E118" s="93"/>
    </row>
    <row r="119" spans="1:5" x14ac:dyDescent="0.3">
      <c r="A119" s="93"/>
      <c r="B119" s="8"/>
      <c r="C119" s="8"/>
      <c r="D119" s="8" t="str">
        <f t="shared" si="1"/>
        <v/>
      </c>
      <c r="E119" s="93"/>
    </row>
    <row r="120" spans="1:5" x14ac:dyDescent="0.3">
      <c r="A120" s="93"/>
      <c r="B120" s="8"/>
      <c r="C120" s="8"/>
      <c r="D120" s="8" t="str">
        <f t="shared" si="1"/>
        <v/>
      </c>
      <c r="E120" s="93"/>
    </row>
    <row r="121" spans="1:5" x14ac:dyDescent="0.3">
      <c r="A121" s="93"/>
      <c r="B121" s="8"/>
      <c r="C121" s="8"/>
      <c r="D121" s="8" t="str">
        <f t="shared" si="1"/>
        <v/>
      </c>
      <c r="E121" s="93"/>
    </row>
    <row r="122" spans="1:5" x14ac:dyDescent="0.3">
      <c r="A122" s="93"/>
      <c r="B122" s="8"/>
      <c r="C122" s="8"/>
      <c r="D122" s="8" t="str">
        <f t="shared" si="1"/>
        <v/>
      </c>
      <c r="E122" s="93"/>
    </row>
    <row r="123" spans="1:5" x14ac:dyDescent="0.3">
      <c r="A123" s="93"/>
      <c r="B123" s="8"/>
      <c r="C123" s="8"/>
      <c r="D123" s="8" t="str">
        <f t="shared" si="1"/>
        <v/>
      </c>
      <c r="E123" s="93"/>
    </row>
    <row r="124" spans="1:5" x14ac:dyDescent="0.3">
      <c r="A124" s="93"/>
      <c r="B124" s="8"/>
      <c r="C124" s="8"/>
      <c r="D124" s="8" t="str">
        <f t="shared" si="1"/>
        <v/>
      </c>
      <c r="E124" s="93"/>
    </row>
    <row r="125" spans="1:5" x14ac:dyDescent="0.3">
      <c r="A125" s="93"/>
      <c r="B125" s="8"/>
      <c r="C125" s="8"/>
      <c r="D125" s="8" t="str">
        <f t="shared" si="1"/>
        <v/>
      </c>
      <c r="E125" s="93"/>
    </row>
    <row r="126" spans="1:5" x14ac:dyDescent="0.3">
      <c r="A126" s="93"/>
      <c r="B126" s="8"/>
      <c r="C126" s="8"/>
      <c r="D126" s="8" t="str">
        <f t="shared" si="1"/>
        <v/>
      </c>
      <c r="E126" s="93"/>
    </row>
    <row r="127" spans="1:5" x14ac:dyDescent="0.3">
      <c r="A127" s="93"/>
      <c r="B127" s="8"/>
      <c r="C127" s="8"/>
      <c r="D127" s="8" t="str">
        <f t="shared" si="1"/>
        <v/>
      </c>
      <c r="E127" s="93"/>
    </row>
    <row r="128" spans="1:5" x14ac:dyDescent="0.3">
      <c r="A128" s="93"/>
      <c r="B128" s="8"/>
      <c r="C128" s="8"/>
      <c r="D128" s="8" t="str">
        <f t="shared" si="1"/>
        <v/>
      </c>
      <c r="E128" s="93"/>
    </row>
    <row r="129" spans="1:5" x14ac:dyDescent="0.3">
      <c r="A129" s="93"/>
      <c r="B129" s="8"/>
      <c r="C129" s="8"/>
      <c r="D129" s="8" t="str">
        <f t="shared" si="1"/>
        <v/>
      </c>
      <c r="E129" s="93"/>
    </row>
    <row r="130" spans="1:5" x14ac:dyDescent="0.3">
      <c r="A130" s="93"/>
      <c r="B130" s="8"/>
      <c r="C130" s="8"/>
      <c r="D130" s="8" t="str">
        <f t="shared" si="1"/>
        <v/>
      </c>
      <c r="E130" s="93"/>
    </row>
    <row r="131" spans="1:5" x14ac:dyDescent="0.3">
      <c r="A131" s="93"/>
      <c r="B131" s="8"/>
      <c r="C131" s="8"/>
      <c r="D131" s="8" t="str">
        <f t="shared" si="1"/>
        <v/>
      </c>
      <c r="E131" s="93"/>
    </row>
    <row r="132" spans="1:5" x14ac:dyDescent="0.3">
      <c r="A132" s="93"/>
      <c r="B132" s="8"/>
      <c r="C132" s="8"/>
      <c r="D132" s="8" t="str">
        <f t="shared" ref="D132:D195" si="2">B132&amp;C132</f>
        <v/>
      </c>
      <c r="E132" s="93"/>
    </row>
    <row r="133" spans="1:5" x14ac:dyDescent="0.3">
      <c r="A133" s="93"/>
      <c r="B133" s="8"/>
      <c r="C133" s="8"/>
      <c r="D133" s="8" t="str">
        <f t="shared" si="2"/>
        <v/>
      </c>
      <c r="E133" s="93"/>
    </row>
    <row r="134" spans="1:5" x14ac:dyDescent="0.3">
      <c r="A134" s="93"/>
      <c r="B134" s="8"/>
      <c r="C134" s="8"/>
      <c r="D134" s="8" t="str">
        <f t="shared" si="2"/>
        <v/>
      </c>
      <c r="E134" s="93"/>
    </row>
    <row r="135" spans="1:5" x14ac:dyDescent="0.3">
      <c r="A135" s="93"/>
      <c r="B135" s="8"/>
      <c r="C135" s="8"/>
      <c r="D135" s="8" t="str">
        <f t="shared" si="2"/>
        <v/>
      </c>
      <c r="E135" s="93"/>
    </row>
    <row r="136" spans="1:5" x14ac:dyDescent="0.3">
      <c r="A136" s="93"/>
      <c r="B136" s="8"/>
      <c r="C136" s="8"/>
      <c r="D136" s="8" t="str">
        <f t="shared" si="2"/>
        <v/>
      </c>
      <c r="E136" s="93"/>
    </row>
    <row r="137" spans="1:5" x14ac:dyDescent="0.3">
      <c r="A137" s="93"/>
      <c r="B137" s="8"/>
      <c r="C137" s="8"/>
      <c r="D137" s="8" t="str">
        <f t="shared" si="2"/>
        <v/>
      </c>
      <c r="E137" s="93"/>
    </row>
    <row r="138" spans="1:5" x14ac:dyDescent="0.3">
      <c r="A138" s="93"/>
      <c r="B138" s="8"/>
      <c r="C138" s="8"/>
      <c r="D138" s="8" t="str">
        <f t="shared" si="2"/>
        <v/>
      </c>
      <c r="E138" s="93"/>
    </row>
    <row r="139" spans="1:5" x14ac:dyDescent="0.3">
      <c r="A139" s="93"/>
      <c r="B139" s="8"/>
      <c r="C139" s="8"/>
      <c r="D139" s="8" t="str">
        <f t="shared" si="2"/>
        <v/>
      </c>
      <c r="E139" s="93"/>
    </row>
    <row r="140" spans="1:5" x14ac:dyDescent="0.3">
      <c r="A140" s="93"/>
      <c r="B140" s="8"/>
      <c r="C140" s="8"/>
      <c r="D140" s="8" t="str">
        <f t="shared" si="2"/>
        <v/>
      </c>
      <c r="E140" s="93"/>
    </row>
    <row r="141" spans="1:5" x14ac:dyDescent="0.3">
      <c r="A141" s="93"/>
      <c r="B141" s="8"/>
      <c r="C141" s="8"/>
      <c r="D141" s="8" t="str">
        <f t="shared" si="2"/>
        <v/>
      </c>
      <c r="E141" s="93"/>
    </row>
    <row r="142" spans="1:5" x14ac:dyDescent="0.3">
      <c r="A142" s="93"/>
      <c r="B142" s="8"/>
      <c r="C142" s="8"/>
      <c r="D142" s="8" t="str">
        <f t="shared" si="2"/>
        <v/>
      </c>
      <c r="E142" s="93"/>
    </row>
    <row r="143" spans="1:5" x14ac:dyDescent="0.3">
      <c r="A143" s="93"/>
      <c r="B143" s="8"/>
      <c r="C143" s="8"/>
      <c r="D143" s="8" t="str">
        <f t="shared" si="2"/>
        <v/>
      </c>
      <c r="E143" s="93"/>
    </row>
    <row r="144" spans="1:5" x14ac:dyDescent="0.3">
      <c r="A144" s="93"/>
      <c r="B144" s="8"/>
      <c r="C144" s="8"/>
      <c r="D144" s="8" t="str">
        <f t="shared" si="2"/>
        <v/>
      </c>
      <c r="E144" s="93"/>
    </row>
    <row r="145" spans="1:5" x14ac:dyDescent="0.3">
      <c r="A145" s="93"/>
      <c r="B145" s="8"/>
      <c r="C145" s="8"/>
      <c r="D145" s="8" t="str">
        <f t="shared" si="2"/>
        <v/>
      </c>
      <c r="E145" s="93"/>
    </row>
    <row r="146" spans="1:5" x14ac:dyDescent="0.3">
      <c r="A146" s="93"/>
      <c r="B146" s="8"/>
      <c r="C146" s="8"/>
      <c r="D146" s="8" t="str">
        <f t="shared" si="2"/>
        <v/>
      </c>
      <c r="E146" s="93"/>
    </row>
    <row r="147" spans="1:5" x14ac:dyDescent="0.3">
      <c r="A147" s="93"/>
      <c r="B147" s="8"/>
      <c r="C147" s="8"/>
      <c r="D147" s="8" t="str">
        <f t="shared" si="2"/>
        <v/>
      </c>
      <c r="E147" s="93"/>
    </row>
    <row r="148" spans="1:5" x14ac:dyDescent="0.3">
      <c r="A148" s="93"/>
      <c r="B148" s="8"/>
      <c r="C148" s="8"/>
      <c r="D148" s="8" t="str">
        <f t="shared" si="2"/>
        <v/>
      </c>
      <c r="E148" s="93"/>
    </row>
    <row r="149" spans="1:5" x14ac:dyDescent="0.3">
      <c r="A149" s="93"/>
      <c r="B149" s="8"/>
      <c r="C149" s="8"/>
      <c r="D149" s="8" t="str">
        <f t="shared" si="2"/>
        <v/>
      </c>
      <c r="E149" s="93"/>
    </row>
    <row r="150" spans="1:5" x14ac:dyDescent="0.3">
      <c r="A150" s="93"/>
      <c r="B150" s="8"/>
      <c r="C150" s="8"/>
      <c r="D150" s="8" t="str">
        <f t="shared" si="2"/>
        <v/>
      </c>
      <c r="E150" s="93"/>
    </row>
    <row r="151" spans="1:5" x14ac:dyDescent="0.3">
      <c r="A151" s="93"/>
      <c r="B151" s="8"/>
      <c r="C151" s="8"/>
      <c r="D151" s="8" t="str">
        <f t="shared" si="2"/>
        <v/>
      </c>
      <c r="E151" s="93"/>
    </row>
    <row r="152" spans="1:5" x14ac:dyDescent="0.3">
      <c r="A152" s="93"/>
      <c r="B152" s="8"/>
      <c r="C152" s="8"/>
      <c r="D152" s="8" t="str">
        <f t="shared" si="2"/>
        <v/>
      </c>
      <c r="E152" s="93"/>
    </row>
    <row r="153" spans="1:5" x14ac:dyDescent="0.3">
      <c r="A153" s="93"/>
      <c r="B153" s="8"/>
      <c r="C153" s="8"/>
      <c r="D153" s="8" t="str">
        <f t="shared" si="2"/>
        <v/>
      </c>
      <c r="E153" s="93"/>
    </row>
    <row r="154" spans="1:5" x14ac:dyDescent="0.3">
      <c r="A154" s="93"/>
      <c r="B154" s="8"/>
      <c r="C154" s="8"/>
      <c r="D154" s="8" t="str">
        <f t="shared" si="2"/>
        <v/>
      </c>
      <c r="E154" s="93"/>
    </row>
    <row r="155" spans="1:5" x14ac:dyDescent="0.3">
      <c r="A155" s="93"/>
      <c r="B155" s="8"/>
      <c r="C155" s="8"/>
      <c r="D155" s="8" t="str">
        <f t="shared" si="2"/>
        <v/>
      </c>
      <c r="E155" s="93"/>
    </row>
    <row r="156" spans="1:5" x14ac:dyDescent="0.3">
      <c r="A156" s="93"/>
      <c r="B156" s="8"/>
      <c r="C156" s="8"/>
      <c r="D156" s="8" t="str">
        <f t="shared" si="2"/>
        <v/>
      </c>
      <c r="E156" s="93"/>
    </row>
    <row r="157" spans="1:5" x14ac:dyDescent="0.3">
      <c r="A157" s="93"/>
      <c r="B157" s="8"/>
      <c r="C157" s="8"/>
      <c r="D157" s="8" t="str">
        <f t="shared" si="2"/>
        <v/>
      </c>
      <c r="E157" s="93"/>
    </row>
    <row r="158" spans="1:5" x14ac:dyDescent="0.3">
      <c r="A158" s="93"/>
      <c r="B158" s="8"/>
      <c r="C158" s="8"/>
      <c r="D158" s="8" t="str">
        <f t="shared" si="2"/>
        <v/>
      </c>
      <c r="E158" s="93"/>
    </row>
    <row r="159" spans="1:5" x14ac:dyDescent="0.3">
      <c r="A159" s="93"/>
      <c r="B159" s="8"/>
      <c r="C159" s="8"/>
      <c r="D159" s="8" t="str">
        <f t="shared" si="2"/>
        <v/>
      </c>
      <c r="E159" s="93"/>
    </row>
    <row r="160" spans="1:5" x14ac:dyDescent="0.3">
      <c r="A160" s="93"/>
      <c r="B160" s="8"/>
      <c r="C160" s="8"/>
      <c r="D160" s="8" t="str">
        <f t="shared" si="2"/>
        <v/>
      </c>
      <c r="E160" s="93"/>
    </row>
    <row r="161" spans="1:5" x14ac:dyDescent="0.3">
      <c r="A161" s="93"/>
      <c r="B161" s="8"/>
      <c r="C161" s="8"/>
      <c r="D161" s="8" t="str">
        <f t="shared" si="2"/>
        <v/>
      </c>
      <c r="E161" s="93"/>
    </row>
    <row r="162" spans="1:5" x14ac:dyDescent="0.3">
      <c r="A162" s="93"/>
      <c r="B162" s="8"/>
      <c r="C162" s="8"/>
      <c r="D162" s="8" t="str">
        <f t="shared" si="2"/>
        <v/>
      </c>
      <c r="E162" s="93"/>
    </row>
    <row r="163" spans="1:5" x14ac:dyDescent="0.3">
      <c r="A163" s="93"/>
      <c r="B163" s="8"/>
      <c r="C163" s="8"/>
      <c r="D163" s="8" t="str">
        <f t="shared" si="2"/>
        <v/>
      </c>
      <c r="E163" s="93"/>
    </row>
    <row r="164" spans="1:5" x14ac:dyDescent="0.3">
      <c r="A164" s="93"/>
      <c r="B164" s="8"/>
      <c r="C164" s="8"/>
      <c r="D164" s="8" t="str">
        <f t="shared" si="2"/>
        <v/>
      </c>
      <c r="E164" s="93"/>
    </row>
    <row r="165" spans="1:5" x14ac:dyDescent="0.3">
      <c r="A165" s="93"/>
      <c r="B165" s="8"/>
      <c r="C165" s="8"/>
      <c r="D165" s="8" t="str">
        <f t="shared" si="2"/>
        <v/>
      </c>
      <c r="E165" s="93"/>
    </row>
    <row r="166" spans="1:5" x14ac:dyDescent="0.3">
      <c r="A166" s="93"/>
      <c r="B166" s="8"/>
      <c r="C166" s="8"/>
      <c r="D166" s="8" t="str">
        <f t="shared" si="2"/>
        <v/>
      </c>
      <c r="E166" s="93"/>
    </row>
    <row r="167" spans="1:5" x14ac:dyDescent="0.3">
      <c r="A167" s="93"/>
      <c r="B167" s="8"/>
      <c r="C167" s="8"/>
      <c r="D167" s="8" t="str">
        <f t="shared" si="2"/>
        <v/>
      </c>
      <c r="E167" s="93"/>
    </row>
    <row r="168" spans="1:5" x14ac:dyDescent="0.3">
      <c r="A168" s="93"/>
      <c r="B168" s="8"/>
      <c r="C168" s="8"/>
      <c r="D168" s="8" t="str">
        <f t="shared" si="2"/>
        <v/>
      </c>
      <c r="E168" s="93"/>
    </row>
    <row r="169" spans="1:5" x14ac:dyDescent="0.3">
      <c r="A169" s="93"/>
      <c r="B169" s="8"/>
      <c r="C169" s="8"/>
      <c r="D169" s="8" t="str">
        <f t="shared" si="2"/>
        <v/>
      </c>
      <c r="E169" s="93"/>
    </row>
    <row r="170" spans="1:5" x14ac:dyDescent="0.3">
      <c r="A170" s="93"/>
      <c r="B170" s="8"/>
      <c r="C170" s="8"/>
      <c r="D170" s="8" t="str">
        <f t="shared" si="2"/>
        <v/>
      </c>
      <c r="E170" s="93"/>
    </row>
    <row r="171" spans="1:5" x14ac:dyDescent="0.3">
      <c r="A171" s="93"/>
      <c r="B171" s="8"/>
      <c r="C171" s="8"/>
      <c r="D171" s="8" t="str">
        <f t="shared" si="2"/>
        <v/>
      </c>
      <c r="E171" s="93"/>
    </row>
    <row r="172" spans="1:5" x14ac:dyDescent="0.3">
      <c r="A172" s="93"/>
      <c r="B172" s="8"/>
      <c r="C172" s="8"/>
      <c r="D172" s="8" t="str">
        <f t="shared" si="2"/>
        <v/>
      </c>
      <c r="E172" s="93"/>
    </row>
    <row r="173" spans="1:5" x14ac:dyDescent="0.3">
      <c r="A173" s="93"/>
      <c r="B173" s="8"/>
      <c r="C173" s="8"/>
      <c r="D173" s="8" t="str">
        <f t="shared" si="2"/>
        <v/>
      </c>
      <c r="E173" s="93"/>
    </row>
    <row r="174" spans="1:5" x14ac:dyDescent="0.3">
      <c r="A174" s="93"/>
      <c r="B174" s="8"/>
      <c r="C174" s="8"/>
      <c r="D174" s="8" t="str">
        <f t="shared" si="2"/>
        <v/>
      </c>
      <c r="E174" s="93"/>
    </row>
    <row r="175" spans="1:5" x14ac:dyDescent="0.3">
      <c r="A175" s="93"/>
      <c r="B175" s="8"/>
      <c r="C175" s="8"/>
      <c r="D175" s="8" t="str">
        <f t="shared" si="2"/>
        <v/>
      </c>
      <c r="E175" s="93"/>
    </row>
    <row r="176" spans="1:5" x14ac:dyDescent="0.3">
      <c r="A176" s="93"/>
      <c r="B176" s="8"/>
      <c r="C176" s="8"/>
      <c r="D176" s="8" t="str">
        <f t="shared" si="2"/>
        <v/>
      </c>
      <c r="E176" s="93"/>
    </row>
    <row r="177" spans="1:5" x14ac:dyDescent="0.3">
      <c r="A177" s="93"/>
      <c r="B177" s="8"/>
      <c r="C177" s="8"/>
      <c r="D177" s="8" t="str">
        <f t="shared" si="2"/>
        <v/>
      </c>
      <c r="E177" s="93"/>
    </row>
    <row r="178" spans="1:5" x14ac:dyDescent="0.3">
      <c r="A178" s="93"/>
      <c r="B178" s="8"/>
      <c r="C178" s="8"/>
      <c r="D178" s="8" t="str">
        <f t="shared" si="2"/>
        <v/>
      </c>
      <c r="E178" s="93"/>
    </row>
    <row r="179" spans="1:5" x14ac:dyDescent="0.3">
      <c r="A179" s="93"/>
      <c r="B179" s="8"/>
      <c r="C179" s="8"/>
      <c r="D179" s="8" t="str">
        <f t="shared" si="2"/>
        <v/>
      </c>
      <c r="E179" s="93"/>
    </row>
    <row r="180" spans="1:5" x14ac:dyDescent="0.3">
      <c r="A180" s="93"/>
      <c r="B180" s="8"/>
      <c r="C180" s="8"/>
      <c r="D180" s="8" t="str">
        <f t="shared" si="2"/>
        <v/>
      </c>
      <c r="E180" s="93"/>
    </row>
    <row r="181" spans="1:5" x14ac:dyDescent="0.3">
      <c r="A181" s="93"/>
      <c r="B181" s="8"/>
      <c r="C181" s="8"/>
      <c r="D181" s="8" t="str">
        <f t="shared" si="2"/>
        <v/>
      </c>
      <c r="E181" s="93"/>
    </row>
    <row r="182" spans="1:5" x14ac:dyDescent="0.3">
      <c r="A182" s="93"/>
      <c r="B182" s="8"/>
      <c r="C182" s="8"/>
      <c r="D182" s="8" t="str">
        <f t="shared" si="2"/>
        <v/>
      </c>
      <c r="E182" s="93"/>
    </row>
    <row r="183" spans="1:5" x14ac:dyDescent="0.3">
      <c r="A183" s="93"/>
      <c r="B183" s="8"/>
      <c r="C183" s="8"/>
      <c r="D183" s="8" t="str">
        <f t="shared" si="2"/>
        <v/>
      </c>
      <c r="E183" s="93"/>
    </row>
    <row r="184" spans="1:5" x14ac:dyDescent="0.3">
      <c r="A184" s="93"/>
      <c r="B184" s="8"/>
      <c r="C184" s="8"/>
      <c r="D184" s="8" t="str">
        <f t="shared" si="2"/>
        <v/>
      </c>
      <c r="E184" s="93"/>
    </row>
    <row r="185" spans="1:5" x14ac:dyDescent="0.3">
      <c r="A185" s="93"/>
      <c r="B185" s="8"/>
      <c r="C185" s="8"/>
      <c r="D185" s="8" t="str">
        <f t="shared" si="2"/>
        <v/>
      </c>
      <c r="E185" s="93"/>
    </row>
    <row r="186" spans="1:5" x14ac:dyDescent="0.3">
      <c r="A186" s="93"/>
      <c r="B186" s="8"/>
      <c r="C186" s="8"/>
      <c r="D186" s="8" t="str">
        <f t="shared" si="2"/>
        <v/>
      </c>
      <c r="E186" s="93"/>
    </row>
    <row r="187" spans="1:5" x14ac:dyDescent="0.3">
      <c r="A187" s="93"/>
      <c r="B187" s="8"/>
      <c r="C187" s="8"/>
      <c r="D187" s="8" t="str">
        <f t="shared" si="2"/>
        <v/>
      </c>
      <c r="E187" s="93"/>
    </row>
    <row r="188" spans="1:5" x14ac:dyDescent="0.3">
      <c r="A188" s="93"/>
      <c r="B188" s="8"/>
      <c r="C188" s="8"/>
      <c r="D188" s="8" t="str">
        <f t="shared" si="2"/>
        <v/>
      </c>
      <c r="E188" s="93"/>
    </row>
    <row r="189" spans="1:5" x14ac:dyDescent="0.3">
      <c r="A189" s="93"/>
      <c r="B189" s="8"/>
      <c r="C189" s="8"/>
      <c r="D189" s="8" t="str">
        <f t="shared" si="2"/>
        <v/>
      </c>
      <c r="E189" s="93"/>
    </row>
    <row r="190" spans="1:5" x14ac:dyDescent="0.3">
      <c r="A190" s="93"/>
      <c r="B190" s="8"/>
      <c r="C190" s="8"/>
      <c r="D190" s="8" t="str">
        <f t="shared" si="2"/>
        <v/>
      </c>
      <c r="E190" s="93"/>
    </row>
    <row r="191" spans="1:5" x14ac:dyDescent="0.3">
      <c r="A191" s="93"/>
      <c r="B191" s="8"/>
      <c r="C191" s="8"/>
      <c r="D191" s="8" t="str">
        <f t="shared" si="2"/>
        <v/>
      </c>
      <c r="E191" s="93"/>
    </row>
    <row r="192" spans="1:5" x14ac:dyDescent="0.3">
      <c r="A192" s="93"/>
      <c r="B192" s="8"/>
      <c r="C192" s="8"/>
      <c r="D192" s="8" t="str">
        <f t="shared" si="2"/>
        <v/>
      </c>
      <c r="E192" s="93"/>
    </row>
    <row r="193" spans="1:5" x14ac:dyDescent="0.3">
      <c r="A193" s="93"/>
      <c r="B193" s="8"/>
      <c r="C193" s="8"/>
      <c r="D193" s="8" t="str">
        <f t="shared" si="2"/>
        <v/>
      </c>
      <c r="E193" s="93"/>
    </row>
    <row r="194" spans="1:5" x14ac:dyDescent="0.3">
      <c r="A194" s="93"/>
      <c r="B194" s="8"/>
      <c r="C194" s="8"/>
      <c r="D194" s="8" t="str">
        <f t="shared" si="2"/>
        <v/>
      </c>
      <c r="E194" s="93"/>
    </row>
    <row r="195" spans="1:5" x14ac:dyDescent="0.3">
      <c r="A195" s="93"/>
      <c r="B195" s="8"/>
      <c r="C195" s="8"/>
      <c r="D195" s="8" t="str">
        <f t="shared" si="2"/>
        <v/>
      </c>
      <c r="E195" s="93"/>
    </row>
    <row r="196" spans="1:5" x14ac:dyDescent="0.3">
      <c r="A196" s="93"/>
      <c r="B196" s="8"/>
      <c r="C196" s="8"/>
      <c r="D196" s="8" t="str">
        <f t="shared" ref="D196:D259" si="3">B196&amp;C196</f>
        <v/>
      </c>
      <c r="E196" s="93"/>
    </row>
    <row r="197" spans="1:5" x14ac:dyDescent="0.3">
      <c r="A197" s="93"/>
      <c r="B197" s="8"/>
      <c r="C197" s="8"/>
      <c r="D197" s="8" t="str">
        <f t="shared" si="3"/>
        <v/>
      </c>
      <c r="E197" s="93"/>
    </row>
    <row r="198" spans="1:5" x14ac:dyDescent="0.3">
      <c r="A198" s="93"/>
      <c r="B198" s="8"/>
      <c r="C198" s="8"/>
      <c r="D198" s="8" t="str">
        <f t="shared" si="3"/>
        <v/>
      </c>
      <c r="E198" s="93"/>
    </row>
    <row r="199" spans="1:5" x14ac:dyDescent="0.3">
      <c r="A199" s="93"/>
      <c r="B199" s="8"/>
      <c r="C199" s="8"/>
      <c r="D199" s="8" t="str">
        <f t="shared" si="3"/>
        <v/>
      </c>
      <c r="E199" s="93"/>
    </row>
    <row r="200" spans="1:5" x14ac:dyDescent="0.3">
      <c r="A200" s="93"/>
      <c r="B200" s="8"/>
      <c r="C200" s="8"/>
      <c r="D200" s="8" t="str">
        <f t="shared" si="3"/>
        <v/>
      </c>
      <c r="E200" s="93"/>
    </row>
    <row r="201" spans="1:5" x14ac:dyDescent="0.3">
      <c r="A201" s="93"/>
      <c r="B201" s="8"/>
      <c r="C201" s="8"/>
      <c r="D201" s="8" t="str">
        <f t="shared" si="3"/>
        <v/>
      </c>
      <c r="E201" s="93"/>
    </row>
    <row r="202" spans="1:5" x14ac:dyDescent="0.3">
      <c r="A202" s="93"/>
      <c r="B202" s="8"/>
      <c r="C202" s="8"/>
      <c r="D202" s="8" t="str">
        <f t="shared" si="3"/>
        <v/>
      </c>
      <c r="E202" s="93"/>
    </row>
    <row r="203" spans="1:5" x14ac:dyDescent="0.3">
      <c r="A203" s="93"/>
      <c r="B203" s="8"/>
      <c r="C203" s="8"/>
      <c r="D203" s="8" t="str">
        <f t="shared" si="3"/>
        <v/>
      </c>
      <c r="E203" s="93"/>
    </row>
    <row r="204" spans="1:5" x14ac:dyDescent="0.3">
      <c r="A204" s="93"/>
      <c r="B204" s="8"/>
      <c r="C204" s="8"/>
      <c r="D204" s="8" t="str">
        <f t="shared" si="3"/>
        <v/>
      </c>
      <c r="E204" s="93"/>
    </row>
    <row r="205" spans="1:5" x14ac:dyDescent="0.3">
      <c r="A205" s="93"/>
      <c r="B205" s="8"/>
      <c r="C205" s="8"/>
      <c r="D205" s="8" t="str">
        <f t="shared" si="3"/>
        <v/>
      </c>
      <c r="E205" s="93"/>
    </row>
    <row r="206" spans="1:5" x14ac:dyDescent="0.3">
      <c r="A206" s="93"/>
      <c r="B206" s="8"/>
      <c r="C206" s="8"/>
      <c r="D206" s="8" t="str">
        <f t="shared" si="3"/>
        <v/>
      </c>
      <c r="E206" s="93"/>
    </row>
    <row r="207" spans="1:5" x14ac:dyDescent="0.3">
      <c r="A207" s="93"/>
      <c r="B207" s="8"/>
      <c r="C207" s="8"/>
      <c r="D207" s="8" t="str">
        <f t="shared" si="3"/>
        <v/>
      </c>
      <c r="E207" s="93"/>
    </row>
    <row r="208" spans="1:5" x14ac:dyDescent="0.3">
      <c r="A208" s="93"/>
      <c r="B208" s="8"/>
      <c r="C208" s="8"/>
      <c r="D208" s="8" t="str">
        <f t="shared" si="3"/>
        <v/>
      </c>
      <c r="E208" s="93"/>
    </row>
    <row r="209" spans="1:5" x14ac:dyDescent="0.3">
      <c r="A209" s="93"/>
      <c r="B209" s="8"/>
      <c r="C209" s="8"/>
      <c r="D209" s="8" t="str">
        <f t="shared" si="3"/>
        <v/>
      </c>
      <c r="E209" s="93"/>
    </row>
    <row r="210" spans="1:5" x14ac:dyDescent="0.3">
      <c r="A210" s="93"/>
      <c r="B210" s="8"/>
      <c r="C210" s="8"/>
      <c r="D210" s="8" t="str">
        <f t="shared" si="3"/>
        <v/>
      </c>
      <c r="E210" s="93"/>
    </row>
    <row r="211" spans="1:5" x14ac:dyDescent="0.3">
      <c r="A211" s="93"/>
      <c r="B211" s="8"/>
      <c r="C211" s="8"/>
      <c r="D211" s="8" t="str">
        <f t="shared" si="3"/>
        <v/>
      </c>
      <c r="E211" s="93"/>
    </row>
    <row r="212" spans="1:5" x14ac:dyDescent="0.3">
      <c r="A212" s="93"/>
      <c r="B212" s="8"/>
      <c r="C212" s="8"/>
      <c r="D212" s="8" t="str">
        <f t="shared" si="3"/>
        <v/>
      </c>
      <c r="E212" s="93"/>
    </row>
    <row r="213" spans="1:5" x14ac:dyDescent="0.3">
      <c r="A213" s="93"/>
      <c r="B213" s="8"/>
      <c r="C213" s="8"/>
      <c r="D213" s="8" t="str">
        <f t="shared" si="3"/>
        <v/>
      </c>
      <c r="E213" s="93"/>
    </row>
    <row r="214" spans="1:5" x14ac:dyDescent="0.3">
      <c r="A214" s="93"/>
      <c r="B214" s="8"/>
      <c r="C214" s="8"/>
      <c r="D214" s="8" t="str">
        <f t="shared" si="3"/>
        <v/>
      </c>
      <c r="E214" s="93"/>
    </row>
    <row r="215" spans="1:5" x14ac:dyDescent="0.3">
      <c r="A215" s="93"/>
      <c r="B215" s="8"/>
      <c r="C215" s="8"/>
      <c r="D215" s="8" t="str">
        <f t="shared" si="3"/>
        <v/>
      </c>
      <c r="E215" s="93"/>
    </row>
    <row r="216" spans="1:5" x14ac:dyDescent="0.3">
      <c r="A216" s="93"/>
      <c r="B216" s="8"/>
      <c r="C216" s="8"/>
      <c r="D216" s="8" t="str">
        <f t="shared" si="3"/>
        <v/>
      </c>
      <c r="E216" s="93"/>
    </row>
    <row r="217" spans="1:5" x14ac:dyDescent="0.3">
      <c r="A217" s="93"/>
      <c r="B217" s="8"/>
      <c r="C217" s="8"/>
      <c r="D217" s="8" t="str">
        <f t="shared" si="3"/>
        <v/>
      </c>
      <c r="E217" s="93"/>
    </row>
    <row r="218" spans="1:5" x14ac:dyDescent="0.3">
      <c r="A218" s="93"/>
      <c r="B218" s="8"/>
      <c r="C218" s="8"/>
      <c r="D218" s="8" t="str">
        <f t="shared" si="3"/>
        <v/>
      </c>
      <c r="E218" s="93"/>
    </row>
    <row r="219" spans="1:5" x14ac:dyDescent="0.3">
      <c r="A219" s="93"/>
      <c r="B219" s="8"/>
      <c r="C219" s="8"/>
      <c r="D219" s="8" t="str">
        <f t="shared" si="3"/>
        <v/>
      </c>
      <c r="E219" s="93"/>
    </row>
    <row r="220" spans="1:5" x14ac:dyDescent="0.3">
      <c r="A220" s="93"/>
      <c r="B220" s="8"/>
      <c r="C220" s="8"/>
      <c r="D220" s="8" t="str">
        <f t="shared" si="3"/>
        <v/>
      </c>
      <c r="E220" s="93"/>
    </row>
    <row r="221" spans="1:5" x14ac:dyDescent="0.3">
      <c r="A221" s="93"/>
      <c r="B221" s="8"/>
      <c r="C221" s="8"/>
      <c r="D221" s="8" t="str">
        <f t="shared" si="3"/>
        <v/>
      </c>
      <c r="E221" s="93"/>
    </row>
    <row r="222" spans="1:5" x14ac:dyDescent="0.3">
      <c r="A222" s="93"/>
      <c r="B222" s="8"/>
      <c r="C222" s="8"/>
      <c r="D222" s="8" t="str">
        <f t="shared" si="3"/>
        <v/>
      </c>
      <c r="E222" s="93"/>
    </row>
    <row r="223" spans="1:5" x14ac:dyDescent="0.3">
      <c r="A223" s="93"/>
      <c r="B223" s="8"/>
      <c r="C223" s="8"/>
      <c r="D223" s="8" t="str">
        <f t="shared" si="3"/>
        <v/>
      </c>
      <c r="E223" s="93"/>
    </row>
    <row r="224" spans="1:5" x14ac:dyDescent="0.3">
      <c r="A224" s="93"/>
      <c r="B224" s="8"/>
      <c r="C224" s="8"/>
      <c r="D224" s="8" t="str">
        <f t="shared" si="3"/>
        <v/>
      </c>
      <c r="E224" s="93"/>
    </row>
    <row r="225" spans="1:5" x14ac:dyDescent="0.3">
      <c r="A225" s="93"/>
      <c r="B225" s="8"/>
      <c r="C225" s="8"/>
      <c r="D225" s="8" t="str">
        <f t="shared" si="3"/>
        <v/>
      </c>
      <c r="E225" s="93"/>
    </row>
    <row r="226" spans="1:5" x14ac:dyDescent="0.3">
      <c r="A226" s="93"/>
      <c r="B226" s="8"/>
      <c r="C226" s="8"/>
      <c r="D226" s="8" t="str">
        <f t="shared" si="3"/>
        <v/>
      </c>
      <c r="E226" s="93"/>
    </row>
    <row r="227" spans="1:5" x14ac:dyDescent="0.3">
      <c r="A227" s="93"/>
      <c r="B227" s="8"/>
      <c r="C227" s="8"/>
      <c r="D227" s="8" t="str">
        <f t="shared" si="3"/>
        <v/>
      </c>
      <c r="E227" s="93"/>
    </row>
    <row r="228" spans="1:5" x14ac:dyDescent="0.3">
      <c r="A228" s="93"/>
      <c r="B228" s="8"/>
      <c r="C228" s="8"/>
      <c r="D228" s="8" t="str">
        <f t="shared" si="3"/>
        <v/>
      </c>
      <c r="E228" s="93"/>
    </row>
    <row r="229" spans="1:5" x14ac:dyDescent="0.3">
      <c r="A229" s="93"/>
      <c r="B229" s="8"/>
      <c r="C229" s="8"/>
      <c r="D229" s="8" t="str">
        <f t="shared" si="3"/>
        <v/>
      </c>
      <c r="E229" s="93"/>
    </row>
    <row r="230" spans="1:5" x14ac:dyDescent="0.3">
      <c r="A230" s="93"/>
      <c r="B230" s="8"/>
      <c r="C230" s="8"/>
      <c r="D230" s="8" t="str">
        <f t="shared" si="3"/>
        <v/>
      </c>
      <c r="E230" s="93"/>
    </row>
    <row r="231" spans="1:5" x14ac:dyDescent="0.3">
      <c r="A231" s="93"/>
      <c r="B231" s="8"/>
      <c r="C231" s="8"/>
      <c r="D231" s="8" t="str">
        <f t="shared" si="3"/>
        <v/>
      </c>
      <c r="E231" s="93"/>
    </row>
    <row r="232" spans="1:5" x14ac:dyDescent="0.3">
      <c r="A232" s="93"/>
      <c r="B232" s="8"/>
      <c r="C232" s="8"/>
      <c r="D232" s="8" t="str">
        <f t="shared" si="3"/>
        <v/>
      </c>
      <c r="E232" s="93"/>
    </row>
    <row r="233" spans="1:5" x14ac:dyDescent="0.3">
      <c r="A233" s="93"/>
      <c r="B233" s="8"/>
      <c r="C233" s="8"/>
      <c r="D233" s="8" t="str">
        <f t="shared" si="3"/>
        <v/>
      </c>
      <c r="E233" s="93"/>
    </row>
    <row r="234" spans="1:5" x14ac:dyDescent="0.3">
      <c r="A234" s="93"/>
      <c r="B234" s="8"/>
      <c r="C234" s="8"/>
      <c r="D234" s="8" t="str">
        <f t="shared" si="3"/>
        <v/>
      </c>
      <c r="E234" s="93"/>
    </row>
    <row r="235" spans="1:5" x14ac:dyDescent="0.3">
      <c r="A235" s="93"/>
      <c r="B235" s="8"/>
      <c r="C235" s="8"/>
      <c r="D235" s="8" t="str">
        <f t="shared" si="3"/>
        <v/>
      </c>
      <c r="E235" s="93"/>
    </row>
    <row r="236" spans="1:5" x14ac:dyDescent="0.3">
      <c r="A236" s="93"/>
      <c r="B236" s="8"/>
      <c r="C236" s="8"/>
      <c r="D236" s="8" t="str">
        <f t="shared" si="3"/>
        <v/>
      </c>
      <c r="E236" s="93"/>
    </row>
    <row r="237" spans="1:5" x14ac:dyDescent="0.3">
      <c r="A237" s="93"/>
      <c r="B237" s="8"/>
      <c r="C237" s="8"/>
      <c r="D237" s="8" t="str">
        <f t="shared" si="3"/>
        <v/>
      </c>
      <c r="E237" s="93"/>
    </row>
    <row r="238" spans="1:5" x14ac:dyDescent="0.3">
      <c r="A238" s="93"/>
      <c r="B238" s="8"/>
      <c r="C238" s="8"/>
      <c r="D238" s="8" t="str">
        <f t="shared" si="3"/>
        <v/>
      </c>
      <c r="E238" s="93"/>
    </row>
    <row r="239" spans="1:5" x14ac:dyDescent="0.3">
      <c r="A239" s="93"/>
      <c r="B239" s="8"/>
      <c r="C239" s="8"/>
      <c r="D239" s="8" t="str">
        <f t="shared" si="3"/>
        <v/>
      </c>
      <c r="E239" s="93"/>
    </row>
    <row r="240" spans="1:5" x14ac:dyDescent="0.3">
      <c r="A240" s="93"/>
      <c r="B240" s="8"/>
      <c r="C240" s="8"/>
      <c r="D240" s="8" t="str">
        <f t="shared" si="3"/>
        <v/>
      </c>
      <c r="E240" s="93"/>
    </row>
    <row r="241" spans="1:5" x14ac:dyDescent="0.3">
      <c r="A241" s="93"/>
      <c r="B241" s="8"/>
      <c r="C241" s="8"/>
      <c r="D241" s="8" t="str">
        <f t="shared" si="3"/>
        <v/>
      </c>
      <c r="E241" s="93"/>
    </row>
    <row r="242" spans="1:5" x14ac:dyDescent="0.3">
      <c r="A242" s="93"/>
      <c r="B242" s="8"/>
      <c r="C242" s="8"/>
      <c r="D242" s="8" t="str">
        <f t="shared" si="3"/>
        <v/>
      </c>
      <c r="E242" s="93"/>
    </row>
    <row r="243" spans="1:5" x14ac:dyDescent="0.3">
      <c r="A243" s="93"/>
      <c r="B243" s="8"/>
      <c r="C243" s="8"/>
      <c r="D243" s="8" t="str">
        <f t="shared" si="3"/>
        <v/>
      </c>
      <c r="E243" s="93"/>
    </row>
    <row r="244" spans="1:5" x14ac:dyDescent="0.3">
      <c r="A244" s="93"/>
      <c r="B244" s="8"/>
      <c r="C244" s="8"/>
      <c r="D244" s="8" t="str">
        <f t="shared" si="3"/>
        <v/>
      </c>
      <c r="E244" s="93"/>
    </row>
    <row r="245" spans="1:5" x14ac:dyDescent="0.3">
      <c r="A245" s="93"/>
      <c r="B245" s="8"/>
      <c r="C245" s="8"/>
      <c r="D245" s="8" t="str">
        <f t="shared" si="3"/>
        <v/>
      </c>
      <c r="E245" s="93"/>
    </row>
    <row r="246" spans="1:5" x14ac:dyDescent="0.3">
      <c r="A246" s="93"/>
      <c r="B246" s="8"/>
      <c r="C246" s="8"/>
      <c r="D246" s="8" t="str">
        <f t="shared" si="3"/>
        <v/>
      </c>
      <c r="E246" s="93"/>
    </row>
    <row r="247" spans="1:5" x14ac:dyDescent="0.3">
      <c r="A247" s="93"/>
      <c r="B247" s="8"/>
      <c r="C247" s="8"/>
      <c r="D247" s="8" t="str">
        <f t="shared" si="3"/>
        <v/>
      </c>
      <c r="E247" s="93"/>
    </row>
    <row r="248" spans="1:5" x14ac:dyDescent="0.3">
      <c r="A248" s="93"/>
      <c r="B248" s="8"/>
      <c r="C248" s="8"/>
      <c r="D248" s="8" t="str">
        <f t="shared" si="3"/>
        <v/>
      </c>
      <c r="E248" s="93"/>
    </row>
    <row r="249" spans="1:5" x14ac:dyDescent="0.3">
      <c r="A249" s="93"/>
      <c r="B249" s="8"/>
      <c r="C249" s="8"/>
      <c r="D249" s="8" t="str">
        <f t="shared" si="3"/>
        <v/>
      </c>
      <c r="E249" s="93"/>
    </row>
    <row r="250" spans="1:5" x14ac:dyDescent="0.3">
      <c r="A250" s="93"/>
      <c r="B250" s="8"/>
      <c r="C250" s="8"/>
      <c r="D250" s="8" t="str">
        <f t="shared" si="3"/>
        <v/>
      </c>
      <c r="E250" s="93"/>
    </row>
    <row r="251" spans="1:5" x14ac:dyDescent="0.3">
      <c r="A251" s="93"/>
      <c r="B251" s="8"/>
      <c r="C251" s="8"/>
      <c r="D251" s="8" t="str">
        <f t="shared" si="3"/>
        <v/>
      </c>
      <c r="E251" s="93"/>
    </row>
    <row r="252" spans="1:5" x14ac:dyDescent="0.3">
      <c r="A252" s="93"/>
      <c r="B252" s="8"/>
      <c r="C252" s="8"/>
      <c r="D252" s="8" t="str">
        <f t="shared" si="3"/>
        <v/>
      </c>
      <c r="E252" s="93"/>
    </row>
    <row r="253" spans="1:5" x14ac:dyDescent="0.3">
      <c r="A253" s="93"/>
      <c r="B253" s="8"/>
      <c r="C253" s="8"/>
      <c r="D253" s="8" t="str">
        <f t="shared" si="3"/>
        <v/>
      </c>
      <c r="E253" s="93"/>
    </row>
    <row r="254" spans="1:5" x14ac:dyDescent="0.3">
      <c r="A254" s="93"/>
      <c r="B254" s="8"/>
      <c r="C254" s="8"/>
      <c r="D254" s="8" t="str">
        <f t="shared" si="3"/>
        <v/>
      </c>
      <c r="E254" s="93"/>
    </row>
    <row r="255" spans="1:5" x14ac:dyDescent="0.3">
      <c r="A255" s="93"/>
      <c r="B255" s="8"/>
      <c r="C255" s="8"/>
      <c r="D255" s="8" t="str">
        <f t="shared" si="3"/>
        <v/>
      </c>
      <c r="E255" s="93"/>
    </row>
    <row r="256" spans="1:5" x14ac:dyDescent="0.3">
      <c r="A256" s="93"/>
      <c r="B256" s="8"/>
      <c r="C256" s="8"/>
      <c r="D256" s="8" t="str">
        <f t="shared" si="3"/>
        <v/>
      </c>
      <c r="E256" s="93"/>
    </row>
    <row r="257" spans="1:5" x14ac:dyDescent="0.3">
      <c r="A257" s="93"/>
      <c r="B257" s="8"/>
      <c r="C257" s="8"/>
      <c r="D257" s="8" t="str">
        <f t="shared" si="3"/>
        <v/>
      </c>
      <c r="E257" s="93"/>
    </row>
    <row r="258" spans="1:5" x14ac:dyDescent="0.3">
      <c r="A258" s="93"/>
      <c r="B258" s="8"/>
      <c r="C258" s="8"/>
      <c r="D258" s="8" t="str">
        <f t="shared" si="3"/>
        <v/>
      </c>
      <c r="E258" s="93"/>
    </row>
    <row r="259" spans="1:5" x14ac:dyDescent="0.3">
      <c r="A259" s="93"/>
      <c r="B259" s="8"/>
      <c r="C259" s="8"/>
      <c r="D259" s="8" t="str">
        <f t="shared" si="3"/>
        <v/>
      </c>
      <c r="E259" s="93"/>
    </row>
    <row r="260" spans="1:5" x14ac:dyDescent="0.3">
      <c r="A260" s="93"/>
      <c r="B260" s="8"/>
      <c r="C260" s="8"/>
      <c r="D260" s="8" t="str">
        <f t="shared" ref="D260:D323" si="4">B260&amp;C260</f>
        <v/>
      </c>
      <c r="E260" s="93"/>
    </row>
    <row r="261" spans="1:5" x14ac:dyDescent="0.3">
      <c r="A261" s="93"/>
      <c r="B261" s="8"/>
      <c r="C261" s="8"/>
      <c r="D261" s="8" t="str">
        <f t="shared" si="4"/>
        <v/>
      </c>
      <c r="E261" s="93"/>
    </row>
    <row r="262" spans="1:5" x14ac:dyDescent="0.3">
      <c r="A262" s="93"/>
      <c r="B262" s="8"/>
      <c r="C262" s="8"/>
      <c r="D262" s="8" t="str">
        <f t="shared" si="4"/>
        <v/>
      </c>
      <c r="E262" s="93"/>
    </row>
    <row r="263" spans="1:5" x14ac:dyDescent="0.3">
      <c r="A263" s="93"/>
      <c r="B263" s="8"/>
      <c r="C263" s="8"/>
      <c r="D263" s="8" t="str">
        <f t="shared" si="4"/>
        <v/>
      </c>
      <c r="E263" s="93"/>
    </row>
    <row r="264" spans="1:5" x14ac:dyDescent="0.3">
      <c r="A264" s="93"/>
      <c r="B264" s="8"/>
      <c r="C264" s="8"/>
      <c r="D264" s="8" t="str">
        <f t="shared" si="4"/>
        <v/>
      </c>
      <c r="E264" s="93"/>
    </row>
    <row r="265" spans="1:5" x14ac:dyDescent="0.3">
      <c r="A265" s="93"/>
      <c r="B265" s="8"/>
      <c r="C265" s="8"/>
      <c r="D265" s="8" t="str">
        <f t="shared" si="4"/>
        <v/>
      </c>
      <c r="E265" s="93"/>
    </row>
    <row r="266" spans="1:5" x14ac:dyDescent="0.3">
      <c r="A266" s="93"/>
      <c r="B266" s="8"/>
      <c r="C266" s="8"/>
      <c r="D266" s="8" t="str">
        <f t="shared" si="4"/>
        <v/>
      </c>
      <c r="E266" s="93"/>
    </row>
    <row r="267" spans="1:5" x14ac:dyDescent="0.3">
      <c r="A267" s="93"/>
      <c r="B267" s="8"/>
      <c r="C267" s="8"/>
      <c r="D267" s="8" t="str">
        <f t="shared" si="4"/>
        <v/>
      </c>
      <c r="E267" s="93"/>
    </row>
    <row r="268" spans="1:5" x14ac:dyDescent="0.3">
      <c r="A268" s="93"/>
      <c r="B268" s="8"/>
      <c r="C268" s="8"/>
      <c r="D268" s="8" t="str">
        <f t="shared" si="4"/>
        <v/>
      </c>
      <c r="E268" s="93"/>
    </row>
    <row r="269" spans="1:5" x14ac:dyDescent="0.3">
      <c r="A269" s="93"/>
      <c r="B269" s="8"/>
      <c r="C269" s="8"/>
      <c r="D269" s="8" t="str">
        <f t="shared" si="4"/>
        <v/>
      </c>
      <c r="E269" s="93"/>
    </row>
    <row r="270" spans="1:5" x14ac:dyDescent="0.3">
      <c r="A270" s="93"/>
      <c r="B270" s="8"/>
      <c r="C270" s="8"/>
      <c r="D270" s="8" t="str">
        <f t="shared" si="4"/>
        <v/>
      </c>
      <c r="E270" s="93"/>
    </row>
    <row r="271" spans="1:5" x14ac:dyDescent="0.3">
      <c r="A271" s="93"/>
      <c r="B271" s="8"/>
      <c r="C271" s="8"/>
      <c r="D271" s="8" t="str">
        <f t="shared" si="4"/>
        <v/>
      </c>
      <c r="E271" s="93"/>
    </row>
    <row r="272" spans="1:5" x14ac:dyDescent="0.3">
      <c r="A272" s="93"/>
      <c r="B272" s="8"/>
      <c r="C272" s="8"/>
      <c r="D272" s="8" t="str">
        <f t="shared" si="4"/>
        <v/>
      </c>
      <c r="E272" s="93"/>
    </row>
    <row r="273" spans="1:5" x14ac:dyDescent="0.3">
      <c r="A273" s="93"/>
      <c r="B273" s="8"/>
      <c r="C273" s="8"/>
      <c r="D273" s="8" t="str">
        <f t="shared" si="4"/>
        <v/>
      </c>
      <c r="E273" s="93"/>
    </row>
    <row r="274" spans="1:5" x14ac:dyDescent="0.3">
      <c r="A274" s="93"/>
      <c r="B274" s="8"/>
      <c r="C274" s="8"/>
      <c r="D274" s="8" t="str">
        <f t="shared" si="4"/>
        <v/>
      </c>
      <c r="E274" s="93"/>
    </row>
    <row r="275" spans="1:5" x14ac:dyDescent="0.3">
      <c r="A275" s="93"/>
      <c r="B275" s="8"/>
      <c r="C275" s="8"/>
      <c r="D275" s="8" t="str">
        <f t="shared" si="4"/>
        <v/>
      </c>
      <c r="E275" s="93"/>
    </row>
    <row r="276" spans="1:5" x14ac:dyDescent="0.3">
      <c r="A276" s="93"/>
      <c r="B276" s="8"/>
      <c r="C276" s="8"/>
      <c r="D276" s="8" t="str">
        <f t="shared" si="4"/>
        <v/>
      </c>
      <c r="E276" s="93"/>
    </row>
    <row r="277" spans="1:5" x14ac:dyDescent="0.3">
      <c r="A277" s="93"/>
      <c r="B277" s="8"/>
      <c r="C277" s="8"/>
      <c r="D277" s="8" t="str">
        <f t="shared" si="4"/>
        <v/>
      </c>
      <c r="E277" s="93"/>
    </row>
    <row r="278" spans="1:5" x14ac:dyDescent="0.3">
      <c r="A278" s="93"/>
      <c r="B278" s="8"/>
      <c r="C278" s="8"/>
      <c r="D278" s="8" t="str">
        <f t="shared" si="4"/>
        <v/>
      </c>
      <c r="E278" s="93"/>
    </row>
    <row r="279" spans="1:5" x14ac:dyDescent="0.3">
      <c r="A279" s="93"/>
      <c r="B279" s="8"/>
      <c r="C279" s="8"/>
      <c r="D279" s="8" t="str">
        <f t="shared" si="4"/>
        <v/>
      </c>
      <c r="E279" s="93"/>
    </row>
    <row r="280" spans="1:5" x14ac:dyDescent="0.3">
      <c r="A280" s="93"/>
      <c r="B280" s="8"/>
      <c r="C280" s="8"/>
      <c r="D280" s="8" t="str">
        <f t="shared" si="4"/>
        <v/>
      </c>
      <c r="E280" s="93"/>
    </row>
    <row r="281" spans="1:5" x14ac:dyDescent="0.3">
      <c r="A281" s="93"/>
      <c r="B281" s="8"/>
      <c r="C281" s="8"/>
      <c r="D281" s="8" t="str">
        <f t="shared" si="4"/>
        <v/>
      </c>
      <c r="E281" s="93"/>
    </row>
    <row r="282" spans="1:5" x14ac:dyDescent="0.3">
      <c r="A282" s="93"/>
      <c r="B282" s="8"/>
      <c r="C282" s="8"/>
      <c r="D282" s="8" t="str">
        <f t="shared" si="4"/>
        <v/>
      </c>
      <c r="E282" s="93"/>
    </row>
    <row r="283" spans="1:5" x14ac:dyDescent="0.3">
      <c r="A283" s="93"/>
      <c r="B283" s="8"/>
      <c r="C283" s="8"/>
      <c r="D283" s="8" t="str">
        <f t="shared" si="4"/>
        <v/>
      </c>
      <c r="E283" s="93"/>
    </row>
    <row r="284" spans="1:5" x14ac:dyDescent="0.3">
      <c r="A284" s="93"/>
      <c r="B284" s="8"/>
      <c r="C284" s="8"/>
      <c r="D284" s="8" t="str">
        <f t="shared" si="4"/>
        <v/>
      </c>
      <c r="E284" s="93"/>
    </row>
    <row r="285" spans="1:5" x14ac:dyDescent="0.3">
      <c r="A285" s="93"/>
      <c r="B285" s="8"/>
      <c r="C285" s="8"/>
      <c r="D285" s="8" t="str">
        <f t="shared" si="4"/>
        <v/>
      </c>
      <c r="E285" s="93"/>
    </row>
    <row r="286" spans="1:5" x14ac:dyDescent="0.3">
      <c r="A286" s="93"/>
      <c r="B286" s="8"/>
      <c r="C286" s="8"/>
      <c r="D286" s="8" t="str">
        <f t="shared" si="4"/>
        <v/>
      </c>
      <c r="E286" s="93"/>
    </row>
    <row r="287" spans="1:5" x14ac:dyDescent="0.3">
      <c r="A287" s="93"/>
      <c r="B287" s="8"/>
      <c r="C287" s="8"/>
      <c r="D287" s="8" t="str">
        <f t="shared" si="4"/>
        <v/>
      </c>
      <c r="E287" s="93"/>
    </row>
    <row r="288" spans="1:5" x14ac:dyDescent="0.3">
      <c r="A288" s="93"/>
      <c r="B288" s="8"/>
      <c r="C288" s="8"/>
      <c r="D288" s="8" t="str">
        <f t="shared" si="4"/>
        <v/>
      </c>
      <c r="E288" s="93"/>
    </row>
    <row r="289" spans="1:5" x14ac:dyDescent="0.3">
      <c r="A289" s="93"/>
      <c r="B289" s="8"/>
      <c r="C289" s="8"/>
      <c r="D289" s="8" t="str">
        <f t="shared" si="4"/>
        <v/>
      </c>
      <c r="E289" s="93"/>
    </row>
    <row r="290" spans="1:5" x14ac:dyDescent="0.3">
      <c r="A290" s="93"/>
      <c r="B290" s="8"/>
      <c r="C290" s="8"/>
      <c r="D290" s="8" t="str">
        <f t="shared" si="4"/>
        <v/>
      </c>
      <c r="E290" s="93"/>
    </row>
    <row r="291" spans="1:5" x14ac:dyDescent="0.3">
      <c r="A291" s="93"/>
      <c r="B291" s="8"/>
      <c r="C291" s="8"/>
      <c r="D291" s="8" t="str">
        <f t="shared" si="4"/>
        <v/>
      </c>
      <c r="E291" s="93"/>
    </row>
    <row r="292" spans="1:5" x14ac:dyDescent="0.3">
      <c r="A292" s="93"/>
      <c r="B292" s="8"/>
      <c r="C292" s="8"/>
      <c r="D292" s="8" t="str">
        <f t="shared" si="4"/>
        <v/>
      </c>
      <c r="E292" s="93"/>
    </row>
    <row r="293" spans="1:5" x14ac:dyDescent="0.3">
      <c r="A293" s="93"/>
      <c r="B293" s="8"/>
      <c r="C293" s="8"/>
      <c r="D293" s="8" t="str">
        <f t="shared" si="4"/>
        <v/>
      </c>
      <c r="E293" s="93"/>
    </row>
    <row r="294" spans="1:5" x14ac:dyDescent="0.3">
      <c r="A294" s="93"/>
      <c r="B294" s="8"/>
      <c r="C294" s="8"/>
      <c r="D294" s="8" t="str">
        <f t="shared" si="4"/>
        <v/>
      </c>
      <c r="E294" s="93"/>
    </row>
    <row r="295" spans="1:5" x14ac:dyDescent="0.3">
      <c r="A295" s="93"/>
      <c r="B295" s="8"/>
      <c r="C295" s="8"/>
      <c r="D295" s="8" t="str">
        <f t="shared" si="4"/>
        <v/>
      </c>
      <c r="E295" s="93"/>
    </row>
    <row r="296" spans="1:5" x14ac:dyDescent="0.3">
      <c r="A296" s="93"/>
      <c r="B296" s="8"/>
      <c r="C296" s="8"/>
      <c r="D296" s="8" t="str">
        <f t="shared" si="4"/>
        <v/>
      </c>
      <c r="E296" s="93"/>
    </row>
    <row r="297" spans="1:5" x14ac:dyDescent="0.3">
      <c r="A297" s="93"/>
      <c r="B297" s="8"/>
      <c r="C297" s="8"/>
      <c r="D297" s="8" t="str">
        <f t="shared" si="4"/>
        <v/>
      </c>
      <c r="E297" s="93"/>
    </row>
    <row r="298" spans="1:5" x14ac:dyDescent="0.3">
      <c r="A298" s="93"/>
      <c r="B298" s="8"/>
      <c r="C298" s="8"/>
      <c r="D298" s="8" t="str">
        <f t="shared" si="4"/>
        <v/>
      </c>
      <c r="E298" s="93"/>
    </row>
    <row r="299" spans="1:5" x14ac:dyDescent="0.3">
      <c r="A299" s="93"/>
      <c r="B299" s="8"/>
      <c r="C299" s="8"/>
      <c r="D299" s="8" t="str">
        <f t="shared" si="4"/>
        <v/>
      </c>
      <c r="E299" s="93"/>
    </row>
    <row r="300" spans="1:5" x14ac:dyDescent="0.3">
      <c r="A300" s="93"/>
      <c r="B300" s="8"/>
      <c r="C300" s="8"/>
      <c r="D300" s="8" t="str">
        <f t="shared" si="4"/>
        <v/>
      </c>
      <c r="E300" s="93"/>
    </row>
    <row r="301" spans="1:5" x14ac:dyDescent="0.3">
      <c r="A301" s="93"/>
      <c r="B301" s="8"/>
      <c r="C301" s="8"/>
      <c r="D301" s="8" t="str">
        <f t="shared" si="4"/>
        <v/>
      </c>
      <c r="E301" s="93"/>
    </row>
    <row r="302" spans="1:5" x14ac:dyDescent="0.3">
      <c r="A302" s="93"/>
      <c r="B302" s="8"/>
      <c r="C302" s="8"/>
      <c r="D302" s="8" t="str">
        <f t="shared" si="4"/>
        <v/>
      </c>
      <c r="E302" s="93"/>
    </row>
    <row r="303" spans="1:5" x14ac:dyDescent="0.3">
      <c r="A303" s="93"/>
      <c r="B303" s="8"/>
      <c r="C303" s="8"/>
      <c r="D303" s="8" t="str">
        <f t="shared" si="4"/>
        <v/>
      </c>
      <c r="E303" s="93"/>
    </row>
    <row r="304" spans="1:5" x14ac:dyDescent="0.3">
      <c r="A304" s="93"/>
      <c r="B304" s="8"/>
      <c r="C304" s="8"/>
      <c r="D304" s="8" t="str">
        <f t="shared" si="4"/>
        <v/>
      </c>
      <c r="E304" s="93"/>
    </row>
    <row r="305" spans="1:5" x14ac:dyDescent="0.3">
      <c r="A305" s="93"/>
      <c r="B305" s="8"/>
      <c r="C305" s="8"/>
      <c r="D305" s="8" t="str">
        <f t="shared" si="4"/>
        <v/>
      </c>
      <c r="E305" s="93"/>
    </row>
    <row r="306" spans="1:5" x14ac:dyDescent="0.3">
      <c r="A306" s="93"/>
      <c r="B306" s="8"/>
      <c r="C306" s="8"/>
      <c r="D306" s="8" t="str">
        <f t="shared" si="4"/>
        <v/>
      </c>
      <c r="E306" s="93"/>
    </row>
    <row r="307" spans="1:5" x14ac:dyDescent="0.3">
      <c r="A307" s="93"/>
      <c r="B307" s="8"/>
      <c r="C307" s="8"/>
      <c r="D307" s="8" t="str">
        <f t="shared" si="4"/>
        <v/>
      </c>
      <c r="E307" s="93"/>
    </row>
    <row r="308" spans="1:5" x14ac:dyDescent="0.3">
      <c r="A308" s="93"/>
      <c r="B308" s="8"/>
      <c r="C308" s="8"/>
      <c r="D308" s="8" t="str">
        <f t="shared" si="4"/>
        <v/>
      </c>
      <c r="E308" s="93"/>
    </row>
    <row r="309" spans="1:5" x14ac:dyDescent="0.3">
      <c r="A309" s="93"/>
      <c r="B309" s="8"/>
      <c r="C309" s="8"/>
      <c r="D309" s="8" t="str">
        <f t="shared" si="4"/>
        <v/>
      </c>
      <c r="E309" s="93"/>
    </row>
    <row r="310" spans="1:5" x14ac:dyDescent="0.3">
      <c r="A310" s="93"/>
      <c r="B310" s="8"/>
      <c r="C310" s="8"/>
      <c r="D310" s="8" t="str">
        <f t="shared" si="4"/>
        <v/>
      </c>
      <c r="E310" s="93"/>
    </row>
    <row r="311" spans="1:5" x14ac:dyDescent="0.3">
      <c r="A311" s="93"/>
      <c r="B311" s="8"/>
      <c r="C311" s="8"/>
      <c r="D311" s="8" t="str">
        <f t="shared" si="4"/>
        <v/>
      </c>
      <c r="E311" s="93"/>
    </row>
    <row r="312" spans="1:5" x14ac:dyDescent="0.3">
      <c r="A312" s="93"/>
      <c r="B312" s="8"/>
      <c r="C312" s="8"/>
      <c r="D312" s="8" t="str">
        <f t="shared" si="4"/>
        <v/>
      </c>
      <c r="E312" s="93"/>
    </row>
    <row r="313" spans="1:5" x14ac:dyDescent="0.3">
      <c r="A313" s="93"/>
      <c r="B313" s="8"/>
      <c r="C313" s="8"/>
      <c r="D313" s="8" t="str">
        <f t="shared" si="4"/>
        <v/>
      </c>
      <c r="E313" s="93"/>
    </row>
    <row r="314" spans="1:5" x14ac:dyDescent="0.3">
      <c r="A314" s="93"/>
      <c r="B314" s="8"/>
      <c r="C314" s="8"/>
      <c r="D314" s="8" t="str">
        <f t="shared" si="4"/>
        <v/>
      </c>
      <c r="E314" s="93"/>
    </row>
    <row r="315" spans="1:5" x14ac:dyDescent="0.3">
      <c r="A315" s="93"/>
      <c r="B315" s="8"/>
      <c r="C315" s="8"/>
      <c r="D315" s="8" t="str">
        <f t="shared" si="4"/>
        <v/>
      </c>
      <c r="E315" s="93"/>
    </row>
    <row r="316" spans="1:5" x14ac:dyDescent="0.3">
      <c r="A316" s="93"/>
      <c r="B316" s="8"/>
      <c r="C316" s="8"/>
      <c r="D316" s="8" t="str">
        <f t="shared" si="4"/>
        <v/>
      </c>
      <c r="E316" s="93"/>
    </row>
    <row r="317" spans="1:5" x14ac:dyDescent="0.3">
      <c r="A317" s="93"/>
      <c r="B317" s="8"/>
      <c r="C317" s="8"/>
      <c r="D317" s="8" t="str">
        <f t="shared" si="4"/>
        <v/>
      </c>
      <c r="E317" s="93"/>
    </row>
    <row r="318" spans="1:5" x14ac:dyDescent="0.3">
      <c r="A318" s="93"/>
      <c r="B318" s="8"/>
      <c r="C318" s="8"/>
      <c r="D318" s="8" t="str">
        <f t="shared" si="4"/>
        <v/>
      </c>
      <c r="E318" s="93"/>
    </row>
    <row r="319" spans="1:5" x14ac:dyDescent="0.3">
      <c r="A319" s="93"/>
      <c r="B319" s="8"/>
      <c r="C319" s="8"/>
      <c r="D319" s="8" t="str">
        <f t="shared" si="4"/>
        <v/>
      </c>
      <c r="E319" s="93"/>
    </row>
    <row r="320" spans="1:5" x14ac:dyDescent="0.3">
      <c r="A320" s="93"/>
      <c r="B320" s="8"/>
      <c r="C320" s="8"/>
      <c r="D320" s="8" t="str">
        <f t="shared" si="4"/>
        <v/>
      </c>
      <c r="E320" s="93"/>
    </row>
    <row r="321" spans="1:5" x14ac:dyDescent="0.3">
      <c r="A321" s="93"/>
      <c r="B321" s="8"/>
      <c r="C321" s="8"/>
      <c r="D321" s="8" t="str">
        <f t="shared" si="4"/>
        <v/>
      </c>
      <c r="E321" s="93"/>
    </row>
    <row r="322" spans="1:5" x14ac:dyDescent="0.3">
      <c r="A322" s="93"/>
      <c r="B322" s="8"/>
      <c r="C322" s="8"/>
      <c r="D322" s="8" t="str">
        <f t="shared" si="4"/>
        <v/>
      </c>
      <c r="E322" s="93"/>
    </row>
    <row r="323" spans="1:5" x14ac:dyDescent="0.3">
      <c r="A323" s="93"/>
      <c r="B323" s="8"/>
      <c r="C323" s="8"/>
      <c r="D323" s="8" t="str">
        <f t="shared" si="4"/>
        <v/>
      </c>
      <c r="E323" s="93"/>
    </row>
    <row r="324" spans="1:5" x14ac:dyDescent="0.3">
      <c r="A324" s="93"/>
      <c r="B324" s="8"/>
      <c r="C324" s="8"/>
      <c r="D324" s="8" t="str">
        <f t="shared" ref="D324:D387" si="5">B324&amp;C324</f>
        <v/>
      </c>
      <c r="E324" s="93"/>
    </row>
    <row r="325" spans="1:5" x14ac:dyDescent="0.3">
      <c r="A325" s="93"/>
      <c r="B325" s="8"/>
      <c r="C325" s="8"/>
      <c r="D325" s="8" t="str">
        <f t="shared" si="5"/>
        <v/>
      </c>
      <c r="E325" s="93"/>
    </row>
    <row r="326" spans="1:5" x14ac:dyDescent="0.3">
      <c r="A326" s="93"/>
      <c r="B326" s="8"/>
      <c r="C326" s="8"/>
      <c r="D326" s="8" t="str">
        <f t="shared" si="5"/>
        <v/>
      </c>
      <c r="E326" s="93"/>
    </row>
    <row r="327" spans="1:5" x14ac:dyDescent="0.3">
      <c r="A327" s="93"/>
      <c r="B327" s="8"/>
      <c r="C327" s="8"/>
      <c r="D327" s="8" t="str">
        <f t="shared" si="5"/>
        <v/>
      </c>
      <c r="E327" s="93"/>
    </row>
    <row r="328" spans="1:5" x14ac:dyDescent="0.3">
      <c r="A328" s="93"/>
      <c r="B328" s="8"/>
      <c r="C328" s="8"/>
      <c r="D328" s="8" t="str">
        <f t="shared" si="5"/>
        <v/>
      </c>
      <c r="E328" s="93"/>
    </row>
    <row r="329" spans="1:5" x14ac:dyDescent="0.3">
      <c r="A329" s="93"/>
      <c r="B329" s="8"/>
      <c r="C329" s="8"/>
      <c r="D329" s="8" t="str">
        <f t="shared" si="5"/>
        <v/>
      </c>
      <c r="E329" s="93"/>
    </row>
    <row r="330" spans="1:5" x14ac:dyDescent="0.3">
      <c r="A330" s="93"/>
      <c r="B330" s="8"/>
      <c r="C330" s="8"/>
      <c r="D330" s="8" t="str">
        <f t="shared" si="5"/>
        <v/>
      </c>
      <c r="E330" s="93"/>
    </row>
    <row r="331" spans="1:5" x14ac:dyDescent="0.3">
      <c r="A331" s="93"/>
      <c r="B331" s="8"/>
      <c r="C331" s="8"/>
      <c r="D331" s="8" t="str">
        <f t="shared" si="5"/>
        <v/>
      </c>
      <c r="E331" s="93"/>
    </row>
    <row r="332" spans="1:5" x14ac:dyDescent="0.3">
      <c r="A332" s="93"/>
      <c r="B332" s="8"/>
      <c r="C332" s="8"/>
      <c r="D332" s="8" t="str">
        <f t="shared" si="5"/>
        <v/>
      </c>
      <c r="E332" s="93"/>
    </row>
    <row r="333" spans="1:5" x14ac:dyDescent="0.3">
      <c r="A333" s="93"/>
      <c r="B333" s="8"/>
      <c r="C333" s="8"/>
      <c r="D333" s="8" t="str">
        <f t="shared" si="5"/>
        <v/>
      </c>
      <c r="E333" s="93"/>
    </row>
    <row r="334" spans="1:5" x14ac:dyDescent="0.3">
      <c r="A334" s="93"/>
      <c r="B334" s="8"/>
      <c r="C334" s="8"/>
      <c r="D334" s="8" t="str">
        <f t="shared" si="5"/>
        <v/>
      </c>
      <c r="E334" s="93"/>
    </row>
    <row r="335" spans="1:5" x14ac:dyDescent="0.3">
      <c r="A335" s="93"/>
      <c r="B335" s="8"/>
      <c r="C335" s="8"/>
      <c r="D335" s="8" t="str">
        <f t="shared" si="5"/>
        <v/>
      </c>
      <c r="E335" s="93"/>
    </row>
    <row r="336" spans="1:5" x14ac:dyDescent="0.3">
      <c r="A336" s="93"/>
      <c r="B336" s="8"/>
      <c r="C336" s="8"/>
      <c r="D336" s="8" t="str">
        <f t="shared" si="5"/>
        <v/>
      </c>
      <c r="E336" s="93"/>
    </row>
    <row r="337" spans="1:5" x14ac:dyDescent="0.3">
      <c r="A337" s="93"/>
      <c r="B337" s="8"/>
      <c r="C337" s="8"/>
      <c r="D337" s="8" t="str">
        <f t="shared" si="5"/>
        <v/>
      </c>
      <c r="E337" s="93"/>
    </row>
    <row r="338" spans="1:5" x14ac:dyDescent="0.3">
      <c r="A338" s="93"/>
      <c r="B338" s="8"/>
      <c r="C338" s="8"/>
      <c r="D338" s="8" t="str">
        <f t="shared" si="5"/>
        <v/>
      </c>
      <c r="E338" s="93"/>
    </row>
    <row r="339" spans="1:5" x14ac:dyDescent="0.3">
      <c r="A339" s="93"/>
      <c r="B339" s="8"/>
      <c r="C339" s="8"/>
      <c r="D339" s="8" t="str">
        <f t="shared" si="5"/>
        <v/>
      </c>
      <c r="E339" s="93"/>
    </row>
    <row r="340" spans="1:5" x14ac:dyDescent="0.3">
      <c r="A340" s="93"/>
      <c r="B340" s="8"/>
      <c r="C340" s="8"/>
      <c r="D340" s="8" t="str">
        <f t="shared" si="5"/>
        <v/>
      </c>
      <c r="E340" s="93"/>
    </row>
    <row r="341" spans="1:5" x14ac:dyDescent="0.3">
      <c r="A341" s="93"/>
      <c r="B341" s="8"/>
      <c r="C341" s="8"/>
      <c r="D341" s="8" t="str">
        <f t="shared" si="5"/>
        <v/>
      </c>
      <c r="E341" s="93"/>
    </row>
    <row r="342" spans="1:5" x14ac:dyDescent="0.3">
      <c r="A342" s="93"/>
      <c r="B342" s="8"/>
      <c r="C342" s="8"/>
      <c r="D342" s="8" t="str">
        <f t="shared" si="5"/>
        <v/>
      </c>
      <c r="E342" s="93"/>
    </row>
    <row r="343" spans="1:5" x14ac:dyDescent="0.3">
      <c r="A343" s="93"/>
      <c r="B343" s="8"/>
      <c r="C343" s="8"/>
      <c r="D343" s="8" t="str">
        <f t="shared" si="5"/>
        <v/>
      </c>
      <c r="E343" s="93"/>
    </row>
    <row r="344" spans="1:5" x14ac:dyDescent="0.3">
      <c r="A344" s="93"/>
      <c r="B344" s="8"/>
      <c r="C344" s="8"/>
      <c r="D344" s="8" t="str">
        <f t="shared" si="5"/>
        <v/>
      </c>
      <c r="E344" s="93"/>
    </row>
    <row r="345" spans="1:5" x14ac:dyDescent="0.3">
      <c r="A345" s="93"/>
      <c r="B345" s="8"/>
      <c r="C345" s="8"/>
      <c r="D345" s="8" t="str">
        <f t="shared" si="5"/>
        <v/>
      </c>
      <c r="E345" s="93"/>
    </row>
    <row r="346" spans="1:5" x14ac:dyDescent="0.3">
      <c r="A346" s="93"/>
      <c r="B346" s="8"/>
      <c r="C346" s="8"/>
      <c r="D346" s="8" t="str">
        <f t="shared" si="5"/>
        <v/>
      </c>
      <c r="E346" s="93"/>
    </row>
    <row r="347" spans="1:5" x14ac:dyDescent="0.3">
      <c r="A347" s="93"/>
      <c r="B347" s="8"/>
      <c r="C347" s="8"/>
      <c r="D347" s="8" t="str">
        <f t="shared" si="5"/>
        <v/>
      </c>
      <c r="E347" s="93"/>
    </row>
    <row r="348" spans="1:5" x14ac:dyDescent="0.3">
      <c r="A348" s="93"/>
      <c r="B348" s="8"/>
      <c r="C348" s="8"/>
      <c r="D348" s="8" t="str">
        <f t="shared" si="5"/>
        <v/>
      </c>
      <c r="E348" s="93"/>
    </row>
    <row r="349" spans="1:5" x14ac:dyDescent="0.3">
      <c r="A349" s="93"/>
      <c r="B349" s="8"/>
      <c r="C349" s="8"/>
      <c r="D349" s="8" t="str">
        <f t="shared" si="5"/>
        <v/>
      </c>
      <c r="E349" s="93"/>
    </row>
    <row r="350" spans="1:5" x14ac:dyDescent="0.3">
      <c r="A350" s="93"/>
      <c r="B350" s="8"/>
      <c r="C350" s="8"/>
      <c r="D350" s="8" t="str">
        <f t="shared" si="5"/>
        <v/>
      </c>
      <c r="E350" s="93"/>
    </row>
    <row r="351" spans="1:5" x14ac:dyDescent="0.3">
      <c r="A351" s="93"/>
      <c r="B351" s="8"/>
      <c r="C351" s="8"/>
      <c r="D351" s="8" t="str">
        <f t="shared" si="5"/>
        <v/>
      </c>
      <c r="E351" s="93"/>
    </row>
    <row r="352" spans="1:5" x14ac:dyDescent="0.3">
      <c r="A352" s="93"/>
      <c r="B352" s="8"/>
      <c r="C352" s="8"/>
      <c r="D352" s="8" t="str">
        <f t="shared" si="5"/>
        <v/>
      </c>
      <c r="E352" s="93"/>
    </row>
    <row r="353" spans="1:5" x14ac:dyDescent="0.3">
      <c r="A353" s="93"/>
      <c r="B353" s="8"/>
      <c r="C353" s="8"/>
      <c r="D353" s="8" t="str">
        <f t="shared" si="5"/>
        <v/>
      </c>
      <c r="E353" s="93"/>
    </row>
    <row r="354" spans="1:5" x14ac:dyDescent="0.3">
      <c r="A354" s="93"/>
      <c r="B354" s="8"/>
      <c r="C354" s="8"/>
      <c r="D354" s="8" t="str">
        <f t="shared" si="5"/>
        <v/>
      </c>
      <c r="E354" s="93"/>
    </row>
    <row r="355" spans="1:5" x14ac:dyDescent="0.3">
      <c r="A355" s="93"/>
      <c r="B355" s="8"/>
      <c r="C355" s="8"/>
      <c r="D355" s="8" t="str">
        <f t="shared" si="5"/>
        <v/>
      </c>
      <c r="E355" s="93"/>
    </row>
    <row r="356" spans="1:5" x14ac:dyDescent="0.3">
      <c r="A356" s="93"/>
      <c r="B356" s="8"/>
      <c r="C356" s="8"/>
      <c r="D356" s="8" t="str">
        <f t="shared" si="5"/>
        <v/>
      </c>
      <c r="E356" s="93"/>
    </row>
    <row r="357" spans="1:5" x14ac:dyDescent="0.3">
      <c r="A357" s="93"/>
      <c r="B357" s="8"/>
      <c r="C357" s="8"/>
      <c r="D357" s="8" t="str">
        <f t="shared" si="5"/>
        <v/>
      </c>
      <c r="E357" s="93"/>
    </row>
    <row r="358" spans="1:5" x14ac:dyDescent="0.3">
      <c r="A358" s="93"/>
      <c r="B358" s="8"/>
      <c r="C358" s="8"/>
      <c r="D358" s="8" t="str">
        <f t="shared" si="5"/>
        <v/>
      </c>
      <c r="E358" s="93"/>
    </row>
    <row r="359" spans="1:5" x14ac:dyDescent="0.3">
      <c r="A359" s="93"/>
      <c r="B359" s="8"/>
      <c r="C359" s="8"/>
      <c r="D359" s="8" t="str">
        <f t="shared" si="5"/>
        <v/>
      </c>
      <c r="E359" s="93"/>
    </row>
    <row r="360" spans="1:5" x14ac:dyDescent="0.3">
      <c r="A360" s="93"/>
      <c r="B360" s="8"/>
      <c r="C360" s="8"/>
      <c r="D360" s="8" t="str">
        <f t="shared" si="5"/>
        <v/>
      </c>
      <c r="E360" s="93"/>
    </row>
    <row r="361" spans="1:5" x14ac:dyDescent="0.3">
      <c r="A361" s="93"/>
      <c r="B361" s="8"/>
      <c r="C361" s="8"/>
      <c r="D361" s="8" t="str">
        <f t="shared" si="5"/>
        <v/>
      </c>
      <c r="E361" s="93"/>
    </row>
    <row r="362" spans="1:5" x14ac:dyDescent="0.3">
      <c r="A362" s="93"/>
      <c r="B362" s="8"/>
      <c r="C362" s="8"/>
      <c r="D362" s="8" t="str">
        <f t="shared" si="5"/>
        <v/>
      </c>
      <c r="E362" s="93"/>
    </row>
    <row r="363" spans="1:5" x14ac:dyDescent="0.3">
      <c r="A363" s="93"/>
      <c r="B363" s="8"/>
      <c r="C363" s="8"/>
      <c r="D363" s="8" t="str">
        <f t="shared" si="5"/>
        <v/>
      </c>
      <c r="E363" s="93"/>
    </row>
    <row r="364" spans="1:5" x14ac:dyDescent="0.3">
      <c r="A364" s="93"/>
      <c r="B364" s="8"/>
      <c r="C364" s="8"/>
      <c r="D364" s="8" t="str">
        <f t="shared" si="5"/>
        <v/>
      </c>
      <c r="E364" s="93"/>
    </row>
    <row r="365" spans="1:5" x14ac:dyDescent="0.3">
      <c r="A365" s="93"/>
      <c r="B365" s="8"/>
      <c r="C365" s="8"/>
      <c r="D365" s="8" t="str">
        <f t="shared" si="5"/>
        <v/>
      </c>
      <c r="E365" s="93"/>
    </row>
    <row r="366" spans="1:5" x14ac:dyDescent="0.3">
      <c r="A366" s="93"/>
      <c r="B366" s="8"/>
      <c r="C366" s="8"/>
      <c r="D366" s="8" t="str">
        <f t="shared" si="5"/>
        <v/>
      </c>
      <c r="E366" s="93"/>
    </row>
    <row r="367" spans="1:5" x14ac:dyDescent="0.3">
      <c r="A367" s="93"/>
      <c r="B367" s="8"/>
      <c r="C367" s="8"/>
      <c r="D367" s="8" t="str">
        <f t="shared" si="5"/>
        <v/>
      </c>
      <c r="E367" s="93"/>
    </row>
    <row r="368" spans="1:5" x14ac:dyDescent="0.3">
      <c r="A368" s="93"/>
      <c r="B368" s="8"/>
      <c r="C368" s="8"/>
      <c r="D368" s="8" t="str">
        <f t="shared" si="5"/>
        <v/>
      </c>
      <c r="E368" s="93"/>
    </row>
    <row r="369" spans="1:5" x14ac:dyDescent="0.3">
      <c r="A369" s="93"/>
      <c r="B369" s="8"/>
      <c r="C369" s="8"/>
      <c r="D369" s="8" t="str">
        <f t="shared" si="5"/>
        <v/>
      </c>
      <c r="E369" s="93"/>
    </row>
    <row r="370" spans="1:5" x14ac:dyDescent="0.3">
      <c r="A370" s="93"/>
      <c r="B370" s="8"/>
      <c r="C370" s="8"/>
      <c r="D370" s="8" t="str">
        <f t="shared" si="5"/>
        <v/>
      </c>
      <c r="E370" s="93"/>
    </row>
    <row r="371" spans="1:5" x14ac:dyDescent="0.3">
      <c r="A371" s="93"/>
      <c r="B371" s="8"/>
      <c r="C371" s="8"/>
      <c r="D371" s="8" t="str">
        <f t="shared" si="5"/>
        <v/>
      </c>
      <c r="E371" s="93"/>
    </row>
    <row r="372" spans="1:5" x14ac:dyDescent="0.3">
      <c r="A372" s="93"/>
      <c r="B372" s="8"/>
      <c r="C372" s="8"/>
      <c r="D372" s="8" t="str">
        <f t="shared" si="5"/>
        <v/>
      </c>
      <c r="E372" s="93"/>
    </row>
    <row r="373" spans="1:5" x14ac:dyDescent="0.3">
      <c r="A373" s="93"/>
      <c r="B373" s="8"/>
      <c r="C373" s="8"/>
      <c r="D373" s="8" t="str">
        <f t="shared" si="5"/>
        <v/>
      </c>
      <c r="E373" s="93"/>
    </row>
    <row r="374" spans="1:5" x14ac:dyDescent="0.3">
      <c r="A374" s="93"/>
      <c r="B374" s="8"/>
      <c r="C374" s="8"/>
      <c r="D374" s="8" t="str">
        <f t="shared" si="5"/>
        <v/>
      </c>
      <c r="E374" s="93"/>
    </row>
    <row r="375" spans="1:5" x14ac:dyDescent="0.3">
      <c r="A375" s="93"/>
      <c r="B375" s="8"/>
      <c r="C375" s="8"/>
      <c r="D375" s="8" t="str">
        <f t="shared" si="5"/>
        <v/>
      </c>
      <c r="E375" s="93"/>
    </row>
    <row r="376" spans="1:5" x14ac:dyDescent="0.3">
      <c r="A376" s="93"/>
      <c r="B376" s="8"/>
      <c r="C376" s="8"/>
      <c r="D376" s="8" t="str">
        <f t="shared" si="5"/>
        <v/>
      </c>
      <c r="E376" s="93"/>
    </row>
    <row r="377" spans="1:5" x14ac:dyDescent="0.3">
      <c r="A377" s="93"/>
      <c r="B377" s="8"/>
      <c r="C377" s="8"/>
      <c r="D377" s="8" t="str">
        <f t="shared" si="5"/>
        <v/>
      </c>
      <c r="E377" s="93"/>
    </row>
    <row r="378" spans="1:5" x14ac:dyDescent="0.3">
      <c r="A378" s="93"/>
      <c r="B378" s="8"/>
      <c r="C378" s="8"/>
      <c r="D378" s="8" t="str">
        <f t="shared" si="5"/>
        <v/>
      </c>
      <c r="E378" s="93"/>
    </row>
    <row r="379" spans="1:5" x14ac:dyDescent="0.3">
      <c r="A379" s="93"/>
      <c r="B379" s="8"/>
      <c r="C379" s="8"/>
      <c r="D379" s="8" t="str">
        <f t="shared" si="5"/>
        <v/>
      </c>
      <c r="E379" s="93"/>
    </row>
    <row r="380" spans="1:5" x14ac:dyDescent="0.3">
      <c r="A380" s="93"/>
      <c r="B380" s="8"/>
      <c r="C380" s="8"/>
      <c r="D380" s="8" t="str">
        <f t="shared" si="5"/>
        <v/>
      </c>
      <c r="E380" s="93"/>
    </row>
    <row r="381" spans="1:5" x14ac:dyDescent="0.3">
      <c r="A381" s="93"/>
      <c r="B381" s="8"/>
      <c r="C381" s="8"/>
      <c r="D381" s="8" t="str">
        <f t="shared" si="5"/>
        <v/>
      </c>
      <c r="E381" s="93"/>
    </row>
    <row r="382" spans="1:5" x14ac:dyDescent="0.3">
      <c r="A382" s="93"/>
      <c r="B382" s="8"/>
      <c r="C382" s="8"/>
      <c r="D382" s="8" t="str">
        <f t="shared" si="5"/>
        <v/>
      </c>
      <c r="E382" s="93"/>
    </row>
    <row r="383" spans="1:5" x14ac:dyDescent="0.3">
      <c r="A383" s="93"/>
      <c r="B383" s="8"/>
      <c r="C383" s="8"/>
      <c r="D383" s="8" t="str">
        <f t="shared" si="5"/>
        <v/>
      </c>
      <c r="E383" s="93"/>
    </row>
    <row r="384" spans="1:5" x14ac:dyDescent="0.3">
      <c r="A384" s="93"/>
      <c r="B384" s="8"/>
      <c r="C384" s="8"/>
      <c r="D384" s="8" t="str">
        <f t="shared" si="5"/>
        <v/>
      </c>
      <c r="E384" s="93"/>
    </row>
    <row r="385" spans="1:5" x14ac:dyDescent="0.3">
      <c r="A385" s="93"/>
      <c r="B385" s="8"/>
      <c r="C385" s="8"/>
      <c r="D385" s="8" t="str">
        <f t="shared" si="5"/>
        <v/>
      </c>
      <c r="E385" s="93"/>
    </row>
    <row r="386" spans="1:5" x14ac:dyDescent="0.3">
      <c r="A386" s="93"/>
      <c r="B386" s="8"/>
      <c r="C386" s="8"/>
      <c r="D386" s="8" t="str">
        <f t="shared" si="5"/>
        <v/>
      </c>
      <c r="E386" s="93"/>
    </row>
    <row r="387" spans="1:5" x14ac:dyDescent="0.3">
      <c r="A387" s="93"/>
      <c r="B387" s="8"/>
      <c r="C387" s="8"/>
      <c r="D387" s="8" t="str">
        <f t="shared" si="5"/>
        <v/>
      </c>
      <c r="E387" s="93"/>
    </row>
    <row r="388" spans="1:5" x14ac:dyDescent="0.3">
      <c r="A388" s="93"/>
      <c r="B388" s="8"/>
      <c r="C388" s="8"/>
      <c r="D388" s="8" t="str">
        <f t="shared" ref="D388:D439" si="6">B388&amp;C388</f>
        <v/>
      </c>
      <c r="E388" s="93"/>
    </row>
    <row r="389" spans="1:5" x14ac:dyDescent="0.3">
      <c r="A389" s="93"/>
      <c r="B389" s="8"/>
      <c r="C389" s="8"/>
      <c r="D389" s="8" t="str">
        <f t="shared" si="6"/>
        <v/>
      </c>
      <c r="E389" s="93"/>
    </row>
    <row r="390" spans="1:5" x14ac:dyDescent="0.3">
      <c r="A390" s="93"/>
      <c r="B390" s="8"/>
      <c r="C390" s="8"/>
      <c r="D390" s="8" t="str">
        <f t="shared" si="6"/>
        <v/>
      </c>
      <c r="E390" s="93"/>
    </row>
    <row r="391" spans="1:5" x14ac:dyDescent="0.3">
      <c r="A391" s="93"/>
      <c r="B391" s="8"/>
      <c r="C391" s="8"/>
      <c r="D391" s="8" t="str">
        <f t="shared" si="6"/>
        <v/>
      </c>
      <c r="E391" s="93"/>
    </row>
    <row r="392" spans="1:5" x14ac:dyDescent="0.3">
      <c r="A392" s="93"/>
      <c r="B392" s="8"/>
      <c r="C392" s="8"/>
      <c r="D392" s="8" t="str">
        <f t="shared" si="6"/>
        <v/>
      </c>
      <c r="E392" s="93"/>
    </row>
    <row r="393" spans="1:5" x14ac:dyDescent="0.3">
      <c r="A393" s="93"/>
      <c r="B393" s="8"/>
      <c r="C393" s="8"/>
      <c r="D393" s="8" t="str">
        <f t="shared" si="6"/>
        <v/>
      </c>
      <c r="E393" s="93"/>
    </row>
    <row r="394" spans="1:5" x14ac:dyDescent="0.3">
      <c r="A394" s="93"/>
      <c r="B394" s="8"/>
      <c r="C394" s="8"/>
      <c r="D394" s="8" t="str">
        <f t="shared" si="6"/>
        <v/>
      </c>
      <c r="E394" s="93"/>
    </row>
    <row r="395" spans="1:5" x14ac:dyDescent="0.3">
      <c r="A395" s="93"/>
      <c r="B395" s="8"/>
      <c r="C395" s="8"/>
      <c r="D395" s="8" t="str">
        <f t="shared" si="6"/>
        <v/>
      </c>
      <c r="E395" s="93"/>
    </row>
    <row r="396" spans="1:5" x14ac:dyDescent="0.3">
      <c r="A396" s="93"/>
      <c r="B396" s="8"/>
      <c r="C396" s="8"/>
      <c r="D396" s="8" t="str">
        <f t="shared" si="6"/>
        <v/>
      </c>
      <c r="E396" s="93"/>
    </row>
    <row r="397" spans="1:5" x14ac:dyDescent="0.3">
      <c r="A397" s="93"/>
      <c r="B397" s="8"/>
      <c r="C397" s="8"/>
      <c r="D397" s="8" t="str">
        <f t="shared" si="6"/>
        <v/>
      </c>
      <c r="E397" s="93"/>
    </row>
    <row r="398" spans="1:5" x14ac:dyDescent="0.3">
      <c r="A398" s="93"/>
      <c r="B398" s="8"/>
      <c r="C398" s="8"/>
      <c r="D398" s="8" t="str">
        <f t="shared" si="6"/>
        <v/>
      </c>
      <c r="E398" s="93"/>
    </row>
    <row r="399" spans="1:5" x14ac:dyDescent="0.3">
      <c r="A399" s="93"/>
      <c r="B399" s="8"/>
      <c r="C399" s="8"/>
      <c r="D399" s="8" t="str">
        <f t="shared" si="6"/>
        <v/>
      </c>
      <c r="E399" s="93"/>
    </row>
    <row r="400" spans="1:5" x14ac:dyDescent="0.3">
      <c r="A400" s="93"/>
      <c r="B400" s="8"/>
      <c r="C400" s="8"/>
      <c r="D400" s="8" t="str">
        <f t="shared" si="6"/>
        <v/>
      </c>
      <c r="E400" s="93"/>
    </row>
    <row r="401" spans="1:5" x14ac:dyDescent="0.3">
      <c r="A401" s="93"/>
      <c r="B401" s="8"/>
      <c r="C401" s="8"/>
      <c r="D401" s="8" t="str">
        <f t="shared" si="6"/>
        <v/>
      </c>
      <c r="E401" s="93"/>
    </row>
    <row r="402" spans="1:5" x14ac:dyDescent="0.3">
      <c r="A402" s="93"/>
      <c r="B402" s="8"/>
      <c r="C402" s="8"/>
      <c r="D402" s="8" t="str">
        <f t="shared" si="6"/>
        <v/>
      </c>
      <c r="E402" s="93"/>
    </row>
    <row r="403" spans="1:5" x14ac:dyDescent="0.3">
      <c r="A403" s="93"/>
      <c r="B403" s="8"/>
      <c r="C403" s="8"/>
      <c r="D403" s="8" t="str">
        <f t="shared" si="6"/>
        <v/>
      </c>
      <c r="E403" s="93"/>
    </row>
    <row r="404" spans="1:5" x14ac:dyDescent="0.3">
      <c r="A404" s="93"/>
      <c r="B404" s="8"/>
      <c r="C404" s="8"/>
      <c r="D404" s="8" t="str">
        <f t="shared" si="6"/>
        <v/>
      </c>
      <c r="E404" s="93"/>
    </row>
    <row r="405" spans="1:5" x14ac:dyDescent="0.3">
      <c r="A405" s="93"/>
      <c r="B405" s="8"/>
      <c r="C405" s="8"/>
      <c r="D405" s="8" t="str">
        <f t="shared" si="6"/>
        <v/>
      </c>
      <c r="E405" s="93"/>
    </row>
    <row r="406" spans="1:5" x14ac:dyDescent="0.3">
      <c r="A406" s="93"/>
      <c r="B406" s="8"/>
      <c r="C406" s="8"/>
      <c r="D406" s="8" t="str">
        <f t="shared" si="6"/>
        <v/>
      </c>
      <c r="E406" s="93"/>
    </row>
    <row r="407" spans="1:5" x14ac:dyDescent="0.3">
      <c r="A407" s="93"/>
      <c r="B407" s="8"/>
      <c r="C407" s="8"/>
      <c r="D407" s="8" t="str">
        <f t="shared" si="6"/>
        <v/>
      </c>
      <c r="E407" s="93"/>
    </row>
    <row r="408" spans="1:5" x14ac:dyDescent="0.3">
      <c r="A408" s="93"/>
      <c r="B408" s="8"/>
      <c r="C408" s="8"/>
      <c r="D408" s="8" t="str">
        <f t="shared" si="6"/>
        <v/>
      </c>
      <c r="E408" s="93"/>
    </row>
    <row r="409" spans="1:5" x14ac:dyDescent="0.3">
      <c r="A409" s="93"/>
      <c r="B409" s="8"/>
      <c r="C409" s="8"/>
      <c r="D409" s="8" t="str">
        <f t="shared" si="6"/>
        <v/>
      </c>
      <c r="E409" s="93"/>
    </row>
    <row r="410" spans="1:5" x14ac:dyDescent="0.3">
      <c r="A410" s="93"/>
      <c r="B410" s="8"/>
      <c r="C410" s="8"/>
      <c r="D410" s="8" t="str">
        <f t="shared" si="6"/>
        <v/>
      </c>
      <c r="E410" s="93"/>
    </row>
    <row r="411" spans="1:5" x14ac:dyDescent="0.3">
      <c r="A411" s="93"/>
      <c r="B411" s="8"/>
      <c r="C411" s="8"/>
      <c r="D411" s="8" t="str">
        <f t="shared" si="6"/>
        <v/>
      </c>
      <c r="E411" s="93"/>
    </row>
    <row r="412" spans="1:5" x14ac:dyDescent="0.3">
      <c r="A412" s="93"/>
      <c r="B412" s="8"/>
      <c r="C412" s="8"/>
      <c r="D412" s="8" t="str">
        <f t="shared" si="6"/>
        <v/>
      </c>
      <c r="E412" s="93"/>
    </row>
    <row r="413" spans="1:5" x14ac:dyDescent="0.3">
      <c r="A413" s="93"/>
      <c r="B413" s="8"/>
      <c r="C413" s="8"/>
      <c r="D413" s="8" t="str">
        <f t="shared" si="6"/>
        <v/>
      </c>
      <c r="E413" s="93"/>
    </row>
    <row r="414" spans="1:5" x14ac:dyDescent="0.3">
      <c r="A414" s="93"/>
      <c r="B414" s="8"/>
      <c r="C414" s="8"/>
      <c r="D414" s="8" t="str">
        <f t="shared" si="6"/>
        <v/>
      </c>
      <c r="E414" s="93"/>
    </row>
    <row r="415" spans="1:5" x14ac:dyDescent="0.3">
      <c r="A415" s="93"/>
      <c r="B415" s="8"/>
      <c r="C415" s="8"/>
      <c r="D415" s="8" t="str">
        <f t="shared" si="6"/>
        <v/>
      </c>
      <c r="E415" s="93"/>
    </row>
    <row r="416" spans="1:5" x14ac:dyDescent="0.3">
      <c r="A416" s="93"/>
      <c r="B416" s="8"/>
      <c r="C416" s="8"/>
      <c r="D416" s="8" t="str">
        <f t="shared" si="6"/>
        <v/>
      </c>
      <c r="E416" s="93"/>
    </row>
    <row r="417" spans="1:5" x14ac:dyDescent="0.3">
      <c r="A417" s="93"/>
      <c r="B417" s="8"/>
      <c r="C417" s="8"/>
      <c r="D417" s="8" t="str">
        <f t="shared" si="6"/>
        <v/>
      </c>
      <c r="E417" s="93"/>
    </row>
    <row r="418" spans="1:5" x14ac:dyDescent="0.3">
      <c r="A418" s="93"/>
      <c r="B418" s="8"/>
      <c r="C418" s="8"/>
      <c r="D418" s="8" t="str">
        <f t="shared" si="6"/>
        <v/>
      </c>
      <c r="E418" s="93"/>
    </row>
    <row r="419" spans="1:5" x14ac:dyDescent="0.3">
      <c r="A419" s="93"/>
      <c r="B419" s="8"/>
      <c r="C419" s="8"/>
      <c r="D419" s="8" t="str">
        <f t="shared" si="6"/>
        <v/>
      </c>
      <c r="E419" s="93"/>
    </row>
    <row r="420" spans="1:5" x14ac:dyDescent="0.3">
      <c r="A420" s="93"/>
      <c r="B420" s="8"/>
      <c r="C420" s="8"/>
      <c r="D420" s="8" t="str">
        <f t="shared" si="6"/>
        <v/>
      </c>
      <c r="E420" s="93"/>
    </row>
    <row r="421" spans="1:5" x14ac:dyDescent="0.3">
      <c r="A421" s="93"/>
      <c r="B421" s="8"/>
      <c r="C421" s="8"/>
      <c r="D421" s="8" t="str">
        <f t="shared" si="6"/>
        <v/>
      </c>
      <c r="E421" s="93"/>
    </row>
    <row r="422" spans="1:5" x14ac:dyDescent="0.3">
      <c r="A422" s="93"/>
      <c r="B422" s="8"/>
      <c r="C422" s="8"/>
      <c r="D422" s="8" t="str">
        <f t="shared" si="6"/>
        <v/>
      </c>
      <c r="E422" s="93"/>
    </row>
    <row r="423" spans="1:5" x14ac:dyDescent="0.3">
      <c r="A423" s="93"/>
      <c r="B423" s="8"/>
      <c r="C423" s="8"/>
      <c r="D423" s="8" t="str">
        <f t="shared" si="6"/>
        <v/>
      </c>
      <c r="E423" s="93"/>
    </row>
    <row r="424" spans="1:5" x14ac:dyDescent="0.3">
      <c r="A424" s="93"/>
      <c r="B424" s="8"/>
      <c r="C424" s="8"/>
      <c r="D424" s="8" t="str">
        <f t="shared" si="6"/>
        <v/>
      </c>
      <c r="E424" s="93"/>
    </row>
    <row r="425" spans="1:5" x14ac:dyDescent="0.3">
      <c r="A425" s="93"/>
      <c r="B425" s="8"/>
      <c r="C425" s="8"/>
      <c r="D425" s="8" t="str">
        <f t="shared" si="6"/>
        <v/>
      </c>
      <c r="E425" s="93"/>
    </row>
    <row r="426" spans="1:5" x14ac:dyDescent="0.3">
      <c r="A426" s="93"/>
      <c r="B426" s="8"/>
      <c r="C426" s="8"/>
      <c r="D426" s="8" t="str">
        <f t="shared" si="6"/>
        <v/>
      </c>
      <c r="E426" s="93"/>
    </row>
    <row r="427" spans="1:5" x14ac:dyDescent="0.3">
      <c r="A427" s="93"/>
      <c r="B427" s="8"/>
      <c r="C427" s="8"/>
      <c r="D427" s="8" t="str">
        <f t="shared" si="6"/>
        <v/>
      </c>
      <c r="E427" s="93"/>
    </row>
    <row r="428" spans="1:5" x14ac:dyDescent="0.3">
      <c r="A428" s="93"/>
      <c r="B428" s="8"/>
      <c r="C428" s="8"/>
      <c r="D428" s="8" t="str">
        <f t="shared" si="6"/>
        <v/>
      </c>
      <c r="E428" s="93"/>
    </row>
    <row r="429" spans="1:5" x14ac:dyDescent="0.3">
      <c r="A429" s="93"/>
      <c r="B429" s="8"/>
      <c r="C429" s="8"/>
      <c r="D429" s="8" t="str">
        <f t="shared" si="6"/>
        <v/>
      </c>
      <c r="E429" s="93"/>
    </row>
    <row r="430" spans="1:5" x14ac:dyDescent="0.3">
      <c r="A430" s="93"/>
      <c r="B430" s="8"/>
      <c r="C430" s="8"/>
      <c r="D430" s="8" t="str">
        <f t="shared" si="6"/>
        <v/>
      </c>
      <c r="E430" s="93"/>
    </row>
    <row r="431" spans="1:5" x14ac:dyDescent="0.3">
      <c r="A431" s="93"/>
      <c r="B431" s="8"/>
      <c r="C431" s="8"/>
      <c r="D431" s="8" t="str">
        <f t="shared" si="6"/>
        <v/>
      </c>
      <c r="E431" s="93"/>
    </row>
    <row r="432" spans="1:5" x14ac:dyDescent="0.3">
      <c r="A432" s="93"/>
      <c r="B432" s="8"/>
      <c r="C432" s="8"/>
      <c r="D432" s="8" t="str">
        <f t="shared" si="6"/>
        <v/>
      </c>
      <c r="E432" s="93"/>
    </row>
    <row r="433" spans="1:5" x14ac:dyDescent="0.3">
      <c r="A433" s="93"/>
      <c r="B433" s="8"/>
      <c r="C433" s="8"/>
      <c r="D433" s="8" t="str">
        <f t="shared" si="6"/>
        <v/>
      </c>
      <c r="E433" s="93"/>
    </row>
    <row r="434" spans="1:5" x14ac:dyDescent="0.3">
      <c r="A434" s="93"/>
      <c r="B434" s="8"/>
      <c r="C434" s="8"/>
      <c r="D434" s="8" t="str">
        <f t="shared" si="6"/>
        <v/>
      </c>
      <c r="E434" s="93"/>
    </row>
    <row r="435" spans="1:5" x14ac:dyDescent="0.3">
      <c r="A435" s="93"/>
      <c r="B435" s="8"/>
      <c r="C435" s="8"/>
      <c r="D435" s="8" t="str">
        <f t="shared" si="6"/>
        <v/>
      </c>
      <c r="E435" s="93"/>
    </row>
    <row r="436" spans="1:5" x14ac:dyDescent="0.3">
      <c r="A436" s="93"/>
      <c r="B436" s="8"/>
      <c r="C436" s="8"/>
      <c r="D436" s="8" t="str">
        <f t="shared" si="6"/>
        <v/>
      </c>
      <c r="E436" s="93"/>
    </row>
    <row r="437" spans="1:5" x14ac:dyDescent="0.3">
      <c r="A437" s="93"/>
      <c r="B437" s="8"/>
      <c r="C437" s="8"/>
      <c r="D437" s="8" t="str">
        <f t="shared" si="6"/>
        <v/>
      </c>
      <c r="E437" s="93"/>
    </row>
    <row r="438" spans="1:5" x14ac:dyDescent="0.3">
      <c r="A438" s="93"/>
      <c r="B438" s="8"/>
      <c r="C438" s="8"/>
      <c r="D438" s="8" t="str">
        <f t="shared" si="6"/>
        <v/>
      </c>
      <c r="E438" s="93"/>
    </row>
    <row r="439" spans="1:5" x14ac:dyDescent="0.3">
      <c r="A439" s="93"/>
      <c r="B439" s="8"/>
      <c r="C439" s="8"/>
      <c r="D439" s="8" t="str">
        <f t="shared" si="6"/>
        <v/>
      </c>
      <c r="E439" s="93"/>
    </row>
    <row r="440" spans="1:5" x14ac:dyDescent="0.3">
      <c r="A440" s="93"/>
      <c r="B440" s="8"/>
      <c r="C440" s="8"/>
      <c r="D440" s="8"/>
      <c r="E440" s="93"/>
    </row>
    <row r="441" spans="1:5" x14ac:dyDescent="0.3">
      <c r="A441" s="93"/>
      <c r="B441" s="8"/>
      <c r="C441" s="8"/>
      <c r="D441" s="8"/>
      <c r="E441" s="93"/>
    </row>
    <row r="442" spans="1:5" x14ac:dyDescent="0.3">
      <c r="A442" s="93"/>
      <c r="B442" s="8"/>
      <c r="C442" s="8"/>
      <c r="D442" s="8"/>
      <c r="E442" s="93"/>
    </row>
    <row r="443" spans="1:5" x14ac:dyDescent="0.3">
      <c r="A443" s="93"/>
      <c r="B443" s="8"/>
      <c r="C443" s="8"/>
      <c r="D443" s="8"/>
      <c r="E443" s="93"/>
    </row>
    <row r="444" spans="1:5" x14ac:dyDescent="0.3">
      <c r="A444" s="93"/>
      <c r="B444" s="8"/>
      <c r="C444" s="8"/>
      <c r="D444" s="8"/>
      <c r="E444" s="93"/>
    </row>
    <row r="445" spans="1:5" x14ac:dyDescent="0.3">
      <c r="A445" s="93"/>
      <c r="B445" s="8"/>
      <c r="C445" s="8"/>
      <c r="D445" s="8"/>
      <c r="E445" s="93"/>
    </row>
    <row r="446" spans="1:5" x14ac:dyDescent="0.3">
      <c r="A446" s="93"/>
      <c r="B446" s="8"/>
      <c r="C446" s="8"/>
      <c r="D446" s="8"/>
      <c r="E446" s="93"/>
    </row>
    <row r="447" spans="1:5" x14ac:dyDescent="0.3">
      <c r="A447" s="93"/>
      <c r="B447" s="8"/>
      <c r="C447" s="8"/>
      <c r="D447" s="8"/>
      <c r="E447" s="93"/>
    </row>
    <row r="448" spans="1:5" x14ac:dyDescent="0.3">
      <c r="A448" s="93"/>
      <c r="B448" s="8"/>
      <c r="C448" s="8"/>
      <c r="D448" s="8"/>
      <c r="E448" s="93"/>
    </row>
    <row r="449" spans="1:5" x14ac:dyDescent="0.3">
      <c r="A449" s="93"/>
      <c r="B449" s="8"/>
      <c r="C449" s="8"/>
      <c r="D449" s="8"/>
      <c r="E449" s="93"/>
    </row>
    <row r="450" spans="1:5" x14ac:dyDescent="0.3">
      <c r="A450" s="93"/>
      <c r="B450" s="8"/>
      <c r="C450" s="8"/>
      <c r="D450" s="8"/>
      <c r="E450" s="93"/>
    </row>
    <row r="451" spans="1:5" x14ac:dyDescent="0.3">
      <c r="A451" s="93"/>
      <c r="B451" s="8"/>
      <c r="C451" s="8"/>
      <c r="D451" s="8"/>
      <c r="E451" s="93"/>
    </row>
    <row r="452" spans="1:5" x14ac:dyDescent="0.3">
      <c r="A452" s="93"/>
      <c r="B452" s="8"/>
      <c r="C452" s="8"/>
      <c r="D452" s="8"/>
      <c r="E452" s="93"/>
    </row>
    <row r="453" spans="1:5" x14ac:dyDescent="0.3">
      <c r="A453" s="93"/>
      <c r="B453" s="8"/>
      <c r="C453" s="8"/>
      <c r="D453" s="8"/>
      <c r="E453" s="93"/>
    </row>
    <row r="454" spans="1:5" x14ac:dyDescent="0.3">
      <c r="A454" s="93"/>
      <c r="B454" s="8"/>
      <c r="C454" s="8"/>
      <c r="D454" s="8"/>
      <c r="E454" s="93"/>
    </row>
    <row r="455" spans="1:5" x14ac:dyDescent="0.3">
      <c r="A455" s="93"/>
      <c r="B455" s="8"/>
      <c r="C455" s="8"/>
      <c r="D455" s="8"/>
      <c r="E455" s="93"/>
    </row>
    <row r="456" spans="1:5" x14ac:dyDescent="0.3">
      <c r="A456" s="93"/>
      <c r="B456" s="8"/>
      <c r="C456" s="8"/>
      <c r="D456" s="8"/>
      <c r="E456" s="93"/>
    </row>
    <row r="457" spans="1:5" x14ac:dyDescent="0.3">
      <c r="A457" s="93"/>
      <c r="B457" s="8"/>
      <c r="C457" s="8"/>
      <c r="D457" s="8"/>
      <c r="E457" s="93"/>
    </row>
    <row r="458" spans="1:5" x14ac:dyDescent="0.3">
      <c r="A458" s="93"/>
      <c r="B458" s="8"/>
      <c r="C458" s="8"/>
      <c r="D458" s="8"/>
      <c r="E458" s="93"/>
    </row>
    <row r="459" spans="1:5" x14ac:dyDescent="0.3">
      <c r="A459" s="93"/>
      <c r="B459" s="8"/>
      <c r="C459" s="8"/>
      <c r="D459" s="8"/>
      <c r="E459" s="93"/>
    </row>
    <row r="460" spans="1:5" x14ac:dyDescent="0.3">
      <c r="A460" s="93"/>
      <c r="B460" s="8"/>
      <c r="C460" s="8"/>
      <c r="D460" s="8"/>
      <c r="E460" s="93"/>
    </row>
    <row r="461" spans="1:5" x14ac:dyDescent="0.3">
      <c r="A461" s="93"/>
      <c r="B461" s="8"/>
      <c r="C461" s="8"/>
      <c r="D461" s="8"/>
      <c r="E461" s="93"/>
    </row>
    <row r="462" spans="1:5" x14ac:dyDescent="0.3">
      <c r="A462" s="93"/>
      <c r="B462" s="8"/>
      <c r="C462" s="8"/>
      <c r="D462" s="8"/>
      <c r="E462" s="93"/>
    </row>
    <row r="463" spans="1:5" x14ac:dyDescent="0.3">
      <c r="A463" s="93"/>
      <c r="B463" s="8"/>
      <c r="C463" s="8"/>
      <c r="D463" s="8"/>
      <c r="E463" s="93"/>
    </row>
    <row r="464" spans="1:5" x14ac:dyDescent="0.3">
      <c r="A464" s="93"/>
      <c r="B464" s="8"/>
      <c r="C464" s="8"/>
      <c r="D464" s="8"/>
      <c r="E464" s="93"/>
    </row>
    <row r="465" spans="1:5" x14ac:dyDescent="0.3">
      <c r="A465" s="93"/>
      <c r="B465" s="8"/>
      <c r="C465" s="8"/>
      <c r="D465" s="8"/>
      <c r="E465" s="93"/>
    </row>
    <row r="466" spans="1:5" x14ac:dyDescent="0.3">
      <c r="A466" s="93"/>
      <c r="B466" s="8"/>
      <c r="C466" s="8"/>
      <c r="D466" s="8"/>
      <c r="E466" s="93"/>
    </row>
    <row r="467" spans="1:5" x14ac:dyDescent="0.3">
      <c r="A467" s="93"/>
      <c r="B467" s="8"/>
      <c r="C467" s="8"/>
      <c r="D467" s="8"/>
      <c r="E467" s="93"/>
    </row>
    <row r="468" spans="1:5" x14ac:dyDescent="0.3">
      <c r="A468" s="93"/>
      <c r="B468" s="8"/>
      <c r="C468" s="8"/>
      <c r="D468" s="8"/>
      <c r="E468" s="93"/>
    </row>
    <row r="469" spans="1:5" x14ac:dyDescent="0.3">
      <c r="A469" s="93"/>
      <c r="B469" s="8"/>
      <c r="C469" s="8"/>
      <c r="D469" s="8"/>
      <c r="E469" s="93"/>
    </row>
    <row r="470" spans="1:5" x14ac:dyDescent="0.3">
      <c r="A470" s="93"/>
      <c r="B470" s="8"/>
      <c r="C470" s="8"/>
      <c r="D470" s="8"/>
      <c r="E470" s="93"/>
    </row>
    <row r="471" spans="1:5" x14ac:dyDescent="0.3">
      <c r="A471" s="93"/>
      <c r="B471" s="8"/>
      <c r="C471" s="8"/>
      <c r="D471" s="8"/>
      <c r="E471" s="93"/>
    </row>
    <row r="472" spans="1:5" x14ac:dyDescent="0.3">
      <c r="A472" s="93"/>
      <c r="B472" s="8"/>
      <c r="C472" s="8"/>
      <c r="D472" s="8"/>
      <c r="E472" s="93"/>
    </row>
    <row r="473" spans="1:5" x14ac:dyDescent="0.3">
      <c r="A473" s="93"/>
      <c r="B473" s="8"/>
      <c r="C473" s="8"/>
      <c r="D473" s="8"/>
      <c r="E473" s="93"/>
    </row>
    <row r="474" spans="1:5" x14ac:dyDescent="0.3">
      <c r="A474" s="93"/>
      <c r="B474" s="8"/>
      <c r="C474" s="8"/>
      <c r="D474" s="8"/>
      <c r="E474" s="93"/>
    </row>
    <row r="475" spans="1:5" x14ac:dyDescent="0.3">
      <c r="A475" s="93"/>
      <c r="B475" s="8"/>
      <c r="C475" s="8"/>
      <c r="D475" s="8"/>
      <c r="E475" s="93"/>
    </row>
    <row r="476" spans="1:5" x14ac:dyDescent="0.3">
      <c r="A476" s="93"/>
      <c r="B476" s="8"/>
      <c r="C476" s="8"/>
      <c r="D476" s="8"/>
      <c r="E476" s="93"/>
    </row>
    <row r="477" spans="1:5" x14ac:dyDescent="0.3">
      <c r="A477" s="93"/>
      <c r="B477" s="8"/>
      <c r="C477" s="8"/>
      <c r="D477" s="8"/>
      <c r="E477" s="93"/>
    </row>
    <row r="478" spans="1:5" x14ac:dyDescent="0.3">
      <c r="A478" s="93"/>
      <c r="B478" s="8"/>
      <c r="C478" s="8"/>
      <c r="D478" s="8"/>
      <c r="E478" s="93"/>
    </row>
    <row r="479" spans="1:5" x14ac:dyDescent="0.3">
      <c r="A479" s="93"/>
      <c r="B479" s="8"/>
      <c r="C479" s="8"/>
      <c r="D479" s="8"/>
      <c r="E479" s="93"/>
    </row>
    <row r="480" spans="1:5" x14ac:dyDescent="0.3">
      <c r="A480" s="93"/>
      <c r="B480" s="8"/>
      <c r="C480" s="8"/>
      <c r="D480" s="8"/>
      <c r="E480" s="93"/>
    </row>
    <row r="481" spans="1:5" x14ac:dyDescent="0.3">
      <c r="A481" s="93"/>
      <c r="B481" s="8"/>
      <c r="C481" s="8"/>
      <c r="D481" s="8"/>
      <c r="E481" s="93"/>
    </row>
    <row r="482" spans="1:5" x14ac:dyDescent="0.3">
      <c r="A482" s="93"/>
      <c r="B482" s="8"/>
      <c r="C482" s="8"/>
      <c r="D482" s="8"/>
      <c r="E482" s="93"/>
    </row>
    <row r="483" spans="1:5" x14ac:dyDescent="0.3">
      <c r="A483" s="93"/>
      <c r="B483" s="8"/>
      <c r="C483" s="8"/>
      <c r="D483" s="8"/>
      <c r="E483" s="93"/>
    </row>
    <row r="484" spans="1:5" x14ac:dyDescent="0.3">
      <c r="A484" s="93"/>
      <c r="B484" s="8"/>
      <c r="C484" s="8"/>
      <c r="D484" s="8"/>
      <c r="E484" s="93"/>
    </row>
    <row r="485" spans="1:5" x14ac:dyDescent="0.3">
      <c r="A485" s="93"/>
      <c r="B485" s="8"/>
      <c r="C485" s="8"/>
      <c r="D485" s="8"/>
      <c r="E485" s="93"/>
    </row>
    <row r="486" spans="1:5" x14ac:dyDescent="0.3">
      <c r="A486" s="93"/>
      <c r="B486" s="8"/>
      <c r="C486" s="8"/>
      <c r="D486" s="8"/>
      <c r="E486" s="93"/>
    </row>
    <row r="487" spans="1:5" x14ac:dyDescent="0.3">
      <c r="A487" s="93"/>
      <c r="B487" s="8"/>
      <c r="C487" s="8"/>
      <c r="D487" s="8"/>
      <c r="E487" s="93"/>
    </row>
    <row r="488" spans="1:5" x14ac:dyDescent="0.3">
      <c r="A488" s="93"/>
      <c r="B488" s="8"/>
      <c r="C488" s="8"/>
      <c r="D488" s="8"/>
      <c r="E488" s="93"/>
    </row>
    <row r="489" spans="1:5" x14ac:dyDescent="0.3">
      <c r="A489" s="93"/>
      <c r="B489" s="8"/>
      <c r="C489" s="8"/>
      <c r="D489" s="8"/>
      <c r="E489" s="93"/>
    </row>
    <row r="490" spans="1:5" x14ac:dyDescent="0.3">
      <c r="A490" s="93"/>
      <c r="B490" s="8"/>
      <c r="C490" s="8"/>
      <c r="D490" s="8"/>
      <c r="E490" s="93"/>
    </row>
    <row r="491" spans="1:5" x14ac:dyDescent="0.3">
      <c r="A491" s="93"/>
      <c r="B491" s="8"/>
      <c r="C491" s="8"/>
      <c r="D491" s="8"/>
      <c r="E491" s="93"/>
    </row>
    <row r="492" spans="1:5" x14ac:dyDescent="0.3">
      <c r="A492" s="93"/>
      <c r="B492" s="8"/>
      <c r="C492" s="8"/>
      <c r="D492" s="8"/>
      <c r="E492" s="93"/>
    </row>
    <row r="493" spans="1:5" x14ac:dyDescent="0.3">
      <c r="A493" s="93"/>
      <c r="B493" s="8"/>
      <c r="C493" s="8"/>
      <c r="D493" s="8"/>
      <c r="E493" s="93"/>
    </row>
    <row r="494" spans="1:5" x14ac:dyDescent="0.3">
      <c r="A494" s="93"/>
      <c r="B494" s="8"/>
      <c r="C494" s="8"/>
      <c r="D494" s="8"/>
      <c r="E494" s="93"/>
    </row>
    <row r="495" spans="1:5" x14ac:dyDescent="0.3">
      <c r="A495" s="93"/>
      <c r="B495" s="8"/>
      <c r="C495" s="8"/>
      <c r="D495" s="8"/>
      <c r="E495" s="93"/>
    </row>
    <row r="496" spans="1:5" x14ac:dyDescent="0.3">
      <c r="A496" s="93"/>
      <c r="B496" s="8"/>
      <c r="C496" s="8"/>
      <c r="D496" s="8"/>
      <c r="E496" s="93"/>
    </row>
    <row r="497" spans="1:5" x14ac:dyDescent="0.3">
      <c r="A497" s="93"/>
      <c r="B497" s="8"/>
      <c r="C497" s="8"/>
      <c r="D497" s="8"/>
      <c r="E497" s="93"/>
    </row>
    <row r="498" spans="1:5" x14ac:dyDescent="0.3">
      <c r="A498" s="93"/>
      <c r="B498" s="8"/>
      <c r="C498" s="8"/>
      <c r="D498" s="8"/>
      <c r="E498" s="93"/>
    </row>
    <row r="499" spans="1:5" x14ac:dyDescent="0.3">
      <c r="A499" s="93"/>
      <c r="B499" s="8"/>
      <c r="C499" s="8"/>
      <c r="D499" s="8"/>
      <c r="E499" s="93"/>
    </row>
    <row r="500" spans="1:5" x14ac:dyDescent="0.3">
      <c r="A500" s="93"/>
      <c r="B500" s="8"/>
      <c r="C500" s="8"/>
      <c r="D500" s="8"/>
      <c r="E500" s="93"/>
    </row>
    <row r="501" spans="1:5" x14ac:dyDescent="0.3">
      <c r="A501" s="93"/>
      <c r="B501" s="8"/>
      <c r="C501" s="8"/>
      <c r="D501" s="8"/>
      <c r="E501" s="93"/>
    </row>
    <row r="502" spans="1:5" x14ac:dyDescent="0.3">
      <c r="A502" s="93"/>
      <c r="B502" s="8"/>
      <c r="C502" s="8"/>
      <c r="D502" s="8"/>
      <c r="E502" s="93"/>
    </row>
    <row r="503" spans="1:5" x14ac:dyDescent="0.3">
      <c r="A503" s="93"/>
      <c r="B503" s="8"/>
      <c r="C503" s="8"/>
      <c r="D503" s="8"/>
      <c r="E503" s="93"/>
    </row>
    <row r="504" spans="1:5" x14ac:dyDescent="0.3">
      <c r="A504" s="93"/>
      <c r="B504" s="8"/>
      <c r="C504" s="8"/>
      <c r="D504" s="8"/>
      <c r="E504" s="93"/>
    </row>
    <row r="505" spans="1:5" x14ac:dyDescent="0.3">
      <c r="A505" s="93"/>
      <c r="B505" s="8"/>
      <c r="C505" s="8"/>
      <c r="D505" s="8"/>
      <c r="E505" s="93"/>
    </row>
    <row r="506" spans="1:5" x14ac:dyDescent="0.3">
      <c r="A506" s="93"/>
      <c r="B506" s="8"/>
      <c r="C506" s="8"/>
      <c r="D506" s="8"/>
      <c r="E506" s="93"/>
    </row>
    <row r="507" spans="1:5" x14ac:dyDescent="0.3">
      <c r="A507" s="93"/>
      <c r="B507" s="8"/>
      <c r="C507" s="8"/>
      <c r="D507" s="8"/>
      <c r="E507" s="93"/>
    </row>
    <row r="508" spans="1:5" x14ac:dyDescent="0.3">
      <c r="A508" s="93"/>
      <c r="B508" s="8"/>
      <c r="C508" s="8"/>
      <c r="D508" s="8"/>
      <c r="E508" s="93"/>
    </row>
    <row r="509" spans="1:5" x14ac:dyDescent="0.3">
      <c r="A509" s="93"/>
      <c r="B509" s="8"/>
      <c r="C509" s="8"/>
      <c r="D509" s="8"/>
      <c r="E509" s="93"/>
    </row>
    <row r="510" spans="1:5" x14ac:dyDescent="0.3">
      <c r="A510" s="93"/>
      <c r="B510" s="8"/>
      <c r="C510" s="8"/>
      <c r="D510" s="8"/>
      <c r="E510" s="93"/>
    </row>
    <row r="511" spans="1:5" x14ac:dyDescent="0.3">
      <c r="A511" s="93"/>
      <c r="B511" s="8"/>
      <c r="C511" s="8"/>
      <c r="D511" s="8"/>
      <c r="E511" s="93"/>
    </row>
    <row r="512" spans="1:5" x14ac:dyDescent="0.3">
      <c r="A512" s="93"/>
      <c r="B512" s="8"/>
      <c r="C512" s="8"/>
      <c r="D512" s="8"/>
      <c r="E512" s="93"/>
    </row>
    <row r="513" spans="1:5" x14ac:dyDescent="0.3">
      <c r="A513" s="93"/>
      <c r="B513" s="8"/>
      <c r="C513" s="8"/>
      <c r="D513" s="8"/>
      <c r="E513" s="93"/>
    </row>
    <row r="514" spans="1:5" x14ac:dyDescent="0.3">
      <c r="A514" s="93"/>
      <c r="B514" s="8"/>
      <c r="C514" s="8"/>
      <c r="D514" s="8"/>
      <c r="E514" s="93"/>
    </row>
    <row r="515" spans="1:5" x14ac:dyDescent="0.3">
      <c r="A515" s="93"/>
      <c r="B515" s="8"/>
      <c r="C515" s="8"/>
      <c r="D515" s="8"/>
      <c r="E515" s="93"/>
    </row>
    <row r="516" spans="1:5" x14ac:dyDescent="0.3">
      <c r="A516" s="93"/>
      <c r="B516" s="8"/>
      <c r="C516" s="8"/>
      <c r="D516" s="8"/>
      <c r="E516" s="93"/>
    </row>
    <row r="517" spans="1:5" x14ac:dyDescent="0.3">
      <c r="A517" s="93"/>
      <c r="B517" s="8"/>
      <c r="C517" s="8"/>
      <c r="D517" s="8"/>
      <c r="E517" s="93"/>
    </row>
    <row r="518" spans="1:5" x14ac:dyDescent="0.3">
      <c r="A518" s="93"/>
      <c r="B518" s="8"/>
      <c r="C518" s="8"/>
      <c r="D518" s="8"/>
      <c r="E518" s="93"/>
    </row>
    <row r="519" spans="1:5" x14ac:dyDescent="0.3">
      <c r="A519" s="93"/>
      <c r="B519" s="8"/>
      <c r="C519" s="8"/>
      <c r="D519" s="8"/>
      <c r="E519" s="93"/>
    </row>
    <row r="520" spans="1:5" x14ac:dyDescent="0.3">
      <c r="A520" s="93"/>
      <c r="B520" s="8"/>
      <c r="C520" s="8"/>
      <c r="D520" s="8"/>
      <c r="E520" s="93"/>
    </row>
    <row r="521" spans="1:5" x14ac:dyDescent="0.3">
      <c r="A521" s="93"/>
      <c r="B521" s="8"/>
      <c r="C521" s="8"/>
      <c r="D521" s="8"/>
      <c r="E521" s="93"/>
    </row>
    <row r="522" spans="1:5" x14ac:dyDescent="0.3">
      <c r="A522" s="93"/>
      <c r="B522" s="8"/>
      <c r="C522" s="8"/>
      <c r="D522" s="8"/>
      <c r="E522" s="93"/>
    </row>
    <row r="523" spans="1:5" x14ac:dyDescent="0.3">
      <c r="A523" s="93"/>
      <c r="B523" s="8"/>
      <c r="C523" s="8"/>
      <c r="D523" s="8"/>
      <c r="E523" s="93"/>
    </row>
    <row r="524" spans="1:5" x14ac:dyDescent="0.3">
      <c r="A524" s="93"/>
      <c r="B524" s="8"/>
      <c r="C524" s="8"/>
      <c r="D524" s="8"/>
      <c r="E524" s="93"/>
    </row>
    <row r="525" spans="1:5" x14ac:dyDescent="0.3">
      <c r="A525" s="93"/>
      <c r="B525" s="8"/>
      <c r="C525" s="8"/>
      <c r="D525" s="8"/>
      <c r="E525" s="93"/>
    </row>
    <row r="526" spans="1:5" x14ac:dyDescent="0.3">
      <c r="A526" s="93"/>
      <c r="B526" s="8"/>
      <c r="C526" s="8"/>
      <c r="D526" s="8"/>
      <c r="E526" s="93"/>
    </row>
    <row r="527" spans="1:5" x14ac:dyDescent="0.3">
      <c r="A527" s="93"/>
      <c r="B527" s="8"/>
      <c r="C527" s="8"/>
      <c r="D527" s="8"/>
      <c r="E527" s="93"/>
    </row>
    <row r="528" spans="1:5" x14ac:dyDescent="0.3">
      <c r="A528" s="93"/>
      <c r="B528" s="8"/>
      <c r="C528" s="8"/>
      <c r="D528" s="8"/>
      <c r="E528" s="93"/>
    </row>
    <row r="529" spans="1:5" x14ac:dyDescent="0.3">
      <c r="A529" s="93"/>
      <c r="B529" s="8"/>
      <c r="C529" s="8"/>
      <c r="D529" s="8"/>
      <c r="E529" s="93"/>
    </row>
    <row r="530" spans="1:5" x14ac:dyDescent="0.3">
      <c r="A530" s="93"/>
      <c r="B530" s="8"/>
      <c r="C530" s="8"/>
      <c r="D530" s="8"/>
      <c r="E530" s="93"/>
    </row>
    <row r="531" spans="1:5" x14ac:dyDescent="0.3">
      <c r="A531" s="93"/>
      <c r="B531" s="8"/>
      <c r="C531" s="8"/>
      <c r="D531" s="8"/>
      <c r="E531" s="93"/>
    </row>
    <row r="532" spans="1:5" x14ac:dyDescent="0.3">
      <c r="A532" s="93"/>
      <c r="B532" s="8"/>
      <c r="C532" s="8"/>
      <c r="D532" s="8"/>
      <c r="E532" s="93"/>
    </row>
    <row r="533" spans="1:5" x14ac:dyDescent="0.3">
      <c r="A533" s="93"/>
      <c r="B533" s="8"/>
      <c r="C533" s="8"/>
      <c r="D533" s="8"/>
      <c r="E533" s="93"/>
    </row>
    <row r="534" spans="1:5" x14ac:dyDescent="0.3">
      <c r="A534" s="93"/>
      <c r="B534" s="8"/>
      <c r="C534" s="8"/>
      <c r="D534" s="8"/>
      <c r="E534" s="93"/>
    </row>
    <row r="535" spans="1:5" x14ac:dyDescent="0.3">
      <c r="A535" s="93"/>
      <c r="B535" s="8"/>
      <c r="C535" s="8"/>
      <c r="D535" s="8"/>
      <c r="E535" s="93"/>
    </row>
    <row r="536" spans="1:5" x14ac:dyDescent="0.3">
      <c r="A536" s="93"/>
      <c r="B536" s="8"/>
      <c r="C536" s="8"/>
      <c r="D536" s="8"/>
      <c r="E536" s="93"/>
    </row>
    <row r="537" spans="1:5" x14ac:dyDescent="0.3">
      <c r="A537" s="93"/>
      <c r="B537" s="8"/>
      <c r="C537" s="8"/>
      <c r="D537" s="8"/>
      <c r="E537" s="93"/>
    </row>
    <row r="538" spans="1:5" x14ac:dyDescent="0.3">
      <c r="A538" s="93"/>
      <c r="B538" s="8"/>
      <c r="C538" s="8"/>
      <c r="D538" s="8"/>
      <c r="E538" s="93"/>
    </row>
    <row r="539" spans="1:5" x14ac:dyDescent="0.3">
      <c r="A539" s="93"/>
      <c r="B539" s="8"/>
      <c r="C539" s="8"/>
      <c r="D539" s="8"/>
      <c r="E539" s="93"/>
    </row>
    <row r="540" spans="1:5" x14ac:dyDescent="0.3">
      <c r="A540" s="93"/>
      <c r="B540" s="8"/>
      <c r="C540" s="8"/>
      <c r="D540" s="8"/>
      <c r="E540" s="93"/>
    </row>
    <row r="541" spans="1:5" x14ac:dyDescent="0.3">
      <c r="A541" s="93"/>
      <c r="B541" s="8"/>
      <c r="C541" s="8"/>
      <c r="D541" s="8"/>
      <c r="E541" s="93"/>
    </row>
    <row r="542" spans="1:5" x14ac:dyDescent="0.3">
      <c r="A542" s="93"/>
      <c r="B542" s="8"/>
      <c r="C542" s="8"/>
      <c r="D542" s="8"/>
      <c r="E542" s="93"/>
    </row>
    <row r="543" spans="1:5" x14ac:dyDescent="0.3">
      <c r="A543" s="93"/>
      <c r="B543" s="8"/>
      <c r="C543" s="8"/>
      <c r="D543" s="8"/>
      <c r="E543" s="93"/>
    </row>
    <row r="544" spans="1:5" x14ac:dyDescent="0.3">
      <c r="A544" s="93"/>
      <c r="B544" s="8"/>
      <c r="C544" s="8"/>
      <c r="D544" s="8"/>
      <c r="E544" s="93"/>
    </row>
    <row r="545" spans="1:5" x14ac:dyDescent="0.3">
      <c r="A545" s="93"/>
      <c r="B545" s="8"/>
      <c r="C545" s="8"/>
      <c r="D545" s="8"/>
      <c r="E545" s="93"/>
    </row>
    <row r="546" spans="1:5" x14ac:dyDescent="0.3">
      <c r="A546" s="93"/>
      <c r="B546" s="8"/>
      <c r="C546" s="8"/>
      <c r="D546" s="8"/>
      <c r="E546" s="93"/>
    </row>
    <row r="547" spans="1:5" x14ac:dyDescent="0.3">
      <c r="A547" s="93"/>
      <c r="B547" s="8"/>
      <c r="C547" s="8"/>
      <c r="D547" s="8"/>
      <c r="E547" s="93"/>
    </row>
    <row r="548" spans="1:5" x14ac:dyDescent="0.3">
      <c r="A548" s="93"/>
      <c r="B548" s="8"/>
      <c r="C548" s="8"/>
      <c r="D548" s="8"/>
      <c r="E548" s="93"/>
    </row>
    <row r="549" spans="1:5" x14ac:dyDescent="0.3">
      <c r="A549" s="93"/>
      <c r="B549" s="8"/>
      <c r="C549" s="8"/>
      <c r="D549" s="8"/>
      <c r="E549" s="93"/>
    </row>
    <row r="550" spans="1:5" x14ac:dyDescent="0.3">
      <c r="A550" s="93"/>
      <c r="B550" s="8"/>
      <c r="C550" s="8"/>
      <c r="D550" s="8"/>
      <c r="E550" s="93"/>
    </row>
    <row r="551" spans="1:5" x14ac:dyDescent="0.3">
      <c r="A551" s="93"/>
      <c r="B551" s="8"/>
      <c r="C551" s="8"/>
      <c r="D551" s="8"/>
      <c r="E551" s="93"/>
    </row>
    <row r="552" spans="1:5" x14ac:dyDescent="0.3">
      <c r="A552" s="93"/>
      <c r="B552" s="8"/>
      <c r="C552" s="8"/>
      <c r="D552" s="8"/>
      <c r="E552" s="93"/>
    </row>
    <row r="553" spans="1:5" x14ac:dyDescent="0.3">
      <c r="A553" s="93"/>
      <c r="B553" s="8"/>
      <c r="C553" s="8"/>
      <c r="D553" s="8"/>
      <c r="E553" s="93"/>
    </row>
    <row r="554" spans="1:5" x14ac:dyDescent="0.3">
      <c r="A554" s="93"/>
      <c r="B554" s="8"/>
      <c r="C554" s="8"/>
      <c r="D554" s="8"/>
      <c r="E554" s="93"/>
    </row>
    <row r="555" spans="1:5" x14ac:dyDescent="0.3">
      <c r="A555" s="93"/>
      <c r="B555" s="8"/>
      <c r="C555" s="8"/>
      <c r="D555" s="8"/>
      <c r="E555" s="93"/>
    </row>
    <row r="556" spans="1:5" x14ac:dyDescent="0.3">
      <c r="A556" s="93"/>
      <c r="B556" s="8"/>
      <c r="C556" s="8"/>
      <c r="D556" s="8"/>
      <c r="E556" s="93"/>
    </row>
    <row r="557" spans="1:5" x14ac:dyDescent="0.3">
      <c r="A557" s="93"/>
      <c r="B557" s="8"/>
      <c r="C557" s="8"/>
      <c r="D557" s="8"/>
      <c r="E557" s="93"/>
    </row>
    <row r="558" spans="1:5" x14ac:dyDescent="0.3">
      <c r="A558" s="93"/>
      <c r="B558" s="8"/>
      <c r="C558" s="8"/>
      <c r="D558" s="8"/>
      <c r="E558" s="93"/>
    </row>
    <row r="559" spans="1:5" x14ac:dyDescent="0.3">
      <c r="A559" s="93"/>
      <c r="B559" s="8"/>
      <c r="C559" s="8"/>
      <c r="D559" s="8"/>
      <c r="E559" s="93"/>
    </row>
    <row r="560" spans="1:5" x14ac:dyDescent="0.3">
      <c r="A560" s="93"/>
      <c r="B560" s="8"/>
      <c r="C560" s="8"/>
      <c r="D560" s="8"/>
      <c r="E560" s="93"/>
    </row>
    <row r="561" spans="1:5" x14ac:dyDescent="0.3">
      <c r="A561" s="93"/>
      <c r="B561" s="8"/>
      <c r="C561" s="8"/>
      <c r="D561" s="8"/>
      <c r="E561" s="93"/>
    </row>
    <row r="562" spans="1:5" x14ac:dyDescent="0.3">
      <c r="A562" s="93"/>
      <c r="B562" s="8"/>
      <c r="C562" s="8"/>
      <c r="D562" s="8"/>
      <c r="E562" s="93"/>
    </row>
    <row r="563" spans="1:5" x14ac:dyDescent="0.3">
      <c r="A563" s="93"/>
      <c r="B563" s="8"/>
      <c r="C563" s="8"/>
      <c r="D563" s="8"/>
      <c r="E563" s="93"/>
    </row>
    <row r="564" spans="1:5" x14ac:dyDescent="0.3">
      <c r="A564" s="93"/>
      <c r="B564" s="8"/>
      <c r="C564" s="8"/>
      <c r="D564" s="8"/>
      <c r="E564" s="93"/>
    </row>
    <row r="565" spans="1:5" x14ac:dyDescent="0.3">
      <c r="A565" s="93"/>
      <c r="B565" s="8"/>
      <c r="C565" s="8"/>
      <c r="D565" s="8"/>
      <c r="E565" s="93"/>
    </row>
    <row r="566" spans="1:5" x14ac:dyDescent="0.3">
      <c r="A566" s="93"/>
      <c r="B566" s="8"/>
      <c r="C566" s="8"/>
      <c r="D566" s="8"/>
      <c r="E566" s="93"/>
    </row>
    <row r="567" spans="1:5" x14ac:dyDescent="0.3">
      <c r="A567" s="93"/>
      <c r="B567" s="8"/>
      <c r="C567" s="8"/>
      <c r="D567" s="8"/>
      <c r="E567" s="93"/>
    </row>
    <row r="568" spans="1:5" x14ac:dyDescent="0.3">
      <c r="A568" s="93"/>
      <c r="B568" s="8"/>
      <c r="C568" s="8"/>
      <c r="D568" s="8"/>
      <c r="E568" s="93"/>
    </row>
    <row r="569" spans="1:5" x14ac:dyDescent="0.3">
      <c r="A569" s="93"/>
      <c r="B569" s="8"/>
      <c r="C569" s="8"/>
      <c r="D569" s="8"/>
      <c r="E569" s="93"/>
    </row>
    <row r="570" spans="1:5" x14ac:dyDescent="0.3">
      <c r="A570" s="93"/>
      <c r="B570" s="8"/>
      <c r="C570" s="8"/>
      <c r="D570" s="8"/>
      <c r="E570" s="93"/>
    </row>
    <row r="571" spans="1:5" x14ac:dyDescent="0.3">
      <c r="A571" s="93"/>
      <c r="B571" s="8"/>
      <c r="C571" s="8"/>
      <c r="D571" s="8"/>
      <c r="E571" s="93"/>
    </row>
    <row r="572" spans="1:5" x14ac:dyDescent="0.3">
      <c r="A572" s="93"/>
      <c r="B572" s="8"/>
      <c r="C572" s="8"/>
      <c r="D572" s="8"/>
      <c r="E572" s="93"/>
    </row>
    <row r="573" spans="1:5" x14ac:dyDescent="0.3">
      <c r="A573" s="93"/>
      <c r="B573" s="8"/>
      <c r="C573" s="8"/>
      <c r="D573" s="8"/>
      <c r="E573" s="93"/>
    </row>
    <row r="574" spans="1:5" x14ac:dyDescent="0.3">
      <c r="A574" s="93"/>
      <c r="B574" s="8"/>
      <c r="C574" s="8"/>
      <c r="D574" s="8"/>
      <c r="E574" s="93"/>
    </row>
    <row r="575" spans="1:5" x14ac:dyDescent="0.3">
      <c r="A575" s="93"/>
      <c r="B575" s="8"/>
      <c r="C575" s="8"/>
      <c r="D575" s="8"/>
      <c r="E575" s="93"/>
    </row>
    <row r="576" spans="1:5" x14ac:dyDescent="0.3">
      <c r="A576" s="93"/>
      <c r="B576" s="8"/>
      <c r="C576" s="8"/>
      <c r="D576" s="8"/>
      <c r="E576" s="93"/>
    </row>
    <row r="577" spans="1:5" x14ac:dyDescent="0.3">
      <c r="A577" s="93"/>
      <c r="B577" s="8"/>
      <c r="C577" s="8"/>
      <c r="D577" s="8"/>
      <c r="E577" s="93"/>
    </row>
    <row r="578" spans="1:5" x14ac:dyDescent="0.3">
      <c r="A578" s="93"/>
      <c r="B578" s="8"/>
      <c r="C578" s="8"/>
      <c r="D578" s="8"/>
      <c r="E578" s="93"/>
    </row>
    <row r="579" spans="1:5" x14ac:dyDescent="0.3">
      <c r="A579" s="93"/>
      <c r="B579" s="8"/>
      <c r="C579" s="8"/>
      <c r="D579" s="8"/>
      <c r="E579" s="93"/>
    </row>
    <row r="580" spans="1:5" x14ac:dyDescent="0.3">
      <c r="A580" s="93"/>
      <c r="B580" s="8"/>
      <c r="C580" s="8"/>
      <c r="D580" s="8"/>
      <c r="E580" s="93"/>
    </row>
    <row r="581" spans="1:5" x14ac:dyDescent="0.3">
      <c r="A581" s="93"/>
      <c r="B581" s="8"/>
      <c r="C581" s="8"/>
      <c r="D581" s="8"/>
      <c r="E581" s="93"/>
    </row>
    <row r="582" spans="1:5" x14ac:dyDescent="0.3">
      <c r="A582" s="93"/>
      <c r="B582" s="8"/>
      <c r="C582" s="8"/>
      <c r="D582" s="8"/>
      <c r="E582" s="93"/>
    </row>
    <row r="583" spans="1:5" x14ac:dyDescent="0.3">
      <c r="A583" s="93"/>
      <c r="B583" s="8"/>
      <c r="C583" s="8"/>
      <c r="D583" s="8"/>
      <c r="E583" s="93"/>
    </row>
    <row r="584" spans="1:5" x14ac:dyDescent="0.3">
      <c r="A584" s="93"/>
      <c r="B584" s="8"/>
      <c r="C584" s="8"/>
      <c r="D584" s="8"/>
      <c r="E584" s="93"/>
    </row>
    <row r="585" spans="1:5" x14ac:dyDescent="0.3">
      <c r="A585" s="93"/>
      <c r="B585" s="8"/>
      <c r="C585" s="8"/>
      <c r="D585" s="8"/>
      <c r="E585" s="93"/>
    </row>
    <row r="586" spans="1:5" x14ac:dyDescent="0.3">
      <c r="A586" s="93"/>
      <c r="B586" s="8"/>
      <c r="C586" s="8"/>
      <c r="D586" s="8"/>
      <c r="E586" s="93"/>
    </row>
    <row r="587" spans="1:5" x14ac:dyDescent="0.3">
      <c r="A587" s="93"/>
      <c r="B587" s="8"/>
      <c r="C587" s="8"/>
      <c r="D587" s="8"/>
      <c r="E587" s="93"/>
    </row>
    <row r="588" spans="1:5" x14ac:dyDescent="0.3">
      <c r="A588" s="93"/>
      <c r="B588" s="8"/>
      <c r="C588" s="8"/>
      <c r="D588" s="8"/>
      <c r="E588" s="93"/>
    </row>
    <row r="589" spans="1:5" x14ac:dyDescent="0.3">
      <c r="A589" s="93"/>
      <c r="B589" s="8"/>
      <c r="C589" s="8"/>
      <c r="D589" s="8"/>
      <c r="E589" s="93"/>
    </row>
    <row r="590" spans="1:5" x14ac:dyDescent="0.3">
      <c r="A590" s="93"/>
      <c r="B590" s="8"/>
      <c r="C590" s="8"/>
      <c r="D590" s="8"/>
      <c r="E590" s="93"/>
    </row>
    <row r="591" spans="1:5" x14ac:dyDescent="0.3">
      <c r="A591" s="93"/>
      <c r="B591" s="8"/>
      <c r="C591" s="8"/>
      <c r="D591" s="8"/>
      <c r="E591" s="93"/>
    </row>
    <row r="592" spans="1:5" x14ac:dyDescent="0.3">
      <c r="A592" s="93"/>
      <c r="B592" s="8"/>
      <c r="C592" s="8"/>
      <c r="D592" s="8"/>
      <c r="E592" s="93"/>
    </row>
    <row r="593" spans="1:5" x14ac:dyDescent="0.3">
      <c r="A593" s="93"/>
      <c r="B593" s="8"/>
      <c r="C593" s="8"/>
      <c r="D593" s="8"/>
      <c r="E593" s="93"/>
    </row>
    <row r="594" spans="1:5" x14ac:dyDescent="0.3">
      <c r="A594" s="93"/>
      <c r="B594" s="8"/>
      <c r="C594" s="8"/>
      <c r="D594" s="8"/>
      <c r="E594" s="93"/>
    </row>
    <row r="595" spans="1:5" x14ac:dyDescent="0.3">
      <c r="A595" s="93"/>
      <c r="B595" s="8"/>
      <c r="C595" s="8"/>
      <c r="D595" s="8"/>
      <c r="E595" s="93"/>
    </row>
    <row r="596" spans="1:5" x14ac:dyDescent="0.3">
      <c r="A596" s="93"/>
      <c r="B596" s="8"/>
      <c r="C596" s="8"/>
      <c r="D596" s="8"/>
      <c r="E596" s="93"/>
    </row>
    <row r="597" spans="1:5" x14ac:dyDescent="0.3">
      <c r="A597" s="93"/>
      <c r="B597" s="8"/>
      <c r="C597" s="8"/>
      <c r="D597" s="8"/>
      <c r="E597" s="93"/>
    </row>
    <row r="598" spans="1:5" x14ac:dyDescent="0.3">
      <c r="A598" s="93"/>
      <c r="B598" s="8"/>
      <c r="C598" s="8"/>
      <c r="D598" s="8"/>
      <c r="E598" s="93"/>
    </row>
    <row r="599" spans="1:5" x14ac:dyDescent="0.3">
      <c r="A599" s="93"/>
      <c r="B599" s="8"/>
      <c r="C599" s="8"/>
      <c r="D599" s="8"/>
      <c r="E599" s="93"/>
    </row>
    <row r="600" spans="1:5" x14ac:dyDescent="0.3">
      <c r="A600" s="93"/>
      <c r="B600" s="8"/>
      <c r="C600" s="8"/>
      <c r="D600" s="8"/>
      <c r="E600" s="93"/>
    </row>
    <row r="601" spans="1:5" x14ac:dyDescent="0.3">
      <c r="A601" s="93"/>
      <c r="B601" s="8"/>
      <c r="C601" s="8"/>
      <c r="D601" s="8"/>
      <c r="E601" s="93"/>
    </row>
    <row r="602" spans="1:5" x14ac:dyDescent="0.3">
      <c r="A602" s="93"/>
      <c r="B602" s="8"/>
      <c r="C602" s="8"/>
      <c r="D602" s="8"/>
      <c r="E602" s="93"/>
    </row>
    <row r="603" spans="1:5" x14ac:dyDescent="0.3">
      <c r="A603" s="93"/>
      <c r="B603" s="8"/>
      <c r="C603" s="8"/>
      <c r="D603" s="8"/>
      <c r="E603" s="93"/>
    </row>
    <row r="604" spans="1:5" x14ac:dyDescent="0.3">
      <c r="A604" s="93"/>
      <c r="B604" s="8"/>
      <c r="C604" s="8"/>
      <c r="D604" s="8"/>
      <c r="E604" s="93"/>
    </row>
    <row r="605" spans="1:5" x14ac:dyDescent="0.3">
      <c r="A605" s="93"/>
      <c r="B605" s="8"/>
      <c r="C605" s="8"/>
      <c r="D605" s="8"/>
      <c r="E605" s="93"/>
    </row>
    <row r="606" spans="1:5" x14ac:dyDescent="0.3">
      <c r="A606" s="93"/>
      <c r="B606" s="8"/>
      <c r="C606" s="8"/>
      <c r="D606" s="8"/>
      <c r="E606" s="93"/>
    </row>
    <row r="607" spans="1:5" x14ac:dyDescent="0.3">
      <c r="A607" s="93"/>
      <c r="B607" s="8"/>
      <c r="C607" s="8"/>
      <c r="D607" s="8"/>
      <c r="E607" s="93"/>
    </row>
    <row r="608" spans="1:5" x14ac:dyDescent="0.3">
      <c r="A608" s="93"/>
      <c r="B608" s="8"/>
      <c r="C608" s="8"/>
      <c r="D608" s="8"/>
      <c r="E608" s="93"/>
    </row>
    <row r="609" spans="1:5" x14ac:dyDescent="0.3">
      <c r="A609" s="93"/>
      <c r="B609" s="8"/>
      <c r="C609" s="8"/>
      <c r="D609" s="8"/>
      <c r="E609" s="93"/>
    </row>
    <row r="610" spans="1:5" x14ac:dyDescent="0.3">
      <c r="A610" s="93"/>
      <c r="B610" s="8"/>
      <c r="C610" s="8"/>
      <c r="D610" s="8"/>
      <c r="E610" s="93"/>
    </row>
    <row r="611" spans="1:5" x14ac:dyDescent="0.3">
      <c r="A611" s="93"/>
      <c r="B611" s="8"/>
      <c r="C611" s="8"/>
      <c r="D611" s="8"/>
      <c r="E611" s="93"/>
    </row>
    <row r="612" spans="1:5" x14ac:dyDescent="0.3">
      <c r="A612" s="93"/>
      <c r="B612" s="8"/>
      <c r="C612" s="8"/>
      <c r="D612" s="8"/>
      <c r="E612" s="93"/>
    </row>
    <row r="613" spans="1:5" x14ac:dyDescent="0.3">
      <c r="A613" s="93"/>
      <c r="B613" s="8"/>
      <c r="C613" s="8"/>
      <c r="D613" s="8"/>
      <c r="E613" s="93"/>
    </row>
    <row r="614" spans="1:5" x14ac:dyDescent="0.3">
      <c r="A614" s="93"/>
      <c r="B614" s="8"/>
      <c r="C614" s="8"/>
      <c r="D614" s="8"/>
      <c r="E614" s="93"/>
    </row>
    <row r="615" spans="1:5" x14ac:dyDescent="0.3">
      <c r="A615" s="93"/>
      <c r="B615" s="8"/>
      <c r="C615" s="8"/>
      <c r="D615" s="8"/>
      <c r="E615" s="93"/>
    </row>
    <row r="616" spans="1:5" x14ac:dyDescent="0.3">
      <c r="A616" s="93"/>
      <c r="B616" s="8"/>
      <c r="C616" s="8"/>
      <c r="D616" s="8"/>
      <c r="E616" s="93"/>
    </row>
    <row r="617" spans="1:5" x14ac:dyDescent="0.3">
      <c r="A617" s="93"/>
      <c r="B617" s="8"/>
      <c r="C617" s="8"/>
      <c r="D617" s="8"/>
      <c r="E617" s="93"/>
    </row>
    <row r="618" spans="1:5" x14ac:dyDescent="0.3">
      <c r="A618" s="93"/>
      <c r="B618" s="8"/>
      <c r="C618" s="8"/>
      <c r="D618" s="8"/>
      <c r="E618" s="93"/>
    </row>
    <row r="619" spans="1:5" x14ac:dyDescent="0.3">
      <c r="A619" s="93"/>
      <c r="B619" s="8"/>
      <c r="C619" s="8"/>
      <c r="D619" s="8"/>
      <c r="E619" s="93"/>
    </row>
    <row r="620" spans="1:5" x14ac:dyDescent="0.3">
      <c r="A620" s="93"/>
      <c r="B620" s="8"/>
      <c r="C620" s="8"/>
      <c r="D620" s="8"/>
      <c r="E620" s="93"/>
    </row>
    <row r="621" spans="1:5" x14ac:dyDescent="0.3">
      <c r="A621" s="93"/>
      <c r="B621" s="8"/>
      <c r="C621" s="8"/>
      <c r="D621" s="8"/>
      <c r="E621" s="93"/>
    </row>
    <row r="622" spans="1:5" x14ac:dyDescent="0.3">
      <c r="A622" s="93"/>
      <c r="B622" s="8"/>
      <c r="C622" s="8"/>
      <c r="D622" s="8"/>
      <c r="E622" s="93"/>
    </row>
    <row r="623" spans="1:5" x14ac:dyDescent="0.3">
      <c r="A623" s="93"/>
      <c r="B623" s="8"/>
      <c r="C623" s="8"/>
      <c r="D623" s="8"/>
      <c r="E623" s="93"/>
    </row>
    <row r="624" spans="1:5" x14ac:dyDescent="0.3">
      <c r="A624" s="93"/>
      <c r="B624" s="8"/>
      <c r="C624" s="8"/>
      <c r="D624" s="8"/>
      <c r="E624" s="93"/>
    </row>
    <row r="625" spans="1:5" x14ac:dyDescent="0.3">
      <c r="A625" s="93"/>
      <c r="B625" s="8"/>
      <c r="C625" s="8"/>
      <c r="D625" s="8"/>
      <c r="E625" s="93"/>
    </row>
    <row r="626" spans="1:5" x14ac:dyDescent="0.3">
      <c r="A626" s="93"/>
      <c r="B626" s="8"/>
      <c r="C626" s="8"/>
      <c r="D626" s="8"/>
      <c r="E626" s="93"/>
    </row>
    <row r="627" spans="1:5" x14ac:dyDescent="0.3">
      <c r="A627" s="93"/>
      <c r="B627" s="8"/>
      <c r="C627" s="8"/>
      <c r="D627" s="8"/>
      <c r="E627" s="93"/>
    </row>
    <row r="628" spans="1:5" x14ac:dyDescent="0.3">
      <c r="A628" s="93"/>
      <c r="B628" s="8"/>
      <c r="C628" s="8"/>
      <c r="D628" s="8"/>
      <c r="E628" s="93"/>
    </row>
    <row r="629" spans="1:5" x14ac:dyDescent="0.3">
      <c r="A629" s="93"/>
      <c r="B629" s="8"/>
      <c r="C629" s="8"/>
      <c r="D629" s="8"/>
      <c r="E629" s="93"/>
    </row>
    <row r="630" spans="1:5" x14ac:dyDescent="0.3">
      <c r="A630" s="93"/>
      <c r="B630" s="8"/>
      <c r="C630" s="8"/>
      <c r="D630" s="8"/>
      <c r="E630" s="93"/>
    </row>
    <row r="631" spans="1:5" x14ac:dyDescent="0.3">
      <c r="A631" s="93"/>
      <c r="B631" s="8"/>
      <c r="C631" s="8"/>
      <c r="D631" s="8"/>
      <c r="E631" s="93"/>
    </row>
    <row r="632" spans="1:5" x14ac:dyDescent="0.3">
      <c r="A632" s="93"/>
      <c r="B632" s="8"/>
      <c r="C632" s="8"/>
      <c r="D632" s="8"/>
      <c r="E632" s="93"/>
    </row>
    <row r="633" spans="1:5" x14ac:dyDescent="0.3">
      <c r="A633" s="93"/>
      <c r="B633" s="8"/>
      <c r="C633" s="8"/>
      <c r="D633" s="8"/>
      <c r="E633" s="93"/>
    </row>
    <row r="634" spans="1:5" x14ac:dyDescent="0.3">
      <c r="A634" s="93"/>
      <c r="B634" s="8"/>
      <c r="C634" s="8"/>
      <c r="D634" s="8"/>
      <c r="E634" s="93"/>
    </row>
    <row r="635" spans="1:5" x14ac:dyDescent="0.3">
      <c r="A635" s="93"/>
      <c r="B635" s="8"/>
      <c r="C635" s="8"/>
      <c r="D635" s="8"/>
      <c r="E635" s="93"/>
    </row>
    <row r="636" spans="1:5" x14ac:dyDescent="0.3">
      <c r="A636" s="93"/>
      <c r="B636" s="8"/>
      <c r="C636" s="8"/>
      <c r="D636" s="8"/>
      <c r="E636" s="93"/>
    </row>
    <row r="637" spans="1:5" x14ac:dyDescent="0.3">
      <c r="A637" s="93"/>
      <c r="B637" s="8"/>
      <c r="C637" s="8"/>
      <c r="D637" s="8"/>
      <c r="E637" s="93"/>
    </row>
    <row r="638" spans="1:5" x14ac:dyDescent="0.3">
      <c r="A638" s="93"/>
      <c r="B638" s="8"/>
      <c r="C638" s="8"/>
      <c r="D638" s="8"/>
      <c r="E638" s="93"/>
    </row>
    <row r="639" spans="1:5" x14ac:dyDescent="0.3">
      <c r="A639" s="93"/>
      <c r="B639" s="8"/>
      <c r="C639" s="8"/>
      <c r="D639" s="8"/>
      <c r="E639" s="93"/>
    </row>
    <row r="640" spans="1:5" x14ac:dyDescent="0.3">
      <c r="A640" s="93"/>
      <c r="B640" s="8"/>
      <c r="C640" s="8"/>
      <c r="D640" s="8"/>
      <c r="E640" s="93"/>
    </row>
    <row r="641" spans="1:5" x14ac:dyDescent="0.3">
      <c r="A641" s="93"/>
      <c r="B641" s="8"/>
      <c r="C641" s="8"/>
      <c r="D641" s="8"/>
      <c r="E641" s="93"/>
    </row>
    <row r="642" spans="1:5" x14ac:dyDescent="0.3">
      <c r="A642" s="93"/>
      <c r="B642" s="8"/>
      <c r="C642" s="8"/>
      <c r="D642" s="8"/>
      <c r="E642" s="93"/>
    </row>
    <row r="643" spans="1:5" x14ac:dyDescent="0.3">
      <c r="A643" s="93"/>
      <c r="B643" s="8"/>
      <c r="C643" s="8"/>
      <c r="D643" s="8"/>
      <c r="E643" s="93"/>
    </row>
    <row r="644" spans="1:5" x14ac:dyDescent="0.3">
      <c r="A644" s="93"/>
      <c r="B644" s="8"/>
      <c r="C644" s="8"/>
      <c r="D644" s="8"/>
      <c r="E644" s="93"/>
    </row>
    <row r="645" spans="1:5" x14ac:dyDescent="0.3">
      <c r="A645" s="93"/>
      <c r="B645" s="8"/>
      <c r="C645" s="8"/>
      <c r="D645" s="8"/>
      <c r="E645" s="93"/>
    </row>
    <row r="646" spans="1:5" x14ac:dyDescent="0.3">
      <c r="A646" s="93"/>
      <c r="B646" s="8"/>
      <c r="C646" s="8"/>
      <c r="D646" s="8"/>
      <c r="E646" s="93"/>
    </row>
    <row r="647" spans="1:5" x14ac:dyDescent="0.3">
      <c r="A647" s="93"/>
      <c r="B647" s="8"/>
      <c r="C647" s="8"/>
      <c r="D647" s="8"/>
      <c r="E647" s="93"/>
    </row>
    <row r="648" spans="1:5" x14ac:dyDescent="0.3">
      <c r="A648" s="93"/>
      <c r="B648" s="8"/>
      <c r="C648" s="8"/>
      <c r="D648" s="8"/>
      <c r="E648" s="93"/>
    </row>
    <row r="649" spans="1:5" x14ac:dyDescent="0.3">
      <c r="A649" s="93"/>
      <c r="B649" s="8"/>
      <c r="C649" s="8"/>
      <c r="D649" s="8"/>
      <c r="E649" s="93"/>
    </row>
    <row r="650" spans="1:5" x14ac:dyDescent="0.3">
      <c r="A650" s="93"/>
      <c r="B650" s="8"/>
      <c r="C650" s="8"/>
      <c r="D650" s="8"/>
      <c r="E650" s="93"/>
    </row>
    <row r="651" spans="1:5" x14ac:dyDescent="0.3">
      <c r="A651" s="93"/>
      <c r="B651" s="8"/>
      <c r="C651" s="8"/>
      <c r="D651" s="8"/>
      <c r="E651" s="93"/>
    </row>
    <row r="652" spans="1:5" x14ac:dyDescent="0.3">
      <c r="A652" s="93"/>
      <c r="B652" s="8"/>
      <c r="C652" s="8"/>
      <c r="D652" s="8"/>
      <c r="E652" s="93"/>
    </row>
    <row r="653" spans="1:5" x14ac:dyDescent="0.3">
      <c r="A653" s="93"/>
      <c r="B653" s="8"/>
      <c r="C653" s="8"/>
      <c r="D653" s="8"/>
      <c r="E653" s="93"/>
    </row>
    <row r="654" spans="1:5" x14ac:dyDescent="0.3">
      <c r="A654" s="93"/>
      <c r="B654" s="8"/>
      <c r="C654" s="8"/>
      <c r="D654" s="8"/>
      <c r="E654" s="93"/>
    </row>
    <row r="655" spans="1:5" x14ac:dyDescent="0.3">
      <c r="A655" s="93"/>
      <c r="B655" s="8"/>
      <c r="C655" s="8"/>
      <c r="D655" s="8"/>
      <c r="E655" s="93"/>
    </row>
    <row r="656" spans="1:5" x14ac:dyDescent="0.3">
      <c r="A656" s="93"/>
      <c r="B656" s="8"/>
      <c r="C656" s="8"/>
      <c r="D656" s="8"/>
      <c r="E656" s="93"/>
    </row>
    <row r="657" spans="1:5" x14ac:dyDescent="0.3">
      <c r="A657" s="93"/>
      <c r="B657" s="8"/>
      <c r="C657" s="8"/>
      <c r="D657" s="8"/>
      <c r="E657" s="93"/>
    </row>
    <row r="658" spans="1:5" x14ac:dyDescent="0.3">
      <c r="A658" s="93"/>
      <c r="B658" s="8"/>
      <c r="C658" s="8"/>
      <c r="D658" s="8"/>
      <c r="E658" s="93"/>
    </row>
    <row r="659" spans="1:5" x14ac:dyDescent="0.3">
      <c r="A659" s="93"/>
      <c r="B659" s="8"/>
      <c r="C659" s="8"/>
      <c r="D659" s="8"/>
      <c r="E659" s="93"/>
    </row>
    <row r="660" spans="1:5" x14ac:dyDescent="0.3">
      <c r="A660" s="93"/>
      <c r="B660" s="8"/>
      <c r="C660" s="8"/>
      <c r="D660" s="8"/>
      <c r="E660" s="93"/>
    </row>
    <row r="661" spans="1:5" x14ac:dyDescent="0.3">
      <c r="A661" s="93"/>
      <c r="B661" s="8"/>
      <c r="C661" s="8"/>
      <c r="D661" s="8"/>
      <c r="E661" s="93"/>
    </row>
    <row r="662" spans="1:5" x14ac:dyDescent="0.3">
      <c r="A662" s="93"/>
      <c r="B662" s="8"/>
      <c r="C662" s="8"/>
      <c r="D662" s="8"/>
      <c r="E662" s="93"/>
    </row>
    <row r="663" spans="1:5" x14ac:dyDescent="0.3">
      <c r="A663" s="93"/>
      <c r="B663" s="8"/>
      <c r="C663" s="8"/>
      <c r="D663" s="8"/>
      <c r="E663" s="93"/>
    </row>
    <row r="664" spans="1:5" x14ac:dyDescent="0.3">
      <c r="A664" s="93"/>
      <c r="B664" s="8"/>
      <c r="C664" s="8"/>
      <c r="D664" s="8"/>
      <c r="E664" s="93"/>
    </row>
    <row r="665" spans="1:5" x14ac:dyDescent="0.3">
      <c r="A665" s="93"/>
      <c r="B665" s="8"/>
      <c r="C665" s="8"/>
      <c r="D665" s="8"/>
      <c r="E665" s="93"/>
    </row>
    <row r="666" spans="1:5" x14ac:dyDescent="0.3">
      <c r="A666" s="93"/>
      <c r="B666" s="8"/>
      <c r="C666" s="8"/>
      <c r="D666" s="8"/>
      <c r="E666" s="93"/>
    </row>
    <row r="667" spans="1:5" x14ac:dyDescent="0.3">
      <c r="A667" s="93"/>
      <c r="B667" s="8"/>
      <c r="C667" s="8"/>
      <c r="D667" s="8"/>
      <c r="E667" s="93"/>
    </row>
    <row r="668" spans="1:5" x14ac:dyDescent="0.3">
      <c r="A668" s="93"/>
      <c r="B668" s="8"/>
      <c r="C668" s="8"/>
      <c r="D668" s="8"/>
      <c r="E668" s="93"/>
    </row>
    <row r="669" spans="1:5" x14ac:dyDescent="0.3">
      <c r="A669" s="93"/>
      <c r="B669" s="8"/>
      <c r="C669" s="8"/>
      <c r="D669" s="8"/>
      <c r="E669" s="93"/>
    </row>
    <row r="670" spans="1:5" x14ac:dyDescent="0.3">
      <c r="A670" s="93"/>
      <c r="B670" s="8"/>
      <c r="C670" s="8"/>
      <c r="D670" s="8"/>
      <c r="E670" s="93"/>
    </row>
    <row r="671" spans="1:5" x14ac:dyDescent="0.3">
      <c r="A671" s="93"/>
      <c r="B671" s="8"/>
      <c r="C671" s="8"/>
      <c r="D671" s="8"/>
      <c r="E671" s="93"/>
    </row>
    <row r="672" spans="1:5" x14ac:dyDescent="0.3">
      <c r="A672" s="93"/>
      <c r="B672" s="8"/>
      <c r="C672" s="8"/>
      <c r="D672" s="8"/>
      <c r="E672" s="93"/>
    </row>
    <row r="673" spans="1:5" x14ac:dyDescent="0.3">
      <c r="A673" s="93"/>
      <c r="B673" s="8"/>
      <c r="C673" s="8"/>
      <c r="D673" s="8"/>
      <c r="E673" s="93"/>
    </row>
    <row r="674" spans="1:5" x14ac:dyDescent="0.3">
      <c r="A674" s="93"/>
      <c r="B674" s="8"/>
      <c r="C674" s="8"/>
      <c r="D674" s="8"/>
      <c r="E674" s="93"/>
    </row>
    <row r="675" spans="1:5" x14ac:dyDescent="0.3">
      <c r="A675" s="93"/>
      <c r="B675" s="8"/>
      <c r="C675" s="8"/>
      <c r="D675" s="8"/>
      <c r="E675" s="93"/>
    </row>
    <row r="676" spans="1:5" x14ac:dyDescent="0.3">
      <c r="A676" s="93"/>
      <c r="B676" s="8"/>
      <c r="C676" s="8"/>
      <c r="D676" s="8"/>
      <c r="E676" s="93"/>
    </row>
    <row r="677" spans="1:5" x14ac:dyDescent="0.3">
      <c r="A677" s="93"/>
      <c r="B677" s="8"/>
      <c r="C677" s="8"/>
      <c r="D677" s="8"/>
      <c r="E677" s="93"/>
    </row>
    <row r="678" spans="1:5" x14ac:dyDescent="0.3">
      <c r="A678" s="93"/>
      <c r="B678" s="8"/>
      <c r="C678" s="8"/>
      <c r="D678" s="8"/>
      <c r="E678" s="93"/>
    </row>
    <row r="679" spans="1:5" x14ac:dyDescent="0.3">
      <c r="A679" s="93"/>
      <c r="B679" s="8"/>
      <c r="C679" s="8"/>
      <c r="D679" s="8"/>
      <c r="E679" s="93"/>
    </row>
    <row r="680" spans="1:5" x14ac:dyDescent="0.3">
      <c r="A680" s="93"/>
      <c r="B680" s="8"/>
      <c r="C680" s="8"/>
      <c r="D680" s="8"/>
      <c r="E680" s="93"/>
    </row>
    <row r="681" spans="1:5" x14ac:dyDescent="0.3">
      <c r="A681" s="93"/>
      <c r="B681" s="8"/>
      <c r="C681" s="8"/>
      <c r="D681" s="8"/>
      <c r="E681" s="93"/>
    </row>
    <row r="682" spans="1:5" x14ac:dyDescent="0.3">
      <c r="A682" s="93"/>
      <c r="B682" s="8"/>
      <c r="C682" s="8"/>
      <c r="D682" s="8"/>
      <c r="E682" s="93"/>
    </row>
    <row r="683" spans="1:5" x14ac:dyDescent="0.3">
      <c r="A683" s="93"/>
      <c r="B683" s="8"/>
      <c r="C683" s="8"/>
      <c r="D683" s="8"/>
      <c r="E683" s="93"/>
    </row>
    <row r="684" spans="1:5" x14ac:dyDescent="0.3">
      <c r="A684" s="93"/>
      <c r="B684" s="8"/>
      <c r="C684" s="8"/>
      <c r="D684" s="8"/>
      <c r="E684" s="93"/>
    </row>
    <row r="685" spans="1:5" x14ac:dyDescent="0.3">
      <c r="A685" s="93"/>
      <c r="B685" s="8"/>
      <c r="C685" s="8"/>
      <c r="D685" s="8"/>
      <c r="E685" s="93"/>
    </row>
    <row r="686" spans="1:5" x14ac:dyDescent="0.3">
      <c r="A686" s="93"/>
      <c r="B686" s="8"/>
      <c r="C686" s="8"/>
      <c r="D686" s="8"/>
      <c r="E686" s="93"/>
    </row>
    <row r="687" spans="1:5" x14ac:dyDescent="0.3">
      <c r="A687" s="93"/>
      <c r="B687" s="8"/>
      <c r="C687" s="8"/>
      <c r="D687" s="8"/>
      <c r="E687" s="93"/>
    </row>
    <row r="688" spans="1:5" x14ac:dyDescent="0.3">
      <c r="A688" s="93"/>
      <c r="B688" s="8"/>
      <c r="C688" s="8"/>
      <c r="D688" s="8"/>
      <c r="E688" s="93"/>
    </row>
    <row r="689" spans="1:5" x14ac:dyDescent="0.3">
      <c r="A689" s="93"/>
      <c r="B689" s="8"/>
      <c r="C689" s="8"/>
      <c r="D689" s="8"/>
      <c r="E689" s="93"/>
    </row>
    <row r="690" spans="1:5" x14ac:dyDescent="0.3">
      <c r="A690" s="93"/>
      <c r="B690" s="8"/>
      <c r="C690" s="8"/>
      <c r="D690" s="8"/>
      <c r="E690" s="93"/>
    </row>
    <row r="691" spans="1:5" x14ac:dyDescent="0.3">
      <c r="A691" s="93"/>
      <c r="B691" s="8"/>
      <c r="C691" s="8"/>
      <c r="D691" s="8"/>
      <c r="E691" s="93"/>
    </row>
    <row r="692" spans="1:5" x14ac:dyDescent="0.3">
      <c r="A692" s="93"/>
      <c r="B692" s="8"/>
      <c r="C692" s="8"/>
      <c r="D692" s="8"/>
      <c r="E692" s="93"/>
    </row>
    <row r="693" spans="1:5" x14ac:dyDescent="0.3">
      <c r="A693" s="93"/>
      <c r="B693" s="8"/>
      <c r="C693" s="8"/>
      <c r="D693" s="8"/>
      <c r="E693" s="93"/>
    </row>
    <row r="694" spans="1:5" x14ac:dyDescent="0.3">
      <c r="A694" s="93"/>
      <c r="B694" s="8"/>
      <c r="C694" s="8"/>
      <c r="D694" s="8"/>
      <c r="E694" s="93"/>
    </row>
    <row r="695" spans="1:5" x14ac:dyDescent="0.3">
      <c r="A695" s="93"/>
      <c r="B695" s="8"/>
      <c r="C695" s="8"/>
      <c r="D695" s="8"/>
      <c r="E695" s="93"/>
    </row>
    <row r="696" spans="1:5" x14ac:dyDescent="0.3">
      <c r="A696" s="93"/>
      <c r="B696" s="8"/>
      <c r="C696" s="8"/>
      <c r="D696" s="8"/>
      <c r="E696" s="93"/>
    </row>
    <row r="697" spans="1:5" x14ac:dyDescent="0.3">
      <c r="A697" s="93"/>
      <c r="B697" s="8"/>
      <c r="C697" s="8"/>
      <c r="D697" s="8"/>
      <c r="E697" s="93"/>
    </row>
    <row r="698" spans="1:5" x14ac:dyDescent="0.3">
      <c r="A698" s="93"/>
      <c r="B698" s="8"/>
      <c r="C698" s="8"/>
      <c r="D698" s="8"/>
      <c r="E698" s="93"/>
    </row>
    <row r="699" spans="1:5" x14ac:dyDescent="0.3">
      <c r="A699" s="93"/>
      <c r="B699" s="8"/>
      <c r="C699" s="8"/>
      <c r="D699" s="8"/>
      <c r="E699" s="93"/>
    </row>
    <row r="700" spans="1:5" x14ac:dyDescent="0.3">
      <c r="A700" s="93"/>
      <c r="B700" s="8"/>
      <c r="C700" s="8"/>
      <c r="D700" s="8"/>
      <c r="E700" s="93"/>
    </row>
    <row r="701" spans="1:5" x14ac:dyDescent="0.3">
      <c r="A701" s="93"/>
      <c r="B701" s="8"/>
      <c r="C701" s="8"/>
      <c r="D701" s="8"/>
      <c r="E701" s="93"/>
    </row>
    <row r="702" spans="1:5" x14ac:dyDescent="0.3">
      <c r="A702" s="93"/>
      <c r="B702" s="8"/>
      <c r="C702" s="8"/>
      <c r="D702" s="8"/>
      <c r="E702" s="93"/>
    </row>
    <row r="703" spans="1:5" x14ac:dyDescent="0.3">
      <c r="A703" s="93"/>
      <c r="B703" s="8"/>
      <c r="C703" s="8"/>
      <c r="D703" s="8"/>
      <c r="E703" s="93"/>
    </row>
    <row r="704" spans="1:5" x14ac:dyDescent="0.3">
      <c r="A704" s="93"/>
      <c r="B704" s="8"/>
      <c r="C704" s="8"/>
      <c r="D704" s="8"/>
      <c r="E704" s="93"/>
    </row>
    <row r="705" spans="1:5" x14ac:dyDescent="0.3">
      <c r="A705" s="93"/>
      <c r="B705" s="8"/>
      <c r="C705" s="8"/>
      <c r="D705" s="8"/>
      <c r="E705" s="93"/>
    </row>
    <row r="706" spans="1:5" x14ac:dyDescent="0.3">
      <c r="A706" s="93"/>
      <c r="B706" s="8"/>
      <c r="C706" s="8"/>
      <c r="D706" s="8"/>
      <c r="E706" s="93"/>
    </row>
    <row r="707" spans="1:5" x14ac:dyDescent="0.3">
      <c r="A707" s="93"/>
      <c r="B707" s="8"/>
      <c r="C707" s="8"/>
      <c r="D707" s="8"/>
      <c r="E707" s="93"/>
    </row>
    <row r="708" spans="1:5" x14ac:dyDescent="0.3">
      <c r="A708" s="93"/>
      <c r="B708" s="8"/>
      <c r="C708" s="8"/>
      <c r="D708" s="8"/>
      <c r="E708" s="93"/>
    </row>
    <row r="709" spans="1:5" x14ac:dyDescent="0.3">
      <c r="A709" s="93"/>
      <c r="B709" s="8"/>
      <c r="C709" s="8"/>
      <c r="D709" s="8"/>
      <c r="E709" s="93"/>
    </row>
    <row r="710" spans="1:5" x14ac:dyDescent="0.3">
      <c r="A710" s="93"/>
      <c r="B710" s="8"/>
      <c r="C710" s="8"/>
      <c r="D710" s="8"/>
      <c r="E710" s="93"/>
    </row>
    <row r="711" spans="1:5" x14ac:dyDescent="0.3">
      <c r="A711" s="93"/>
      <c r="B711" s="8"/>
      <c r="C711" s="8"/>
      <c r="D711" s="8"/>
      <c r="E711" s="93"/>
    </row>
    <row r="712" spans="1:5" x14ac:dyDescent="0.3">
      <c r="A712" s="93"/>
      <c r="B712" s="8"/>
      <c r="C712" s="8"/>
      <c r="D712" s="8"/>
      <c r="E712" s="93"/>
    </row>
    <row r="713" spans="1:5" x14ac:dyDescent="0.3">
      <c r="A713" s="93"/>
      <c r="B713" s="8"/>
      <c r="C713" s="8"/>
      <c r="D713" s="8"/>
      <c r="E713" s="93"/>
    </row>
    <row r="714" spans="1:5" x14ac:dyDescent="0.3">
      <c r="A714" s="93"/>
      <c r="B714" s="8"/>
      <c r="C714" s="8"/>
      <c r="D714" s="8"/>
      <c r="E714" s="93"/>
    </row>
    <row r="715" spans="1:5" x14ac:dyDescent="0.3">
      <c r="A715" s="93"/>
      <c r="B715" s="8"/>
      <c r="C715" s="8"/>
      <c r="D715" s="8"/>
      <c r="E715" s="93"/>
    </row>
    <row r="716" spans="1:5" x14ac:dyDescent="0.3">
      <c r="A716" s="93"/>
      <c r="B716" s="8"/>
      <c r="C716" s="8"/>
      <c r="D716" s="8"/>
      <c r="E716" s="93"/>
    </row>
    <row r="717" spans="1:5" x14ac:dyDescent="0.3">
      <c r="A717" s="93"/>
      <c r="B717" s="8"/>
      <c r="C717" s="8"/>
      <c r="D717" s="8"/>
      <c r="E717" s="93"/>
    </row>
    <row r="718" spans="1:5" x14ac:dyDescent="0.3">
      <c r="A718" s="93"/>
      <c r="B718" s="8"/>
      <c r="C718" s="8"/>
      <c r="D718" s="8"/>
      <c r="E718" s="93"/>
    </row>
    <row r="719" spans="1:5" x14ac:dyDescent="0.3">
      <c r="A719" s="93"/>
      <c r="B719" s="8"/>
      <c r="C719" s="8"/>
      <c r="D719" s="8"/>
      <c r="E719" s="93"/>
    </row>
    <row r="720" spans="1:5" x14ac:dyDescent="0.3">
      <c r="A720" s="93"/>
      <c r="B720" s="8"/>
      <c r="C720" s="8"/>
      <c r="D720" s="8"/>
      <c r="E720" s="93"/>
    </row>
    <row r="721" spans="1:5" x14ac:dyDescent="0.3">
      <c r="A721" s="93"/>
      <c r="B721" s="8"/>
      <c r="C721" s="8"/>
      <c r="D721" s="8"/>
      <c r="E721" s="93"/>
    </row>
    <row r="722" spans="1:5" x14ac:dyDescent="0.3">
      <c r="A722" s="93"/>
      <c r="B722" s="8"/>
      <c r="C722" s="8"/>
      <c r="D722" s="8"/>
      <c r="E722" s="93"/>
    </row>
    <row r="723" spans="1:5" x14ac:dyDescent="0.3">
      <c r="A723" s="93"/>
      <c r="B723" s="8"/>
      <c r="C723" s="8"/>
      <c r="D723" s="8"/>
      <c r="E723" s="93"/>
    </row>
  </sheetData>
  <phoneticPr fontId="5" type="noConversion"/>
  <dataValidations count="3">
    <dataValidation type="list" allowBlank="1" showInputMessage="1" showErrorMessage="1" sqref="B3:B718" xr:uid="{55A8F208-CBAF-4A8F-967A-E006BA7A22CC}">
      <formula1>首行</formula1>
    </dataValidation>
    <dataValidation type="list" allowBlank="1" showInputMessage="1" showErrorMessage="1" sqref="C105:C633" xr:uid="{22826532-CD80-4B48-8E99-BC97694C3CAF}">
      <formula1>层级</formula1>
    </dataValidation>
    <dataValidation type="list" allowBlank="1" showInputMessage="1" showErrorMessage="1" sqref="K16:K559 K3:K9 K11:K14 F3:G17 F19:F559 G19:G21 J3:J559 H3:I21 G24:H559 I24:I28 I30:I559" xr:uid="{0764CB6D-1A25-4B56-AD89-EF427D9250BB}">
      <formula1>INDIRECT($B$3)</formula1>
    </dataValidation>
  </dataValidations>
  <hyperlinks>
    <hyperlink ref="A1" location="'0-使用说明'!D1" display="'0-使用说明'!D1" xr:uid="{691CD2A5-03BC-444F-B439-93FE07E97906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1A84-55DF-410F-9C72-F2395AB25F36}">
  <sheetPr codeName="Sheet8"/>
  <dimension ref="A1"/>
  <sheetViews>
    <sheetView workbookViewId="0"/>
  </sheetViews>
  <sheetFormatPr defaultRowHeight="14.25" x14ac:dyDescent="0.2"/>
  <sheetData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E6282-993C-4B21-B58E-AEF985BC9F86}">
  <sheetPr codeName="Sheet9"/>
  <dimension ref="A1:I450"/>
  <sheetViews>
    <sheetView topLeftCell="A337" workbookViewId="0">
      <selection activeCell="C345" sqref="C345"/>
    </sheetView>
  </sheetViews>
  <sheetFormatPr defaultRowHeight="16.5" x14ac:dyDescent="0.2"/>
  <cols>
    <col min="1" max="1" width="9" style="3"/>
    <col min="2" max="2" width="41.75" style="71" customWidth="1"/>
    <col min="3" max="3" width="13.125" style="73" bestFit="1" customWidth="1"/>
    <col min="4" max="4" width="5.5" style="73" bestFit="1" customWidth="1"/>
    <col min="5" max="6" width="9" style="37"/>
    <col min="7" max="7" width="25.75" style="37" bestFit="1" customWidth="1"/>
    <col min="8" max="8" width="9" style="37"/>
  </cols>
  <sheetData>
    <row r="1" spans="1:9" ht="36" x14ac:dyDescent="0.2">
      <c r="A1" s="116" t="s">
        <v>897</v>
      </c>
      <c r="B1" s="124" t="s">
        <v>883</v>
      </c>
    </row>
    <row r="2" spans="1:9" ht="17.25" x14ac:dyDescent="0.3">
      <c r="A2" s="25" t="s">
        <v>452</v>
      </c>
      <c r="B2" s="25" t="s">
        <v>585</v>
      </c>
      <c r="C2" s="25" t="s">
        <v>586</v>
      </c>
      <c r="D2" s="25" t="s">
        <v>890</v>
      </c>
      <c r="G2" s="25" t="s">
        <v>28</v>
      </c>
      <c r="H2" s="25" t="s">
        <v>859</v>
      </c>
      <c r="I2" s="115">
        <f>XEY2</f>
        <v>0</v>
      </c>
    </row>
    <row r="3" spans="1:9" x14ac:dyDescent="0.2">
      <c r="A3" s="3" t="s">
        <v>587</v>
      </c>
      <c r="B3" s="71" t="s">
        <v>588</v>
      </c>
      <c r="C3" s="73" t="s">
        <v>573</v>
      </c>
      <c r="D3" s="73">
        <v>5</v>
      </c>
      <c r="G3" s="71" t="s">
        <v>851</v>
      </c>
      <c r="H3" s="3">
        <v>100</v>
      </c>
    </row>
    <row r="4" spans="1:9" x14ac:dyDescent="0.2">
      <c r="A4" s="3" t="s">
        <v>587</v>
      </c>
      <c r="B4" s="71" t="s">
        <v>588</v>
      </c>
      <c r="C4" s="73" t="s">
        <v>574</v>
      </c>
      <c r="D4" s="73">
        <v>10</v>
      </c>
      <c r="G4" s="71" t="s">
        <v>907</v>
      </c>
      <c r="H4" s="3">
        <v>135</v>
      </c>
    </row>
    <row r="5" spans="1:9" x14ac:dyDescent="0.2">
      <c r="A5" s="3" t="s">
        <v>587</v>
      </c>
      <c r="B5" s="71" t="s">
        <v>588</v>
      </c>
      <c r="C5" s="73" t="s">
        <v>575</v>
      </c>
      <c r="D5" s="73">
        <v>15</v>
      </c>
      <c r="G5" s="71" t="s">
        <v>852</v>
      </c>
      <c r="H5" s="3">
        <v>135</v>
      </c>
    </row>
    <row r="6" spans="1:9" x14ac:dyDescent="0.2">
      <c r="A6" s="3" t="s">
        <v>587</v>
      </c>
      <c r="B6" s="71" t="s">
        <v>589</v>
      </c>
      <c r="C6" s="73" t="s">
        <v>573</v>
      </c>
      <c r="D6" s="73">
        <v>5</v>
      </c>
      <c r="G6" s="71" t="s">
        <v>853</v>
      </c>
      <c r="H6" s="3">
        <v>165</v>
      </c>
    </row>
    <row r="7" spans="1:9" x14ac:dyDescent="0.2">
      <c r="A7" s="3" t="str">
        <f t="shared" ref="A7:A8" si="0">A6</f>
        <v>科研生产</v>
      </c>
      <c r="B7" s="71" t="s">
        <v>589</v>
      </c>
      <c r="C7" s="73" t="s">
        <v>574</v>
      </c>
      <c r="D7" s="73">
        <v>10</v>
      </c>
      <c r="G7" s="71" t="s">
        <v>854</v>
      </c>
      <c r="H7" s="3">
        <v>135</v>
      </c>
    </row>
    <row r="8" spans="1:9" x14ac:dyDescent="0.2">
      <c r="A8" s="3" t="str">
        <f t="shared" si="0"/>
        <v>科研生产</v>
      </c>
      <c r="B8" s="71" t="s">
        <v>589</v>
      </c>
      <c r="C8" s="73" t="s">
        <v>575</v>
      </c>
      <c r="D8" s="73">
        <v>15</v>
      </c>
      <c r="G8" s="71" t="s">
        <v>855</v>
      </c>
      <c r="H8" s="3">
        <v>140</v>
      </c>
    </row>
    <row r="9" spans="1:9" x14ac:dyDescent="0.2">
      <c r="A9" s="3" t="s">
        <v>587</v>
      </c>
      <c r="B9" s="71" t="s">
        <v>590</v>
      </c>
      <c r="C9" s="73" t="s">
        <v>573</v>
      </c>
      <c r="D9" s="73">
        <v>5</v>
      </c>
      <c r="G9" s="71" t="s">
        <v>856</v>
      </c>
      <c r="H9" s="3">
        <v>120</v>
      </c>
    </row>
    <row r="10" spans="1:9" x14ac:dyDescent="0.2">
      <c r="A10" s="3" t="str">
        <f t="shared" ref="A10:A11" si="1">A9</f>
        <v>科研生产</v>
      </c>
      <c r="B10" s="71" t="s">
        <v>590</v>
      </c>
      <c r="C10" s="73" t="s">
        <v>574</v>
      </c>
      <c r="D10" s="73">
        <v>10</v>
      </c>
      <c r="G10" s="71" t="s">
        <v>857</v>
      </c>
      <c r="H10" s="3">
        <v>70</v>
      </c>
    </row>
    <row r="11" spans="1:9" x14ac:dyDescent="0.2">
      <c r="A11" s="3" t="str">
        <f t="shared" si="1"/>
        <v>科研生产</v>
      </c>
      <c r="B11" s="71" t="s">
        <v>590</v>
      </c>
      <c r="C11" s="73" t="s">
        <v>575</v>
      </c>
      <c r="D11" s="73">
        <v>15</v>
      </c>
      <c r="G11" s="71" t="s">
        <v>908</v>
      </c>
      <c r="H11" s="3">
        <v>95</v>
      </c>
    </row>
    <row r="12" spans="1:9" x14ac:dyDescent="0.2">
      <c r="A12" s="3" t="s">
        <v>587</v>
      </c>
      <c r="B12" s="71" t="s">
        <v>589</v>
      </c>
      <c r="C12" s="73" t="s">
        <v>573</v>
      </c>
      <c r="D12" s="73">
        <v>5</v>
      </c>
      <c r="G12" s="71" t="s">
        <v>630</v>
      </c>
      <c r="H12" s="3">
        <v>95</v>
      </c>
    </row>
    <row r="13" spans="1:9" x14ac:dyDescent="0.2">
      <c r="A13" s="3" t="str">
        <f t="shared" ref="A13:A14" si="2">A12</f>
        <v>科研生产</v>
      </c>
      <c r="B13" s="71" t="s">
        <v>589</v>
      </c>
      <c r="C13" s="73" t="s">
        <v>574</v>
      </c>
      <c r="D13" s="73">
        <v>10</v>
      </c>
      <c r="G13" s="71" t="s">
        <v>858</v>
      </c>
      <c r="H13" s="3">
        <v>115</v>
      </c>
    </row>
    <row r="14" spans="1:9" x14ac:dyDescent="0.2">
      <c r="A14" s="3" t="str">
        <f t="shared" si="2"/>
        <v>科研生产</v>
      </c>
      <c r="B14" s="71" t="s">
        <v>589</v>
      </c>
      <c r="C14" s="73" t="s">
        <v>575</v>
      </c>
      <c r="D14" s="73">
        <v>15</v>
      </c>
      <c r="G14" s="71" t="s">
        <v>651</v>
      </c>
      <c r="H14" s="3">
        <v>90</v>
      </c>
    </row>
    <row r="15" spans="1:9" x14ac:dyDescent="0.2">
      <c r="A15" s="3" t="s">
        <v>587</v>
      </c>
      <c r="B15" s="71" t="s">
        <v>616</v>
      </c>
      <c r="C15" s="73" t="s">
        <v>576</v>
      </c>
      <c r="D15" s="73">
        <v>10</v>
      </c>
      <c r="G15" s="71" t="s">
        <v>629</v>
      </c>
      <c r="H15" s="3">
        <v>95</v>
      </c>
    </row>
    <row r="16" spans="1:9" x14ac:dyDescent="0.2">
      <c r="A16" s="3" t="str">
        <f t="shared" ref="A16:B18" si="3">A15</f>
        <v>科研生产</v>
      </c>
      <c r="B16" s="71" t="str">
        <f t="shared" si="3"/>
        <v>科研生产单位科研骨干</v>
      </c>
      <c r="C16" s="73" t="s">
        <v>577</v>
      </c>
      <c r="D16" s="73">
        <v>15</v>
      </c>
      <c r="G16" s="71" t="s">
        <v>646</v>
      </c>
      <c r="H16" s="3">
        <v>80</v>
      </c>
    </row>
    <row r="17" spans="1:8" x14ac:dyDescent="0.2">
      <c r="A17" s="3" t="str">
        <f t="shared" si="3"/>
        <v>科研生产</v>
      </c>
      <c r="B17" s="71" t="str">
        <f t="shared" si="3"/>
        <v>科研生产单位科研骨干</v>
      </c>
      <c r="C17" s="73" t="s">
        <v>578</v>
      </c>
      <c r="D17" s="73">
        <v>20</v>
      </c>
      <c r="G17" s="71" t="s">
        <v>901</v>
      </c>
      <c r="H17" s="3">
        <v>100</v>
      </c>
    </row>
    <row r="18" spans="1:8" x14ac:dyDescent="0.2">
      <c r="A18" s="3" t="s">
        <v>587</v>
      </c>
      <c r="B18" s="71" t="str">
        <f t="shared" si="3"/>
        <v>科研生产单位科研骨干</v>
      </c>
      <c r="C18" s="73" t="s">
        <v>579</v>
      </c>
      <c r="D18" s="73">
        <v>15</v>
      </c>
      <c r="G18" s="71" t="s">
        <v>909</v>
      </c>
      <c r="H18" s="3">
        <v>135</v>
      </c>
    </row>
    <row r="19" spans="1:8" x14ac:dyDescent="0.2">
      <c r="A19" s="3" t="str">
        <f t="shared" ref="A19:B22" si="4">A18</f>
        <v>科研生产</v>
      </c>
      <c r="B19" s="71" t="s">
        <v>601</v>
      </c>
      <c r="C19" s="73" t="s">
        <v>576</v>
      </c>
      <c r="D19" s="73">
        <v>10</v>
      </c>
      <c r="G19" s="71" t="s">
        <v>902</v>
      </c>
      <c r="H19" s="3">
        <v>135</v>
      </c>
    </row>
    <row r="20" spans="1:8" x14ac:dyDescent="0.2">
      <c r="A20" s="3" t="str">
        <f t="shared" si="4"/>
        <v>科研生产</v>
      </c>
      <c r="B20" s="71" t="str">
        <f t="shared" si="4"/>
        <v>科研生产单位业务骨干</v>
      </c>
      <c r="C20" s="73" t="s">
        <v>577</v>
      </c>
      <c r="D20" s="73">
        <v>15</v>
      </c>
      <c r="G20" s="71" t="s">
        <v>903</v>
      </c>
      <c r="H20" s="3">
        <v>165</v>
      </c>
    </row>
    <row r="21" spans="1:8" x14ac:dyDescent="0.2">
      <c r="A21" s="3" t="s">
        <v>587</v>
      </c>
      <c r="B21" s="71" t="str">
        <f t="shared" si="4"/>
        <v>科研生产单位业务骨干</v>
      </c>
      <c r="C21" s="73" t="s">
        <v>578</v>
      </c>
      <c r="D21" s="73">
        <v>20</v>
      </c>
      <c r="G21" s="71" t="s">
        <v>904</v>
      </c>
      <c r="H21" s="3">
        <v>135</v>
      </c>
    </row>
    <row r="22" spans="1:8" x14ac:dyDescent="0.2">
      <c r="A22" s="3" t="str">
        <f t="shared" ref="A22:A23" si="5">A21</f>
        <v>科研生产</v>
      </c>
      <c r="B22" s="71" t="str">
        <f t="shared" si="4"/>
        <v>科研生产单位业务骨干</v>
      </c>
      <c r="C22" s="73" t="s">
        <v>579</v>
      </c>
      <c r="D22" s="73">
        <v>15</v>
      </c>
      <c r="G22" s="71" t="s">
        <v>905</v>
      </c>
      <c r="H22" s="3">
        <v>140</v>
      </c>
    </row>
    <row r="23" spans="1:8" x14ac:dyDescent="0.2">
      <c r="A23" s="3" t="str">
        <f t="shared" si="5"/>
        <v>科研生产</v>
      </c>
      <c r="B23" s="71" t="s">
        <v>591</v>
      </c>
      <c r="C23" s="73" t="s">
        <v>576</v>
      </c>
      <c r="D23" s="73">
        <v>10</v>
      </c>
      <c r="G23" s="71" t="s">
        <v>906</v>
      </c>
      <c r="H23" s="3">
        <v>120</v>
      </c>
    </row>
    <row r="24" spans="1:8" x14ac:dyDescent="0.2">
      <c r="A24" s="3" t="s">
        <v>587</v>
      </c>
      <c r="B24" s="71" t="str">
        <f t="shared" ref="B24:B26" si="6">B23</f>
        <v>油气生产单位技术骨干</v>
      </c>
      <c r="C24" s="73" t="s">
        <v>577</v>
      </c>
      <c r="D24" s="73">
        <v>15</v>
      </c>
    </row>
    <row r="25" spans="1:8" x14ac:dyDescent="0.2">
      <c r="A25" s="3" t="str">
        <f t="shared" ref="A25:A26" si="7">A24</f>
        <v>科研生产</v>
      </c>
      <c r="B25" s="71" t="str">
        <f t="shared" si="6"/>
        <v>油气生产单位技术骨干</v>
      </c>
      <c r="C25" s="73" t="s">
        <v>578</v>
      </c>
      <c r="D25" s="73">
        <v>20</v>
      </c>
    </row>
    <row r="26" spans="1:8" x14ac:dyDescent="0.2">
      <c r="A26" s="3" t="str">
        <f t="shared" si="7"/>
        <v>科研生产</v>
      </c>
      <c r="B26" s="71" t="str">
        <f t="shared" si="6"/>
        <v>油气生产单位技术骨干</v>
      </c>
      <c r="C26" s="73" t="s">
        <v>579</v>
      </c>
      <c r="D26" s="73">
        <v>15</v>
      </c>
    </row>
    <row r="27" spans="1:8" x14ac:dyDescent="0.2">
      <c r="A27" s="3" t="s">
        <v>587</v>
      </c>
      <c r="B27" s="71" t="s">
        <v>602</v>
      </c>
      <c r="C27" s="73" t="s">
        <v>576</v>
      </c>
      <c r="D27" s="73">
        <v>10</v>
      </c>
    </row>
    <row r="28" spans="1:8" x14ac:dyDescent="0.2">
      <c r="A28" s="3" t="str">
        <f t="shared" ref="A28:B30" si="8">A27</f>
        <v>科研生产</v>
      </c>
      <c r="B28" s="71" t="str">
        <f t="shared" si="8"/>
        <v>油气生产单位业务骨干</v>
      </c>
      <c r="C28" s="73" t="s">
        <v>577</v>
      </c>
      <c r="D28" s="73">
        <v>15</v>
      </c>
    </row>
    <row r="29" spans="1:8" x14ac:dyDescent="0.2">
      <c r="A29" s="3" t="str">
        <f t="shared" si="8"/>
        <v>科研生产</v>
      </c>
      <c r="B29" s="71" t="str">
        <f t="shared" si="8"/>
        <v>油气生产单位业务骨干</v>
      </c>
      <c r="C29" s="73" t="s">
        <v>578</v>
      </c>
      <c r="D29" s="73">
        <v>20</v>
      </c>
    </row>
    <row r="30" spans="1:8" x14ac:dyDescent="0.2">
      <c r="A30" s="3" t="s">
        <v>587</v>
      </c>
      <c r="B30" s="71" t="str">
        <f t="shared" si="8"/>
        <v>油气生产单位业务骨干</v>
      </c>
      <c r="C30" s="73" t="s">
        <v>579</v>
      </c>
      <c r="D30" s="73">
        <v>15</v>
      </c>
    </row>
    <row r="31" spans="1:8" x14ac:dyDescent="0.2">
      <c r="A31" s="3" t="str">
        <f t="shared" ref="A31:B34" si="9">A30</f>
        <v>科研生产</v>
      </c>
      <c r="B31" s="71" t="s">
        <v>592</v>
      </c>
      <c r="C31" s="73" t="s">
        <v>576</v>
      </c>
      <c r="D31" s="74">
        <v>15</v>
      </c>
    </row>
    <row r="32" spans="1:8" x14ac:dyDescent="0.2">
      <c r="A32" s="3" t="str">
        <f t="shared" si="9"/>
        <v>科研生产</v>
      </c>
      <c r="B32" s="71" t="str">
        <f t="shared" si="9"/>
        <v>科研生产单位基层副职</v>
      </c>
      <c r="C32" s="73" t="s">
        <v>580</v>
      </c>
      <c r="D32" s="73">
        <v>20</v>
      </c>
    </row>
    <row r="33" spans="1:4" x14ac:dyDescent="0.2">
      <c r="A33" s="3" t="s">
        <v>587</v>
      </c>
      <c r="B33" s="71" t="str">
        <f t="shared" si="9"/>
        <v>科研生产单位基层副职</v>
      </c>
      <c r="C33" s="73" t="s">
        <v>581</v>
      </c>
      <c r="D33" s="74">
        <v>25</v>
      </c>
    </row>
    <row r="34" spans="1:4" x14ac:dyDescent="0.2">
      <c r="A34" s="3" t="str">
        <f t="shared" ref="A34:A35" si="10">A33</f>
        <v>科研生产</v>
      </c>
      <c r="B34" s="71" t="str">
        <f t="shared" si="9"/>
        <v>科研生产单位基层副职</v>
      </c>
      <c r="C34" s="73" t="s">
        <v>582</v>
      </c>
      <c r="D34" s="74">
        <v>20</v>
      </c>
    </row>
    <row r="35" spans="1:4" x14ac:dyDescent="0.2">
      <c r="A35" s="3" t="str">
        <f t="shared" si="10"/>
        <v>科研生产</v>
      </c>
      <c r="B35" s="71" t="s">
        <v>604</v>
      </c>
      <c r="C35" s="73" t="s">
        <v>576</v>
      </c>
      <c r="D35" s="73">
        <v>12</v>
      </c>
    </row>
    <row r="36" spans="1:4" x14ac:dyDescent="0.2">
      <c r="A36" s="3" t="s">
        <v>587</v>
      </c>
      <c r="B36" s="71" t="str">
        <f t="shared" ref="B36:B38" si="11">B35</f>
        <v>科研生产单位副主任师</v>
      </c>
      <c r="C36" s="73" t="s">
        <v>580</v>
      </c>
      <c r="D36" s="73">
        <v>16</v>
      </c>
    </row>
    <row r="37" spans="1:4" x14ac:dyDescent="0.2">
      <c r="A37" s="3" t="str">
        <f t="shared" ref="A37:A38" si="12">A36</f>
        <v>科研生产</v>
      </c>
      <c r="B37" s="71" t="str">
        <f t="shared" si="11"/>
        <v>科研生产单位副主任师</v>
      </c>
      <c r="C37" s="73" t="s">
        <v>581</v>
      </c>
      <c r="D37" s="73">
        <v>20</v>
      </c>
    </row>
    <row r="38" spans="1:4" x14ac:dyDescent="0.2">
      <c r="A38" s="3" t="str">
        <f t="shared" si="12"/>
        <v>科研生产</v>
      </c>
      <c r="B38" s="71" t="str">
        <f t="shared" si="11"/>
        <v>科研生产单位副主任师</v>
      </c>
      <c r="C38" s="73" t="s">
        <v>582</v>
      </c>
      <c r="D38" s="73">
        <v>16</v>
      </c>
    </row>
    <row r="39" spans="1:4" x14ac:dyDescent="0.2">
      <c r="A39" s="3" t="s">
        <v>587</v>
      </c>
      <c r="B39" s="71" t="s">
        <v>593</v>
      </c>
      <c r="C39" s="73" t="s">
        <v>576</v>
      </c>
      <c r="D39" s="74">
        <v>20</v>
      </c>
    </row>
    <row r="40" spans="1:4" x14ac:dyDescent="0.2">
      <c r="A40" s="3" t="str">
        <f t="shared" ref="A40:B42" si="13">A39</f>
        <v>科研生产</v>
      </c>
      <c r="B40" s="71" t="str">
        <f t="shared" si="13"/>
        <v>油气生产单位基层副职</v>
      </c>
      <c r="C40" s="73" t="s">
        <v>580</v>
      </c>
      <c r="D40" s="73">
        <v>25</v>
      </c>
    </row>
    <row r="41" spans="1:4" x14ac:dyDescent="0.2">
      <c r="A41" s="3" t="str">
        <f t="shared" si="13"/>
        <v>科研生产</v>
      </c>
      <c r="B41" s="71" t="str">
        <f t="shared" si="13"/>
        <v>油气生产单位基层副职</v>
      </c>
      <c r="C41" s="73" t="s">
        <v>581</v>
      </c>
      <c r="D41" s="73">
        <v>30</v>
      </c>
    </row>
    <row r="42" spans="1:4" x14ac:dyDescent="0.2">
      <c r="A42" s="3" t="s">
        <v>587</v>
      </c>
      <c r="B42" s="71" t="str">
        <f t="shared" si="13"/>
        <v>油气生产单位基层副职</v>
      </c>
      <c r="C42" s="73" t="s">
        <v>582</v>
      </c>
      <c r="D42" s="74">
        <v>25</v>
      </c>
    </row>
    <row r="43" spans="1:4" x14ac:dyDescent="0.2">
      <c r="A43" s="3" t="str">
        <f t="shared" ref="A43:B46" si="14">A42</f>
        <v>科研生产</v>
      </c>
      <c r="B43" s="71" t="s">
        <v>603</v>
      </c>
      <c r="C43" s="73" t="s">
        <v>576</v>
      </c>
      <c r="D43" s="73">
        <v>16</v>
      </c>
    </row>
    <row r="44" spans="1:4" x14ac:dyDescent="0.2">
      <c r="A44" s="3" t="str">
        <f t="shared" si="14"/>
        <v>科研生产</v>
      </c>
      <c r="B44" s="71" t="str">
        <f t="shared" si="14"/>
        <v>油气生产单位副主任师</v>
      </c>
      <c r="C44" s="73" t="s">
        <v>580</v>
      </c>
      <c r="D44" s="73">
        <v>20</v>
      </c>
    </row>
    <row r="45" spans="1:4" x14ac:dyDescent="0.2">
      <c r="A45" s="3" t="s">
        <v>587</v>
      </c>
      <c r="B45" s="71" t="str">
        <f t="shared" si="14"/>
        <v>油气生产单位副主任师</v>
      </c>
      <c r="C45" s="73" t="s">
        <v>581</v>
      </c>
      <c r="D45" s="73">
        <v>24</v>
      </c>
    </row>
    <row r="46" spans="1:4" x14ac:dyDescent="0.2">
      <c r="A46" s="3" t="str">
        <f t="shared" ref="A46:A47" si="15">A45</f>
        <v>科研生产</v>
      </c>
      <c r="B46" s="71" t="str">
        <f t="shared" si="14"/>
        <v>油气生产单位副主任师</v>
      </c>
      <c r="C46" s="73" t="s">
        <v>582</v>
      </c>
      <c r="D46" s="73">
        <v>20</v>
      </c>
    </row>
    <row r="47" spans="1:4" x14ac:dyDescent="0.2">
      <c r="A47" s="3" t="str">
        <f t="shared" si="15"/>
        <v>科研生产</v>
      </c>
      <c r="B47" s="71" t="s">
        <v>594</v>
      </c>
      <c r="C47" s="73" t="s">
        <v>576</v>
      </c>
      <c r="D47" s="74" t="s">
        <v>617</v>
      </c>
    </row>
    <row r="48" spans="1:4" x14ac:dyDescent="0.2">
      <c r="A48" s="3" t="s">
        <v>587</v>
      </c>
      <c r="B48" s="71" t="str">
        <f t="shared" ref="B48:B50" si="16">B47</f>
        <v>管理机关（专业管理）主管</v>
      </c>
      <c r="C48" s="73" t="s">
        <v>580</v>
      </c>
      <c r="D48" s="73">
        <v>16</v>
      </c>
    </row>
    <row r="49" spans="1:4" x14ac:dyDescent="0.2">
      <c r="A49" s="3" t="str">
        <f t="shared" ref="A49:A50" si="17">A48</f>
        <v>科研生产</v>
      </c>
      <c r="B49" s="71" t="str">
        <f t="shared" si="16"/>
        <v>管理机关（专业管理）主管</v>
      </c>
      <c r="C49" s="73" t="s">
        <v>581</v>
      </c>
      <c r="D49" s="74" t="s">
        <v>618</v>
      </c>
    </row>
    <row r="50" spans="1:4" x14ac:dyDescent="0.2">
      <c r="A50" s="3" t="str">
        <f t="shared" si="17"/>
        <v>科研生产</v>
      </c>
      <c r="B50" s="71" t="str">
        <f t="shared" si="16"/>
        <v>管理机关（专业管理）主管</v>
      </c>
      <c r="C50" s="73" t="s">
        <v>582</v>
      </c>
      <c r="D50" s="74" t="s">
        <v>619</v>
      </c>
    </row>
    <row r="51" spans="1:4" x14ac:dyDescent="0.2">
      <c r="A51" s="3" t="s">
        <v>587</v>
      </c>
      <c r="B51" s="71" t="s">
        <v>605</v>
      </c>
      <c r="C51" s="73" t="s">
        <v>576</v>
      </c>
      <c r="D51" s="74" t="s">
        <v>617</v>
      </c>
    </row>
    <row r="52" spans="1:4" x14ac:dyDescent="0.2">
      <c r="A52" s="3" t="str">
        <f t="shared" ref="A52:B54" si="18">A51</f>
        <v>科研生产</v>
      </c>
      <c r="B52" s="71" t="str">
        <f t="shared" si="18"/>
        <v>采服中心基层副职</v>
      </c>
      <c r="C52" s="73" t="s">
        <v>580</v>
      </c>
      <c r="D52" s="73">
        <v>16</v>
      </c>
    </row>
    <row r="53" spans="1:4" x14ac:dyDescent="0.2">
      <c r="A53" s="3" t="str">
        <f t="shared" si="18"/>
        <v>科研生产</v>
      </c>
      <c r="B53" s="71" t="str">
        <f t="shared" si="18"/>
        <v>采服中心基层副职</v>
      </c>
      <c r="C53" s="73" t="s">
        <v>581</v>
      </c>
      <c r="D53" s="74" t="s">
        <v>618</v>
      </c>
    </row>
    <row r="54" spans="1:4" x14ac:dyDescent="0.2">
      <c r="A54" s="3" t="s">
        <v>587</v>
      </c>
      <c r="B54" s="71" t="str">
        <f t="shared" si="18"/>
        <v>采服中心基层副职</v>
      </c>
      <c r="C54" s="73" t="s">
        <v>582</v>
      </c>
      <c r="D54" s="74" t="s">
        <v>619</v>
      </c>
    </row>
    <row r="55" spans="1:4" x14ac:dyDescent="0.2">
      <c r="A55" s="3" t="str">
        <f t="shared" ref="A55:B58" si="19">A54</f>
        <v>科研生产</v>
      </c>
      <c r="B55" s="71" t="s">
        <v>606</v>
      </c>
      <c r="C55" s="73" t="s">
        <v>576</v>
      </c>
      <c r="D55" s="74" t="s">
        <v>617</v>
      </c>
    </row>
    <row r="56" spans="1:4" x14ac:dyDescent="0.2">
      <c r="A56" s="3" t="str">
        <f t="shared" si="19"/>
        <v>科研生产</v>
      </c>
      <c r="B56" s="71" t="str">
        <f t="shared" si="19"/>
        <v>监督中心基层副职</v>
      </c>
      <c r="C56" s="73" t="s">
        <v>580</v>
      </c>
      <c r="D56" s="73">
        <v>16</v>
      </c>
    </row>
    <row r="57" spans="1:4" x14ac:dyDescent="0.2">
      <c r="A57" s="3" t="s">
        <v>587</v>
      </c>
      <c r="B57" s="71" t="str">
        <f t="shared" si="19"/>
        <v>监督中心基层副职</v>
      </c>
      <c r="C57" s="73" t="s">
        <v>581</v>
      </c>
      <c r="D57" s="74" t="s">
        <v>618</v>
      </c>
    </row>
    <row r="58" spans="1:4" x14ac:dyDescent="0.2">
      <c r="A58" s="3" t="str">
        <f t="shared" ref="A58:A59" si="20">A57</f>
        <v>科研生产</v>
      </c>
      <c r="B58" s="71" t="str">
        <f t="shared" si="19"/>
        <v>监督中心基层副职</v>
      </c>
      <c r="C58" s="73" t="s">
        <v>582</v>
      </c>
      <c r="D58" s="74" t="s">
        <v>619</v>
      </c>
    </row>
    <row r="59" spans="1:4" x14ac:dyDescent="0.2">
      <c r="A59" s="3" t="str">
        <f t="shared" si="20"/>
        <v>科研生产</v>
      </c>
      <c r="B59" s="71" t="s">
        <v>595</v>
      </c>
      <c r="C59" s="73" t="s">
        <v>576</v>
      </c>
      <c r="D59" s="74">
        <v>15</v>
      </c>
    </row>
    <row r="60" spans="1:4" x14ac:dyDescent="0.2">
      <c r="A60" s="3" t="s">
        <v>587</v>
      </c>
      <c r="B60" s="71" t="str">
        <f t="shared" ref="B60:B62" si="21">B59</f>
        <v>科研生产基层正职</v>
      </c>
      <c r="C60" s="73" t="s">
        <v>577</v>
      </c>
      <c r="D60" s="73">
        <v>20</v>
      </c>
    </row>
    <row r="61" spans="1:4" x14ac:dyDescent="0.2">
      <c r="A61" s="3" t="str">
        <f t="shared" ref="A61:A62" si="22">A60</f>
        <v>科研生产</v>
      </c>
      <c r="B61" s="71" t="str">
        <f t="shared" si="21"/>
        <v>科研生产基层正职</v>
      </c>
      <c r="C61" s="73" t="s">
        <v>578</v>
      </c>
      <c r="D61" s="74">
        <v>25</v>
      </c>
    </row>
    <row r="62" spans="1:4" x14ac:dyDescent="0.2">
      <c r="A62" s="3" t="str">
        <f t="shared" si="22"/>
        <v>科研生产</v>
      </c>
      <c r="B62" s="71" t="str">
        <f t="shared" si="21"/>
        <v>科研生产基层正职</v>
      </c>
      <c r="C62" s="73" t="s">
        <v>579</v>
      </c>
      <c r="D62" s="74">
        <v>20</v>
      </c>
    </row>
    <row r="63" spans="1:4" x14ac:dyDescent="0.2">
      <c r="A63" s="3" t="s">
        <v>587</v>
      </c>
      <c r="B63" s="71" t="s">
        <v>607</v>
      </c>
      <c r="C63" s="73" t="s">
        <v>576</v>
      </c>
      <c r="D63" s="73">
        <v>12</v>
      </c>
    </row>
    <row r="64" spans="1:4" x14ac:dyDescent="0.2">
      <c r="A64" s="3" t="str">
        <f t="shared" ref="A64:B66" si="23">A63</f>
        <v>科研生产</v>
      </c>
      <c r="B64" s="71" t="str">
        <f t="shared" si="23"/>
        <v>科研生产主任师</v>
      </c>
      <c r="C64" s="73" t="s">
        <v>577</v>
      </c>
      <c r="D64" s="73">
        <v>16</v>
      </c>
    </row>
    <row r="65" spans="1:4" x14ac:dyDescent="0.2">
      <c r="A65" s="3" t="str">
        <f t="shared" si="23"/>
        <v>科研生产</v>
      </c>
      <c r="B65" s="71" t="str">
        <f t="shared" si="23"/>
        <v>科研生产主任师</v>
      </c>
      <c r="C65" s="73" t="s">
        <v>578</v>
      </c>
      <c r="D65" s="73">
        <v>20</v>
      </c>
    </row>
    <row r="66" spans="1:4" x14ac:dyDescent="0.2">
      <c r="A66" s="3" t="s">
        <v>587</v>
      </c>
      <c r="B66" s="71" t="str">
        <f t="shared" si="23"/>
        <v>科研生产主任师</v>
      </c>
      <c r="C66" s="73" t="s">
        <v>579</v>
      </c>
      <c r="D66" s="73">
        <v>16</v>
      </c>
    </row>
    <row r="67" spans="1:4" x14ac:dyDescent="0.2">
      <c r="A67" s="3" t="str">
        <f t="shared" ref="A67:B70" si="24">A66</f>
        <v>科研生产</v>
      </c>
      <c r="B67" s="71" t="s">
        <v>596</v>
      </c>
      <c r="C67" s="73" t="s">
        <v>576</v>
      </c>
      <c r="D67" s="74">
        <v>20</v>
      </c>
    </row>
    <row r="68" spans="1:4" x14ac:dyDescent="0.2">
      <c r="A68" s="3" t="str">
        <f t="shared" si="24"/>
        <v>科研生产</v>
      </c>
      <c r="B68" s="71" t="str">
        <f t="shared" si="24"/>
        <v>油气生产基层正职</v>
      </c>
      <c r="C68" s="73" t="s">
        <v>577</v>
      </c>
      <c r="D68" s="73">
        <v>25</v>
      </c>
    </row>
    <row r="69" spans="1:4" x14ac:dyDescent="0.2">
      <c r="A69" s="3" t="s">
        <v>587</v>
      </c>
      <c r="B69" s="71" t="str">
        <f t="shared" si="24"/>
        <v>油气生产基层正职</v>
      </c>
      <c r="C69" s="73" t="s">
        <v>578</v>
      </c>
      <c r="D69" s="73">
        <v>30</v>
      </c>
    </row>
    <row r="70" spans="1:4" x14ac:dyDescent="0.2">
      <c r="A70" s="3" t="str">
        <f t="shared" ref="A70:A71" si="25">A69</f>
        <v>科研生产</v>
      </c>
      <c r="B70" s="71" t="str">
        <f t="shared" si="24"/>
        <v>油气生产基层正职</v>
      </c>
      <c r="C70" s="73" t="s">
        <v>579</v>
      </c>
      <c r="D70" s="74">
        <v>25</v>
      </c>
    </row>
    <row r="71" spans="1:4" x14ac:dyDescent="0.2">
      <c r="A71" s="3" t="str">
        <f t="shared" si="25"/>
        <v>科研生产</v>
      </c>
      <c r="B71" s="71" t="s">
        <v>608</v>
      </c>
      <c r="C71" s="73" t="s">
        <v>576</v>
      </c>
      <c r="D71" s="73">
        <v>16</v>
      </c>
    </row>
    <row r="72" spans="1:4" x14ac:dyDescent="0.2">
      <c r="A72" s="3" t="s">
        <v>587</v>
      </c>
      <c r="B72" s="71" t="str">
        <f t="shared" ref="B72:B74" si="26">B71</f>
        <v>油气生产主任师</v>
      </c>
      <c r="C72" s="73" t="s">
        <v>577</v>
      </c>
      <c r="D72" s="73">
        <v>20</v>
      </c>
    </row>
    <row r="73" spans="1:4" x14ac:dyDescent="0.2">
      <c r="A73" s="3" t="str">
        <f t="shared" ref="A73:A74" si="27">A72</f>
        <v>科研生产</v>
      </c>
      <c r="B73" s="71" t="str">
        <f t="shared" si="26"/>
        <v>油气生产主任师</v>
      </c>
      <c r="C73" s="73" t="s">
        <v>578</v>
      </c>
      <c r="D73" s="73">
        <v>24</v>
      </c>
    </row>
    <row r="74" spans="1:4" x14ac:dyDescent="0.2">
      <c r="A74" s="3" t="str">
        <f t="shared" si="27"/>
        <v>科研生产</v>
      </c>
      <c r="B74" s="71" t="str">
        <f t="shared" si="26"/>
        <v>油气生产主任师</v>
      </c>
      <c r="C74" s="73" t="s">
        <v>579</v>
      </c>
      <c r="D74" s="73">
        <v>20</v>
      </c>
    </row>
    <row r="75" spans="1:4" x14ac:dyDescent="0.2">
      <c r="A75" s="3" t="s">
        <v>587</v>
      </c>
      <c r="B75" s="71" t="s">
        <v>597</v>
      </c>
      <c r="C75" s="73" t="s">
        <v>576</v>
      </c>
      <c r="D75" s="74" t="s">
        <v>617</v>
      </c>
    </row>
    <row r="76" spans="1:4" x14ac:dyDescent="0.2">
      <c r="A76" s="3" t="str">
        <f t="shared" ref="A76:B78" si="28">A75</f>
        <v>科研生产</v>
      </c>
      <c r="B76" s="71" t="str">
        <f t="shared" si="28"/>
        <v>管理机关（专业管理）高级主管</v>
      </c>
      <c r="C76" s="73" t="s">
        <v>577</v>
      </c>
      <c r="D76" s="73">
        <v>16</v>
      </c>
    </row>
    <row r="77" spans="1:4" x14ac:dyDescent="0.2">
      <c r="A77" s="3" t="str">
        <f t="shared" si="28"/>
        <v>科研生产</v>
      </c>
      <c r="B77" s="71" t="str">
        <f t="shared" si="28"/>
        <v>管理机关（专业管理）高级主管</v>
      </c>
      <c r="C77" s="73" t="s">
        <v>578</v>
      </c>
      <c r="D77" s="74" t="s">
        <v>618</v>
      </c>
    </row>
    <row r="78" spans="1:4" x14ac:dyDescent="0.2">
      <c r="A78" s="3" t="s">
        <v>587</v>
      </c>
      <c r="B78" s="71" t="str">
        <f t="shared" si="28"/>
        <v>管理机关（专业管理）高级主管</v>
      </c>
      <c r="C78" s="73" t="s">
        <v>579</v>
      </c>
      <c r="D78" s="74" t="s">
        <v>619</v>
      </c>
    </row>
    <row r="79" spans="1:4" x14ac:dyDescent="0.2">
      <c r="A79" s="3" t="str">
        <f t="shared" ref="A79:B82" si="29">A78</f>
        <v>科研生产</v>
      </c>
      <c r="B79" s="71" t="s">
        <v>609</v>
      </c>
      <c r="C79" s="73" t="s">
        <v>576</v>
      </c>
      <c r="D79" s="74" t="s">
        <v>617</v>
      </c>
    </row>
    <row r="80" spans="1:4" x14ac:dyDescent="0.2">
      <c r="A80" s="3" t="str">
        <f t="shared" si="29"/>
        <v>科研生产</v>
      </c>
      <c r="B80" s="71" t="str">
        <f t="shared" si="29"/>
        <v>采服中心基层正职</v>
      </c>
      <c r="C80" s="73" t="s">
        <v>577</v>
      </c>
      <c r="D80" s="73">
        <v>16</v>
      </c>
    </row>
    <row r="81" spans="1:4" x14ac:dyDescent="0.2">
      <c r="A81" s="3" t="s">
        <v>587</v>
      </c>
      <c r="B81" s="71" t="str">
        <f t="shared" si="29"/>
        <v>采服中心基层正职</v>
      </c>
      <c r="C81" s="73" t="s">
        <v>578</v>
      </c>
      <c r="D81" s="74" t="s">
        <v>618</v>
      </c>
    </row>
    <row r="82" spans="1:4" x14ac:dyDescent="0.2">
      <c r="A82" s="3" t="str">
        <f t="shared" ref="A82:A83" si="30">A81</f>
        <v>科研生产</v>
      </c>
      <c r="B82" s="71" t="str">
        <f t="shared" si="29"/>
        <v>采服中心基层正职</v>
      </c>
      <c r="C82" s="73" t="s">
        <v>579</v>
      </c>
      <c r="D82" s="74" t="s">
        <v>619</v>
      </c>
    </row>
    <row r="83" spans="1:4" x14ac:dyDescent="0.2">
      <c r="A83" s="3" t="str">
        <f t="shared" si="30"/>
        <v>科研生产</v>
      </c>
      <c r="B83" s="71" t="s">
        <v>610</v>
      </c>
      <c r="C83" s="73" t="s">
        <v>576</v>
      </c>
      <c r="D83" s="74" t="s">
        <v>617</v>
      </c>
    </row>
    <row r="84" spans="1:4" x14ac:dyDescent="0.2">
      <c r="A84" s="3" t="s">
        <v>587</v>
      </c>
      <c r="B84" s="71" t="str">
        <f t="shared" ref="B84:B86" si="31">B83</f>
        <v>监督中心基层正职</v>
      </c>
      <c r="C84" s="73" t="s">
        <v>577</v>
      </c>
      <c r="D84" s="73">
        <v>16</v>
      </c>
    </row>
    <row r="85" spans="1:4" x14ac:dyDescent="0.2">
      <c r="A85" s="3" t="str">
        <f t="shared" ref="A85:A86" si="32">A84</f>
        <v>科研生产</v>
      </c>
      <c r="B85" s="71" t="str">
        <f t="shared" si="31"/>
        <v>监督中心基层正职</v>
      </c>
      <c r="C85" s="73" t="s">
        <v>578</v>
      </c>
      <c r="D85" s="74" t="s">
        <v>618</v>
      </c>
    </row>
    <row r="86" spans="1:4" x14ac:dyDescent="0.2">
      <c r="A86" s="3" t="str">
        <f t="shared" si="32"/>
        <v>科研生产</v>
      </c>
      <c r="B86" s="71" t="str">
        <f t="shared" si="31"/>
        <v>监督中心基层正职</v>
      </c>
      <c r="C86" s="73" t="s">
        <v>579</v>
      </c>
      <c r="D86" s="74" t="s">
        <v>619</v>
      </c>
    </row>
    <row r="87" spans="1:4" x14ac:dyDescent="0.2">
      <c r="A87" s="3" t="s">
        <v>587</v>
      </c>
      <c r="B87" s="71" t="s">
        <v>598</v>
      </c>
      <c r="C87" s="73" t="s">
        <v>583</v>
      </c>
      <c r="D87" s="73">
        <v>20</v>
      </c>
    </row>
    <row r="88" spans="1:4" x14ac:dyDescent="0.2">
      <c r="A88" s="3" t="str">
        <f t="shared" ref="A88:B91" si="33">A87</f>
        <v>科研生产</v>
      </c>
      <c r="B88" s="71" t="str">
        <f t="shared" si="33"/>
        <v>科研生产中层副职</v>
      </c>
      <c r="C88" s="73" t="s">
        <v>584</v>
      </c>
      <c r="D88" s="73">
        <v>25</v>
      </c>
    </row>
    <row r="89" spans="1:4" x14ac:dyDescent="0.2">
      <c r="A89" s="3" t="str">
        <f t="shared" si="33"/>
        <v>科研生产</v>
      </c>
      <c r="B89" s="71" t="str">
        <f t="shared" si="33"/>
        <v>科研生产中层副职</v>
      </c>
      <c r="C89" s="73" t="s">
        <v>580</v>
      </c>
      <c r="D89" s="74">
        <v>30</v>
      </c>
    </row>
    <row r="90" spans="1:4" x14ac:dyDescent="0.2">
      <c r="A90" s="3" t="s">
        <v>587</v>
      </c>
      <c r="B90" s="71" t="str">
        <f t="shared" si="33"/>
        <v>科研生产中层副职</v>
      </c>
      <c r="C90" s="73" t="s">
        <v>581</v>
      </c>
      <c r="D90" s="73">
        <v>35</v>
      </c>
    </row>
    <row r="91" spans="1:4" x14ac:dyDescent="0.2">
      <c r="A91" s="3" t="str">
        <f t="shared" ref="A91:B106" si="34">A90</f>
        <v>科研生产</v>
      </c>
      <c r="B91" s="71" t="str">
        <f t="shared" si="33"/>
        <v>科研生产中层副职</v>
      </c>
      <c r="C91" s="73" t="s">
        <v>582</v>
      </c>
      <c r="D91" s="74">
        <v>30</v>
      </c>
    </row>
    <row r="92" spans="1:4" x14ac:dyDescent="0.2">
      <c r="A92" s="3" t="str">
        <f t="shared" si="34"/>
        <v>科研生产</v>
      </c>
      <c r="B92" s="71" t="s">
        <v>611</v>
      </c>
      <c r="C92" s="73" t="s">
        <v>583</v>
      </c>
      <c r="D92" s="73">
        <v>16</v>
      </c>
    </row>
    <row r="93" spans="1:4" x14ac:dyDescent="0.2">
      <c r="A93" s="3" t="str">
        <f t="shared" si="34"/>
        <v>科研生产</v>
      </c>
      <c r="B93" s="71" t="str">
        <f t="shared" si="34"/>
        <v>科研生产专家</v>
      </c>
      <c r="C93" s="73" t="s">
        <v>584</v>
      </c>
      <c r="D93" s="73">
        <v>20</v>
      </c>
    </row>
    <row r="94" spans="1:4" x14ac:dyDescent="0.2">
      <c r="A94" s="3" t="str">
        <f t="shared" si="34"/>
        <v>科研生产</v>
      </c>
      <c r="B94" s="71" t="str">
        <f t="shared" si="34"/>
        <v>科研生产专家</v>
      </c>
      <c r="C94" s="73" t="s">
        <v>580</v>
      </c>
      <c r="D94" s="73">
        <v>24</v>
      </c>
    </row>
    <row r="95" spans="1:4" x14ac:dyDescent="0.2">
      <c r="A95" s="3" t="str">
        <f t="shared" si="34"/>
        <v>科研生产</v>
      </c>
      <c r="B95" s="71" t="str">
        <f t="shared" si="34"/>
        <v>科研生产专家</v>
      </c>
      <c r="C95" s="73" t="s">
        <v>581</v>
      </c>
      <c r="D95" s="73">
        <v>28</v>
      </c>
    </row>
    <row r="96" spans="1:4" x14ac:dyDescent="0.2">
      <c r="A96" s="3" t="str">
        <f t="shared" si="34"/>
        <v>科研生产</v>
      </c>
      <c r="B96" s="71" t="str">
        <f t="shared" si="34"/>
        <v>科研生产专家</v>
      </c>
      <c r="C96" s="73" t="s">
        <v>582</v>
      </c>
      <c r="D96" s="73">
        <v>24</v>
      </c>
    </row>
    <row r="97" spans="1:4" x14ac:dyDescent="0.2">
      <c r="A97" s="3" t="str">
        <f t="shared" si="34"/>
        <v>科研生产</v>
      </c>
      <c r="B97" s="71" t="s">
        <v>599</v>
      </c>
      <c r="C97" s="73" t="s">
        <v>583</v>
      </c>
      <c r="D97" s="73">
        <v>25</v>
      </c>
    </row>
    <row r="98" spans="1:4" x14ac:dyDescent="0.2">
      <c r="A98" s="3" t="str">
        <f t="shared" si="34"/>
        <v>科研生产</v>
      </c>
      <c r="B98" s="71" t="str">
        <f t="shared" si="34"/>
        <v>油气生产中层副职</v>
      </c>
      <c r="C98" s="73" t="s">
        <v>584</v>
      </c>
      <c r="D98" s="73">
        <v>30</v>
      </c>
    </row>
    <row r="99" spans="1:4" x14ac:dyDescent="0.2">
      <c r="A99" s="3" t="str">
        <f t="shared" si="34"/>
        <v>科研生产</v>
      </c>
      <c r="B99" s="71" t="str">
        <f t="shared" si="34"/>
        <v>油气生产中层副职</v>
      </c>
      <c r="C99" s="73" t="s">
        <v>580</v>
      </c>
      <c r="D99" s="73">
        <v>35</v>
      </c>
    </row>
    <row r="100" spans="1:4" x14ac:dyDescent="0.2">
      <c r="A100" s="3" t="str">
        <f t="shared" si="34"/>
        <v>科研生产</v>
      </c>
      <c r="B100" s="71" t="str">
        <f t="shared" si="34"/>
        <v>油气生产中层副职</v>
      </c>
      <c r="C100" s="73" t="s">
        <v>581</v>
      </c>
      <c r="D100" s="73">
        <v>40</v>
      </c>
    </row>
    <row r="101" spans="1:4" x14ac:dyDescent="0.2">
      <c r="A101" s="3" t="str">
        <f t="shared" si="34"/>
        <v>科研生产</v>
      </c>
      <c r="B101" s="71" t="str">
        <f t="shared" si="34"/>
        <v>油气生产中层副职</v>
      </c>
      <c r="C101" s="73" t="s">
        <v>582</v>
      </c>
      <c r="D101" s="73">
        <v>35</v>
      </c>
    </row>
    <row r="102" spans="1:4" x14ac:dyDescent="0.2">
      <c r="A102" s="3" t="str">
        <f t="shared" si="34"/>
        <v>科研生产</v>
      </c>
      <c r="B102" s="71" t="s">
        <v>612</v>
      </c>
      <c r="C102" s="73" t="s">
        <v>583</v>
      </c>
      <c r="D102" s="73">
        <v>20</v>
      </c>
    </row>
    <row r="103" spans="1:4" x14ac:dyDescent="0.2">
      <c r="A103" s="3" t="str">
        <f t="shared" si="34"/>
        <v>科研生产</v>
      </c>
      <c r="B103" s="71" t="str">
        <f t="shared" si="34"/>
        <v>油气生产专家</v>
      </c>
      <c r="C103" s="73" t="s">
        <v>584</v>
      </c>
      <c r="D103" s="73">
        <v>24</v>
      </c>
    </row>
    <row r="104" spans="1:4" x14ac:dyDescent="0.2">
      <c r="A104" s="3" t="str">
        <f t="shared" si="34"/>
        <v>科研生产</v>
      </c>
      <c r="B104" s="71" t="str">
        <f t="shared" si="34"/>
        <v>油气生产专家</v>
      </c>
      <c r="C104" s="73" t="s">
        <v>580</v>
      </c>
      <c r="D104" s="73">
        <v>28</v>
      </c>
    </row>
    <row r="105" spans="1:4" x14ac:dyDescent="0.2">
      <c r="A105" s="3" t="str">
        <f t="shared" si="34"/>
        <v>科研生产</v>
      </c>
      <c r="B105" s="71" t="str">
        <f t="shared" si="34"/>
        <v>油气生产专家</v>
      </c>
      <c r="C105" s="73" t="s">
        <v>581</v>
      </c>
      <c r="D105" s="73">
        <v>32</v>
      </c>
    </row>
    <row r="106" spans="1:4" x14ac:dyDescent="0.2">
      <c r="A106" s="3" t="str">
        <f t="shared" si="34"/>
        <v>科研生产</v>
      </c>
      <c r="B106" s="71" t="str">
        <f t="shared" si="34"/>
        <v>油气生产专家</v>
      </c>
      <c r="C106" s="73" t="s">
        <v>582</v>
      </c>
      <c r="D106" s="73">
        <v>28</v>
      </c>
    </row>
    <row r="107" spans="1:4" x14ac:dyDescent="0.2">
      <c r="A107" s="3" t="str">
        <f t="shared" ref="A107:B122" si="35">A106</f>
        <v>科研生产</v>
      </c>
      <c r="B107" s="71" t="s">
        <v>600</v>
      </c>
      <c r="C107" s="73" t="s">
        <v>583</v>
      </c>
      <c r="D107" s="73">
        <v>20</v>
      </c>
    </row>
    <row r="108" spans="1:4" x14ac:dyDescent="0.2">
      <c r="A108" s="3" t="str">
        <f t="shared" si="35"/>
        <v>科研生产</v>
      </c>
      <c r="B108" s="71" t="str">
        <f t="shared" si="35"/>
        <v>管理机关（专业管理）中层副职</v>
      </c>
      <c r="C108" s="73" t="s">
        <v>584</v>
      </c>
      <c r="D108" s="73">
        <v>25</v>
      </c>
    </row>
    <row r="109" spans="1:4" x14ac:dyDescent="0.2">
      <c r="A109" s="3" t="str">
        <f t="shared" si="35"/>
        <v>科研生产</v>
      </c>
      <c r="B109" s="71" t="str">
        <f t="shared" si="35"/>
        <v>管理机关（专业管理）中层副职</v>
      </c>
      <c r="C109" s="73" t="s">
        <v>580</v>
      </c>
      <c r="D109" s="74">
        <v>30</v>
      </c>
    </row>
    <row r="110" spans="1:4" x14ac:dyDescent="0.2">
      <c r="A110" s="3" t="str">
        <f t="shared" si="35"/>
        <v>科研生产</v>
      </c>
      <c r="B110" s="71" t="str">
        <f t="shared" si="35"/>
        <v>管理机关（专业管理）中层副职</v>
      </c>
      <c r="C110" s="73" t="s">
        <v>581</v>
      </c>
      <c r="D110" s="73">
        <v>35</v>
      </c>
    </row>
    <row r="111" spans="1:4" x14ac:dyDescent="0.2">
      <c r="A111" s="3" t="str">
        <f t="shared" si="35"/>
        <v>科研生产</v>
      </c>
      <c r="B111" s="71" t="str">
        <f t="shared" si="35"/>
        <v>管理机关（专业管理）中层副职</v>
      </c>
      <c r="C111" s="73" t="s">
        <v>582</v>
      </c>
      <c r="D111" s="74">
        <v>30</v>
      </c>
    </row>
    <row r="112" spans="1:4" x14ac:dyDescent="0.2">
      <c r="A112" s="3" t="str">
        <f t="shared" si="35"/>
        <v>科研生产</v>
      </c>
      <c r="B112" s="71" t="s">
        <v>613</v>
      </c>
      <c r="C112" s="73" t="s">
        <v>583</v>
      </c>
      <c r="D112" s="73">
        <v>16</v>
      </c>
    </row>
    <row r="113" spans="1:4" x14ac:dyDescent="0.2">
      <c r="A113" s="3" t="str">
        <f t="shared" si="35"/>
        <v>科研生产</v>
      </c>
      <c r="B113" s="71" t="str">
        <f t="shared" si="35"/>
        <v>管理机关（专业管理）专家</v>
      </c>
      <c r="C113" s="73" t="s">
        <v>584</v>
      </c>
      <c r="D113" s="73">
        <v>20</v>
      </c>
    </row>
    <row r="114" spans="1:4" x14ac:dyDescent="0.2">
      <c r="A114" s="3" t="str">
        <f t="shared" si="35"/>
        <v>科研生产</v>
      </c>
      <c r="B114" s="71" t="str">
        <f t="shared" si="35"/>
        <v>管理机关（专业管理）专家</v>
      </c>
      <c r="C114" s="73" t="s">
        <v>580</v>
      </c>
      <c r="D114" s="73">
        <v>24</v>
      </c>
    </row>
    <row r="115" spans="1:4" x14ac:dyDescent="0.2">
      <c r="A115" s="3" t="str">
        <f t="shared" si="35"/>
        <v>科研生产</v>
      </c>
      <c r="B115" s="71" t="str">
        <f t="shared" si="35"/>
        <v>管理机关（专业管理）专家</v>
      </c>
      <c r="C115" s="73" t="s">
        <v>581</v>
      </c>
      <c r="D115" s="73">
        <v>28</v>
      </c>
    </row>
    <row r="116" spans="1:4" x14ac:dyDescent="0.2">
      <c r="A116" s="3" t="str">
        <f t="shared" si="35"/>
        <v>科研生产</v>
      </c>
      <c r="B116" s="71" t="str">
        <f t="shared" si="35"/>
        <v>管理机关（专业管理）专家</v>
      </c>
      <c r="C116" s="73" t="s">
        <v>582</v>
      </c>
      <c r="D116" s="73">
        <v>24</v>
      </c>
    </row>
    <row r="117" spans="1:4" x14ac:dyDescent="0.2">
      <c r="A117" s="3" t="str">
        <f t="shared" si="35"/>
        <v>科研生产</v>
      </c>
      <c r="B117" s="71" t="s">
        <v>614</v>
      </c>
      <c r="C117" s="73" t="s">
        <v>583</v>
      </c>
      <c r="D117" s="73">
        <v>16</v>
      </c>
    </row>
    <row r="118" spans="1:4" x14ac:dyDescent="0.2">
      <c r="A118" s="3" t="str">
        <f t="shared" si="35"/>
        <v>科研生产</v>
      </c>
      <c r="B118" s="71" t="str">
        <f t="shared" si="35"/>
        <v>采服中心中层副职</v>
      </c>
      <c r="C118" s="73" t="s">
        <v>584</v>
      </c>
      <c r="D118" s="73">
        <v>20</v>
      </c>
    </row>
    <row r="119" spans="1:4" x14ac:dyDescent="0.2">
      <c r="A119" s="3" t="str">
        <f t="shared" si="35"/>
        <v>科研生产</v>
      </c>
      <c r="B119" s="71" t="str">
        <f t="shared" si="35"/>
        <v>采服中心中层副职</v>
      </c>
      <c r="C119" s="73" t="s">
        <v>580</v>
      </c>
      <c r="D119" s="74" t="s">
        <v>620</v>
      </c>
    </row>
    <row r="120" spans="1:4" x14ac:dyDescent="0.2">
      <c r="A120" s="3" t="str">
        <f t="shared" si="35"/>
        <v>科研生产</v>
      </c>
      <c r="B120" s="71" t="str">
        <f t="shared" si="35"/>
        <v>采服中心中层副职</v>
      </c>
      <c r="C120" s="73" t="s">
        <v>581</v>
      </c>
      <c r="D120" s="73">
        <v>28</v>
      </c>
    </row>
    <row r="121" spans="1:4" x14ac:dyDescent="0.2">
      <c r="A121" s="3" t="str">
        <f t="shared" si="35"/>
        <v>科研生产</v>
      </c>
      <c r="B121" s="71" t="str">
        <f t="shared" si="35"/>
        <v>采服中心中层副职</v>
      </c>
      <c r="C121" s="73" t="s">
        <v>582</v>
      </c>
      <c r="D121" s="74" t="s">
        <v>620</v>
      </c>
    </row>
    <row r="122" spans="1:4" x14ac:dyDescent="0.2">
      <c r="A122" s="3" t="str">
        <f t="shared" si="35"/>
        <v>科研生产</v>
      </c>
      <c r="B122" s="71" t="s">
        <v>615</v>
      </c>
      <c r="C122" s="73" t="s">
        <v>583</v>
      </c>
      <c r="D122" s="73">
        <v>16</v>
      </c>
    </row>
    <row r="123" spans="1:4" x14ac:dyDescent="0.2">
      <c r="A123" s="3" t="str">
        <f t="shared" ref="A123:B126" si="36">A122</f>
        <v>科研生产</v>
      </c>
      <c r="B123" s="71" t="str">
        <f t="shared" si="36"/>
        <v>监督中心中层副职</v>
      </c>
      <c r="C123" s="73" t="s">
        <v>584</v>
      </c>
      <c r="D123" s="73">
        <v>20</v>
      </c>
    </row>
    <row r="124" spans="1:4" x14ac:dyDescent="0.2">
      <c r="A124" s="3" t="str">
        <f t="shared" si="36"/>
        <v>科研生产</v>
      </c>
      <c r="B124" s="71" t="str">
        <f t="shared" si="36"/>
        <v>监督中心中层副职</v>
      </c>
      <c r="C124" s="73" t="s">
        <v>580</v>
      </c>
      <c r="D124" s="74" t="s">
        <v>620</v>
      </c>
    </row>
    <row r="125" spans="1:4" x14ac:dyDescent="0.2">
      <c r="A125" s="3" t="str">
        <f t="shared" si="36"/>
        <v>科研生产</v>
      </c>
      <c r="B125" s="71" t="str">
        <f t="shared" si="36"/>
        <v>监督中心中层副职</v>
      </c>
      <c r="C125" s="73" t="s">
        <v>581</v>
      </c>
      <c r="D125" s="73">
        <v>28</v>
      </c>
    </row>
    <row r="126" spans="1:4" x14ac:dyDescent="0.2">
      <c r="A126" s="3" t="str">
        <f t="shared" si="36"/>
        <v>科研生产</v>
      </c>
      <c r="B126" s="71" t="str">
        <f t="shared" si="36"/>
        <v>监督中心中层副职</v>
      </c>
      <c r="C126" s="73" t="s">
        <v>582</v>
      </c>
      <c r="D126" s="74" t="s">
        <v>620</v>
      </c>
    </row>
    <row r="127" spans="1:4" x14ac:dyDescent="0.2">
      <c r="A127" s="3" t="s">
        <v>621</v>
      </c>
      <c r="B127" s="71" t="s">
        <v>588</v>
      </c>
      <c r="C127" s="73" t="s">
        <v>573</v>
      </c>
      <c r="D127" s="73">
        <v>5</v>
      </c>
    </row>
    <row r="128" spans="1:4" x14ac:dyDescent="0.2">
      <c r="A128" s="3" t="s">
        <v>621</v>
      </c>
      <c r="B128" s="71" t="s">
        <v>588</v>
      </c>
      <c r="C128" s="73" t="s">
        <v>574</v>
      </c>
      <c r="D128" s="73">
        <v>10</v>
      </c>
    </row>
    <row r="129" spans="1:4" x14ac:dyDescent="0.2">
      <c r="A129" s="3" t="s">
        <v>621</v>
      </c>
      <c r="B129" s="71" t="s">
        <v>588</v>
      </c>
      <c r="C129" s="73" t="s">
        <v>575</v>
      </c>
      <c r="D129" s="73">
        <v>15</v>
      </c>
    </row>
    <row r="130" spans="1:4" x14ac:dyDescent="0.2">
      <c r="A130" s="3" t="s">
        <v>621</v>
      </c>
      <c r="B130" s="71" t="s">
        <v>589</v>
      </c>
      <c r="C130" s="73" t="s">
        <v>573</v>
      </c>
      <c r="D130" s="73">
        <v>5</v>
      </c>
    </row>
    <row r="131" spans="1:4" x14ac:dyDescent="0.2">
      <c r="A131" s="3" t="s">
        <v>621</v>
      </c>
      <c r="B131" s="71" t="s">
        <v>589</v>
      </c>
      <c r="C131" s="73" t="s">
        <v>574</v>
      </c>
      <c r="D131" s="73">
        <v>10</v>
      </c>
    </row>
    <row r="132" spans="1:4" x14ac:dyDescent="0.2">
      <c r="A132" s="3" t="s">
        <v>621</v>
      </c>
      <c r="B132" s="71" t="s">
        <v>589</v>
      </c>
      <c r="C132" s="73" t="s">
        <v>575</v>
      </c>
      <c r="D132" s="73">
        <v>15</v>
      </c>
    </row>
    <row r="133" spans="1:4" x14ac:dyDescent="0.2">
      <c r="A133" s="3" t="s">
        <v>621</v>
      </c>
      <c r="B133" s="71" t="s">
        <v>590</v>
      </c>
      <c r="C133" s="73" t="s">
        <v>573</v>
      </c>
      <c r="D133" s="73">
        <v>5</v>
      </c>
    </row>
    <row r="134" spans="1:4" x14ac:dyDescent="0.2">
      <c r="A134" s="3" t="s">
        <v>621</v>
      </c>
      <c r="B134" s="71" t="s">
        <v>590</v>
      </c>
      <c r="C134" s="73" t="s">
        <v>574</v>
      </c>
      <c r="D134" s="73">
        <v>10</v>
      </c>
    </row>
    <row r="135" spans="1:4" x14ac:dyDescent="0.2">
      <c r="A135" s="3" t="s">
        <v>621</v>
      </c>
      <c r="B135" s="71" t="s">
        <v>590</v>
      </c>
      <c r="C135" s="73" t="s">
        <v>575</v>
      </c>
      <c r="D135" s="73">
        <v>15</v>
      </c>
    </row>
    <row r="136" spans="1:4" x14ac:dyDescent="0.2">
      <c r="A136" s="3" t="s">
        <v>621</v>
      </c>
      <c r="B136" s="71" t="s">
        <v>589</v>
      </c>
      <c r="C136" s="73" t="s">
        <v>573</v>
      </c>
      <c r="D136" s="73">
        <v>5</v>
      </c>
    </row>
    <row r="137" spans="1:4" x14ac:dyDescent="0.2">
      <c r="A137" s="3" t="s">
        <v>621</v>
      </c>
      <c r="B137" s="71" t="s">
        <v>589</v>
      </c>
      <c r="C137" s="73" t="s">
        <v>574</v>
      </c>
      <c r="D137" s="73">
        <v>10</v>
      </c>
    </row>
    <row r="138" spans="1:4" x14ac:dyDescent="0.2">
      <c r="A138" s="3" t="s">
        <v>621</v>
      </c>
      <c r="B138" s="71" t="s">
        <v>589</v>
      </c>
      <c r="C138" s="73" t="s">
        <v>575</v>
      </c>
      <c r="D138" s="73">
        <v>15</v>
      </c>
    </row>
    <row r="139" spans="1:4" x14ac:dyDescent="0.2">
      <c r="A139" s="3" t="s">
        <v>621</v>
      </c>
      <c r="B139" s="71" t="s">
        <v>616</v>
      </c>
      <c r="C139" s="73" t="s">
        <v>576</v>
      </c>
      <c r="D139" s="73">
        <v>10</v>
      </c>
    </row>
    <row r="140" spans="1:4" x14ac:dyDescent="0.2">
      <c r="A140" s="3" t="s">
        <v>621</v>
      </c>
      <c r="B140" s="71" t="str">
        <f t="shared" ref="B140:B142" si="37">B139</f>
        <v>科研生产单位科研骨干</v>
      </c>
      <c r="C140" s="73" t="s">
        <v>577</v>
      </c>
      <c r="D140" s="73">
        <v>15</v>
      </c>
    </row>
    <row r="141" spans="1:4" x14ac:dyDescent="0.2">
      <c r="A141" s="3" t="s">
        <v>621</v>
      </c>
      <c r="B141" s="71" t="str">
        <f t="shared" si="37"/>
        <v>科研生产单位科研骨干</v>
      </c>
      <c r="C141" s="73" t="s">
        <v>578</v>
      </c>
      <c r="D141" s="73">
        <v>20</v>
      </c>
    </row>
    <row r="142" spans="1:4" x14ac:dyDescent="0.2">
      <c r="A142" s="3" t="s">
        <v>621</v>
      </c>
      <c r="B142" s="71" t="str">
        <f t="shared" si="37"/>
        <v>科研生产单位科研骨干</v>
      </c>
      <c r="C142" s="73" t="s">
        <v>579</v>
      </c>
      <c r="D142" s="73">
        <v>15</v>
      </c>
    </row>
    <row r="143" spans="1:4" x14ac:dyDescent="0.2">
      <c r="A143" s="3" t="s">
        <v>621</v>
      </c>
      <c r="B143" s="71" t="s">
        <v>601</v>
      </c>
      <c r="C143" s="73" t="s">
        <v>576</v>
      </c>
      <c r="D143" s="73">
        <v>10</v>
      </c>
    </row>
    <row r="144" spans="1:4" x14ac:dyDescent="0.2">
      <c r="A144" s="3" t="s">
        <v>621</v>
      </c>
      <c r="B144" s="71" t="str">
        <f t="shared" ref="B144:B146" si="38">B143</f>
        <v>科研生产单位业务骨干</v>
      </c>
      <c r="C144" s="73" t="s">
        <v>577</v>
      </c>
      <c r="D144" s="73">
        <v>15</v>
      </c>
    </row>
    <row r="145" spans="1:4" x14ac:dyDescent="0.2">
      <c r="A145" s="3" t="s">
        <v>621</v>
      </c>
      <c r="B145" s="71" t="str">
        <f t="shared" si="38"/>
        <v>科研生产单位业务骨干</v>
      </c>
      <c r="C145" s="73" t="s">
        <v>578</v>
      </c>
      <c r="D145" s="73">
        <v>20</v>
      </c>
    </row>
    <row r="146" spans="1:4" x14ac:dyDescent="0.2">
      <c r="A146" s="3" t="s">
        <v>621</v>
      </c>
      <c r="B146" s="71" t="str">
        <f t="shared" si="38"/>
        <v>科研生产单位业务骨干</v>
      </c>
      <c r="C146" s="73" t="s">
        <v>579</v>
      </c>
      <c r="D146" s="73">
        <v>15</v>
      </c>
    </row>
    <row r="147" spans="1:4" x14ac:dyDescent="0.2">
      <c r="A147" s="3" t="s">
        <v>621</v>
      </c>
      <c r="B147" s="71" t="s">
        <v>591</v>
      </c>
      <c r="C147" s="73" t="s">
        <v>576</v>
      </c>
      <c r="D147" s="73">
        <v>10</v>
      </c>
    </row>
    <row r="148" spans="1:4" x14ac:dyDescent="0.2">
      <c r="A148" s="3" t="s">
        <v>621</v>
      </c>
      <c r="B148" s="71" t="str">
        <f t="shared" ref="B148:B150" si="39">B147</f>
        <v>油气生产单位技术骨干</v>
      </c>
      <c r="C148" s="73" t="s">
        <v>577</v>
      </c>
      <c r="D148" s="73">
        <v>15</v>
      </c>
    </row>
    <row r="149" spans="1:4" x14ac:dyDescent="0.2">
      <c r="A149" s="3" t="s">
        <v>621</v>
      </c>
      <c r="B149" s="71" t="str">
        <f t="shared" si="39"/>
        <v>油气生产单位技术骨干</v>
      </c>
      <c r="C149" s="73" t="s">
        <v>578</v>
      </c>
      <c r="D149" s="73">
        <v>20</v>
      </c>
    </row>
    <row r="150" spans="1:4" x14ac:dyDescent="0.2">
      <c r="A150" s="3" t="s">
        <v>621</v>
      </c>
      <c r="B150" s="71" t="str">
        <f t="shared" si="39"/>
        <v>油气生产单位技术骨干</v>
      </c>
      <c r="C150" s="73" t="s">
        <v>579</v>
      </c>
      <c r="D150" s="73">
        <v>15</v>
      </c>
    </row>
    <row r="151" spans="1:4" x14ac:dyDescent="0.2">
      <c r="A151" s="3" t="s">
        <v>621</v>
      </c>
      <c r="B151" s="71" t="s">
        <v>602</v>
      </c>
      <c r="C151" s="73" t="s">
        <v>576</v>
      </c>
      <c r="D151" s="73">
        <v>10</v>
      </c>
    </row>
    <row r="152" spans="1:4" x14ac:dyDescent="0.2">
      <c r="A152" s="3" t="s">
        <v>621</v>
      </c>
      <c r="B152" s="71" t="str">
        <f t="shared" ref="B152:B154" si="40">B151</f>
        <v>油气生产单位业务骨干</v>
      </c>
      <c r="C152" s="73" t="s">
        <v>577</v>
      </c>
      <c r="D152" s="73">
        <v>15</v>
      </c>
    </row>
    <row r="153" spans="1:4" x14ac:dyDescent="0.2">
      <c r="A153" s="3" t="s">
        <v>621</v>
      </c>
      <c r="B153" s="71" t="str">
        <f t="shared" si="40"/>
        <v>油气生产单位业务骨干</v>
      </c>
      <c r="C153" s="73" t="s">
        <v>578</v>
      </c>
      <c r="D153" s="73">
        <v>20</v>
      </c>
    </row>
    <row r="154" spans="1:4" x14ac:dyDescent="0.2">
      <c r="A154" s="3" t="s">
        <v>621</v>
      </c>
      <c r="B154" s="71" t="str">
        <f t="shared" si="40"/>
        <v>油气生产单位业务骨干</v>
      </c>
      <c r="C154" s="73" t="s">
        <v>579</v>
      </c>
      <c r="D154" s="73">
        <v>15</v>
      </c>
    </row>
    <row r="155" spans="1:4" x14ac:dyDescent="0.2">
      <c r="A155" s="3" t="s">
        <v>621</v>
      </c>
      <c r="B155" s="71" t="s">
        <v>593</v>
      </c>
      <c r="C155" s="73" t="s">
        <v>576</v>
      </c>
      <c r="D155" s="74">
        <v>15</v>
      </c>
    </row>
    <row r="156" spans="1:4" x14ac:dyDescent="0.2">
      <c r="A156" s="3" t="s">
        <v>621</v>
      </c>
      <c r="B156" s="71" t="str">
        <f t="shared" ref="B156:B158" si="41">B155</f>
        <v>油气生产单位基层副职</v>
      </c>
      <c r="C156" s="73" t="s">
        <v>580</v>
      </c>
      <c r="D156" s="73">
        <v>20</v>
      </c>
    </row>
    <row r="157" spans="1:4" x14ac:dyDescent="0.2">
      <c r="A157" s="3" t="s">
        <v>621</v>
      </c>
      <c r="B157" s="71" t="str">
        <f t="shared" si="41"/>
        <v>油气生产单位基层副职</v>
      </c>
      <c r="C157" s="73" t="s">
        <v>581</v>
      </c>
      <c r="D157" s="74">
        <v>25</v>
      </c>
    </row>
    <row r="158" spans="1:4" x14ac:dyDescent="0.2">
      <c r="A158" s="3" t="s">
        <v>621</v>
      </c>
      <c r="B158" s="71" t="str">
        <f t="shared" si="41"/>
        <v>油气生产单位基层副职</v>
      </c>
      <c r="C158" s="73" t="s">
        <v>582</v>
      </c>
      <c r="D158" s="74">
        <v>20</v>
      </c>
    </row>
    <row r="159" spans="1:4" x14ac:dyDescent="0.2">
      <c r="A159" s="3" t="s">
        <v>621</v>
      </c>
      <c r="B159" s="71" t="s">
        <v>603</v>
      </c>
      <c r="C159" s="73" t="s">
        <v>576</v>
      </c>
      <c r="D159" s="73">
        <v>12</v>
      </c>
    </row>
    <row r="160" spans="1:4" x14ac:dyDescent="0.2">
      <c r="A160" s="3" t="s">
        <v>621</v>
      </c>
      <c r="B160" s="71" t="str">
        <f t="shared" ref="B160:B162" si="42">B159</f>
        <v>油气生产单位副主任师</v>
      </c>
      <c r="C160" s="73" t="s">
        <v>580</v>
      </c>
      <c r="D160" s="73">
        <v>16</v>
      </c>
    </row>
    <row r="161" spans="1:4" x14ac:dyDescent="0.2">
      <c r="A161" s="3" t="s">
        <v>621</v>
      </c>
      <c r="B161" s="71" t="str">
        <f t="shared" si="42"/>
        <v>油气生产单位副主任师</v>
      </c>
      <c r="C161" s="73" t="s">
        <v>581</v>
      </c>
      <c r="D161" s="73">
        <v>20</v>
      </c>
    </row>
    <row r="162" spans="1:4" x14ac:dyDescent="0.2">
      <c r="A162" s="3" t="s">
        <v>621</v>
      </c>
      <c r="B162" s="71" t="str">
        <f t="shared" si="42"/>
        <v>油气生产单位副主任师</v>
      </c>
      <c r="C162" s="73" t="s">
        <v>582</v>
      </c>
      <c r="D162" s="73">
        <v>16</v>
      </c>
    </row>
    <row r="163" spans="1:4" x14ac:dyDescent="0.2">
      <c r="A163" s="3" t="s">
        <v>621</v>
      </c>
      <c r="B163" s="71" t="s">
        <v>592</v>
      </c>
      <c r="C163" s="73" t="s">
        <v>576</v>
      </c>
      <c r="D163" s="74">
        <v>20</v>
      </c>
    </row>
    <row r="164" spans="1:4" x14ac:dyDescent="0.2">
      <c r="A164" s="3" t="s">
        <v>621</v>
      </c>
      <c r="B164" s="71" t="str">
        <f t="shared" ref="B164:B166" si="43">B163</f>
        <v>科研生产单位基层副职</v>
      </c>
      <c r="C164" s="73" t="s">
        <v>580</v>
      </c>
      <c r="D164" s="73">
        <v>25</v>
      </c>
    </row>
    <row r="165" spans="1:4" x14ac:dyDescent="0.2">
      <c r="A165" s="3" t="s">
        <v>621</v>
      </c>
      <c r="B165" s="71" t="str">
        <f t="shared" si="43"/>
        <v>科研生产单位基层副职</v>
      </c>
      <c r="C165" s="73" t="s">
        <v>581</v>
      </c>
      <c r="D165" s="73">
        <v>30</v>
      </c>
    </row>
    <row r="166" spans="1:4" x14ac:dyDescent="0.2">
      <c r="A166" s="3" t="s">
        <v>621</v>
      </c>
      <c r="B166" s="71" t="str">
        <f t="shared" si="43"/>
        <v>科研生产单位基层副职</v>
      </c>
      <c r="C166" s="73" t="s">
        <v>582</v>
      </c>
      <c r="D166" s="74">
        <v>25</v>
      </c>
    </row>
    <row r="167" spans="1:4" x14ac:dyDescent="0.2">
      <c r="A167" s="3" t="s">
        <v>621</v>
      </c>
      <c r="B167" s="71" t="s">
        <v>604</v>
      </c>
      <c r="C167" s="73" t="s">
        <v>576</v>
      </c>
      <c r="D167" s="73">
        <v>16</v>
      </c>
    </row>
    <row r="168" spans="1:4" x14ac:dyDescent="0.2">
      <c r="A168" s="3" t="s">
        <v>621</v>
      </c>
      <c r="B168" s="71" t="str">
        <f t="shared" ref="B168:B170" si="44">B167</f>
        <v>科研生产单位副主任师</v>
      </c>
      <c r="C168" s="73" t="s">
        <v>580</v>
      </c>
      <c r="D168" s="73">
        <v>20</v>
      </c>
    </row>
    <row r="169" spans="1:4" x14ac:dyDescent="0.2">
      <c r="A169" s="3" t="s">
        <v>621</v>
      </c>
      <c r="B169" s="71" t="str">
        <f t="shared" si="44"/>
        <v>科研生产单位副主任师</v>
      </c>
      <c r="C169" s="73" t="s">
        <v>581</v>
      </c>
      <c r="D169" s="73">
        <v>24</v>
      </c>
    </row>
    <row r="170" spans="1:4" x14ac:dyDescent="0.2">
      <c r="A170" s="3" t="s">
        <v>621</v>
      </c>
      <c r="B170" s="71" t="str">
        <f t="shared" si="44"/>
        <v>科研生产单位副主任师</v>
      </c>
      <c r="C170" s="73" t="s">
        <v>582</v>
      </c>
      <c r="D170" s="73">
        <v>20</v>
      </c>
    </row>
    <row r="171" spans="1:4" x14ac:dyDescent="0.2">
      <c r="A171" s="3" t="s">
        <v>621</v>
      </c>
      <c r="B171" s="71" t="s">
        <v>594</v>
      </c>
      <c r="C171" s="73" t="s">
        <v>576</v>
      </c>
      <c r="D171" s="74" t="s">
        <v>617</v>
      </c>
    </row>
    <row r="172" spans="1:4" x14ac:dyDescent="0.2">
      <c r="A172" s="3" t="s">
        <v>621</v>
      </c>
      <c r="B172" s="71" t="str">
        <f t="shared" ref="B172:B174" si="45">B171</f>
        <v>管理机关（专业管理）主管</v>
      </c>
      <c r="C172" s="73" t="s">
        <v>580</v>
      </c>
      <c r="D172" s="73">
        <v>16</v>
      </c>
    </row>
    <row r="173" spans="1:4" x14ac:dyDescent="0.2">
      <c r="A173" s="3" t="s">
        <v>621</v>
      </c>
      <c r="B173" s="71" t="str">
        <f t="shared" si="45"/>
        <v>管理机关（专业管理）主管</v>
      </c>
      <c r="C173" s="73" t="s">
        <v>581</v>
      </c>
      <c r="D173" s="74" t="s">
        <v>618</v>
      </c>
    </row>
    <row r="174" spans="1:4" x14ac:dyDescent="0.2">
      <c r="A174" s="3" t="s">
        <v>621</v>
      </c>
      <c r="B174" s="71" t="str">
        <f t="shared" si="45"/>
        <v>管理机关（专业管理）主管</v>
      </c>
      <c r="C174" s="73" t="s">
        <v>582</v>
      </c>
      <c r="D174" s="74" t="s">
        <v>619</v>
      </c>
    </row>
    <row r="175" spans="1:4" x14ac:dyDescent="0.2">
      <c r="A175" s="3" t="s">
        <v>621</v>
      </c>
      <c r="B175" s="71" t="s">
        <v>605</v>
      </c>
      <c r="C175" s="73" t="s">
        <v>576</v>
      </c>
      <c r="D175" s="74" t="s">
        <v>617</v>
      </c>
    </row>
    <row r="176" spans="1:4" x14ac:dyDescent="0.2">
      <c r="A176" s="3" t="s">
        <v>621</v>
      </c>
      <c r="B176" s="71" t="str">
        <f t="shared" ref="B176:B178" si="46">B175</f>
        <v>采服中心基层副职</v>
      </c>
      <c r="C176" s="73" t="s">
        <v>580</v>
      </c>
      <c r="D176" s="73">
        <v>16</v>
      </c>
    </row>
    <row r="177" spans="1:4" x14ac:dyDescent="0.2">
      <c r="A177" s="3" t="s">
        <v>621</v>
      </c>
      <c r="B177" s="71" t="str">
        <f t="shared" si="46"/>
        <v>采服中心基层副职</v>
      </c>
      <c r="C177" s="73" t="s">
        <v>581</v>
      </c>
      <c r="D177" s="74" t="s">
        <v>618</v>
      </c>
    </row>
    <row r="178" spans="1:4" x14ac:dyDescent="0.2">
      <c r="A178" s="3" t="s">
        <v>621</v>
      </c>
      <c r="B178" s="71" t="str">
        <f t="shared" si="46"/>
        <v>采服中心基层副职</v>
      </c>
      <c r="C178" s="73" t="s">
        <v>582</v>
      </c>
      <c r="D178" s="74" t="s">
        <v>619</v>
      </c>
    </row>
    <row r="179" spans="1:4" x14ac:dyDescent="0.2">
      <c r="A179" s="3" t="s">
        <v>621</v>
      </c>
      <c r="B179" s="71" t="s">
        <v>606</v>
      </c>
      <c r="C179" s="73" t="s">
        <v>576</v>
      </c>
      <c r="D179" s="74" t="s">
        <v>617</v>
      </c>
    </row>
    <row r="180" spans="1:4" x14ac:dyDescent="0.2">
      <c r="A180" s="3" t="s">
        <v>621</v>
      </c>
      <c r="B180" s="71" t="str">
        <f t="shared" ref="B180:B182" si="47">B179</f>
        <v>监督中心基层副职</v>
      </c>
      <c r="C180" s="73" t="s">
        <v>580</v>
      </c>
      <c r="D180" s="73">
        <v>16</v>
      </c>
    </row>
    <row r="181" spans="1:4" x14ac:dyDescent="0.2">
      <c r="A181" s="3" t="s">
        <v>621</v>
      </c>
      <c r="B181" s="71" t="str">
        <f t="shared" si="47"/>
        <v>监督中心基层副职</v>
      </c>
      <c r="C181" s="73" t="s">
        <v>581</v>
      </c>
      <c r="D181" s="74" t="s">
        <v>618</v>
      </c>
    </row>
    <row r="182" spans="1:4" x14ac:dyDescent="0.2">
      <c r="A182" s="3" t="s">
        <v>621</v>
      </c>
      <c r="B182" s="71" t="str">
        <f t="shared" si="47"/>
        <v>监督中心基层副职</v>
      </c>
      <c r="C182" s="73" t="s">
        <v>582</v>
      </c>
      <c r="D182" s="74" t="s">
        <v>619</v>
      </c>
    </row>
    <row r="183" spans="1:4" x14ac:dyDescent="0.2">
      <c r="A183" s="3" t="s">
        <v>621</v>
      </c>
      <c r="B183" s="71" t="s">
        <v>596</v>
      </c>
      <c r="C183" s="73" t="s">
        <v>576</v>
      </c>
      <c r="D183" s="74">
        <v>15</v>
      </c>
    </row>
    <row r="184" spans="1:4" x14ac:dyDescent="0.2">
      <c r="A184" s="3" t="s">
        <v>621</v>
      </c>
      <c r="B184" s="71" t="str">
        <f t="shared" ref="B184:B186" si="48">B183</f>
        <v>油气生产基层正职</v>
      </c>
      <c r="C184" s="73" t="s">
        <v>577</v>
      </c>
      <c r="D184" s="73">
        <v>20</v>
      </c>
    </row>
    <row r="185" spans="1:4" x14ac:dyDescent="0.2">
      <c r="A185" s="3" t="s">
        <v>621</v>
      </c>
      <c r="B185" s="71" t="str">
        <f t="shared" si="48"/>
        <v>油气生产基层正职</v>
      </c>
      <c r="C185" s="73" t="s">
        <v>578</v>
      </c>
      <c r="D185" s="74">
        <v>25</v>
      </c>
    </row>
    <row r="186" spans="1:4" x14ac:dyDescent="0.2">
      <c r="A186" s="3" t="s">
        <v>621</v>
      </c>
      <c r="B186" s="71" t="str">
        <f t="shared" si="48"/>
        <v>油气生产基层正职</v>
      </c>
      <c r="C186" s="73" t="s">
        <v>579</v>
      </c>
      <c r="D186" s="74">
        <v>20</v>
      </c>
    </row>
    <row r="187" spans="1:4" x14ac:dyDescent="0.2">
      <c r="A187" s="3" t="s">
        <v>621</v>
      </c>
      <c r="B187" s="71" t="s">
        <v>608</v>
      </c>
      <c r="C187" s="73" t="s">
        <v>576</v>
      </c>
      <c r="D187" s="73">
        <v>12</v>
      </c>
    </row>
    <row r="188" spans="1:4" x14ac:dyDescent="0.2">
      <c r="A188" s="3" t="s">
        <v>621</v>
      </c>
      <c r="B188" s="71" t="str">
        <f t="shared" ref="B188:B190" si="49">B187</f>
        <v>油气生产主任师</v>
      </c>
      <c r="C188" s="73" t="s">
        <v>577</v>
      </c>
      <c r="D188" s="73">
        <v>16</v>
      </c>
    </row>
    <row r="189" spans="1:4" x14ac:dyDescent="0.2">
      <c r="A189" s="3" t="s">
        <v>621</v>
      </c>
      <c r="B189" s="71" t="str">
        <f t="shared" si="49"/>
        <v>油气生产主任师</v>
      </c>
      <c r="C189" s="73" t="s">
        <v>578</v>
      </c>
      <c r="D189" s="73">
        <v>20</v>
      </c>
    </row>
    <row r="190" spans="1:4" x14ac:dyDescent="0.2">
      <c r="A190" s="3" t="s">
        <v>621</v>
      </c>
      <c r="B190" s="71" t="str">
        <f t="shared" si="49"/>
        <v>油气生产主任师</v>
      </c>
      <c r="C190" s="73" t="s">
        <v>579</v>
      </c>
      <c r="D190" s="73">
        <v>16</v>
      </c>
    </row>
    <row r="191" spans="1:4" x14ac:dyDescent="0.2">
      <c r="A191" s="3" t="s">
        <v>621</v>
      </c>
      <c r="B191" s="71" t="s">
        <v>595</v>
      </c>
      <c r="C191" s="73" t="s">
        <v>576</v>
      </c>
      <c r="D191" s="74">
        <v>20</v>
      </c>
    </row>
    <row r="192" spans="1:4" x14ac:dyDescent="0.2">
      <c r="A192" s="3" t="s">
        <v>621</v>
      </c>
      <c r="B192" s="71" t="str">
        <f t="shared" ref="B192:B194" si="50">B191</f>
        <v>科研生产基层正职</v>
      </c>
      <c r="C192" s="73" t="s">
        <v>577</v>
      </c>
      <c r="D192" s="73">
        <v>25</v>
      </c>
    </row>
    <row r="193" spans="1:4" x14ac:dyDescent="0.2">
      <c r="A193" s="3" t="s">
        <v>621</v>
      </c>
      <c r="B193" s="71" t="str">
        <f t="shared" si="50"/>
        <v>科研生产基层正职</v>
      </c>
      <c r="C193" s="73" t="s">
        <v>578</v>
      </c>
      <c r="D193" s="73">
        <v>30</v>
      </c>
    </row>
    <row r="194" spans="1:4" x14ac:dyDescent="0.2">
      <c r="A194" s="3" t="s">
        <v>621</v>
      </c>
      <c r="B194" s="71" t="str">
        <f t="shared" si="50"/>
        <v>科研生产基层正职</v>
      </c>
      <c r="C194" s="73" t="s">
        <v>579</v>
      </c>
      <c r="D194" s="74">
        <v>25</v>
      </c>
    </row>
    <row r="195" spans="1:4" x14ac:dyDescent="0.2">
      <c r="A195" s="3" t="s">
        <v>621</v>
      </c>
      <c r="B195" s="71" t="s">
        <v>607</v>
      </c>
      <c r="C195" s="73" t="s">
        <v>576</v>
      </c>
      <c r="D195" s="73">
        <v>16</v>
      </c>
    </row>
    <row r="196" spans="1:4" x14ac:dyDescent="0.2">
      <c r="A196" s="3" t="s">
        <v>621</v>
      </c>
      <c r="B196" s="71" t="str">
        <f t="shared" ref="B196:B198" si="51">B195</f>
        <v>科研生产主任师</v>
      </c>
      <c r="C196" s="73" t="s">
        <v>577</v>
      </c>
      <c r="D196" s="73">
        <v>20</v>
      </c>
    </row>
    <row r="197" spans="1:4" x14ac:dyDescent="0.2">
      <c r="A197" s="3" t="s">
        <v>621</v>
      </c>
      <c r="B197" s="71" t="str">
        <f t="shared" si="51"/>
        <v>科研生产主任师</v>
      </c>
      <c r="C197" s="73" t="s">
        <v>578</v>
      </c>
      <c r="D197" s="73">
        <v>24</v>
      </c>
    </row>
    <row r="198" spans="1:4" x14ac:dyDescent="0.2">
      <c r="A198" s="3" t="s">
        <v>621</v>
      </c>
      <c r="B198" s="71" t="str">
        <f t="shared" si="51"/>
        <v>科研生产主任师</v>
      </c>
      <c r="C198" s="73" t="s">
        <v>579</v>
      </c>
      <c r="D198" s="73">
        <v>20</v>
      </c>
    </row>
    <row r="199" spans="1:4" x14ac:dyDescent="0.2">
      <c r="A199" s="3" t="s">
        <v>621</v>
      </c>
      <c r="B199" s="71" t="s">
        <v>597</v>
      </c>
      <c r="C199" s="73" t="s">
        <v>576</v>
      </c>
      <c r="D199" s="74" t="s">
        <v>617</v>
      </c>
    </row>
    <row r="200" spans="1:4" x14ac:dyDescent="0.2">
      <c r="A200" s="3" t="s">
        <v>621</v>
      </c>
      <c r="B200" s="71" t="str">
        <f t="shared" ref="B200:B202" si="52">B199</f>
        <v>管理机关（专业管理）高级主管</v>
      </c>
      <c r="C200" s="73" t="s">
        <v>577</v>
      </c>
      <c r="D200" s="73">
        <v>16</v>
      </c>
    </row>
    <row r="201" spans="1:4" x14ac:dyDescent="0.2">
      <c r="A201" s="3" t="s">
        <v>621</v>
      </c>
      <c r="B201" s="71" t="str">
        <f t="shared" si="52"/>
        <v>管理机关（专业管理）高级主管</v>
      </c>
      <c r="C201" s="73" t="s">
        <v>578</v>
      </c>
      <c r="D201" s="74" t="s">
        <v>618</v>
      </c>
    </row>
    <row r="202" spans="1:4" x14ac:dyDescent="0.2">
      <c r="A202" s="3" t="s">
        <v>621</v>
      </c>
      <c r="B202" s="71" t="str">
        <f t="shared" si="52"/>
        <v>管理机关（专业管理）高级主管</v>
      </c>
      <c r="C202" s="73" t="s">
        <v>579</v>
      </c>
      <c r="D202" s="74" t="s">
        <v>619</v>
      </c>
    </row>
    <row r="203" spans="1:4" x14ac:dyDescent="0.2">
      <c r="A203" s="3" t="s">
        <v>621</v>
      </c>
      <c r="B203" s="71" t="s">
        <v>609</v>
      </c>
      <c r="C203" s="73" t="s">
        <v>576</v>
      </c>
      <c r="D203" s="74" t="s">
        <v>617</v>
      </c>
    </row>
    <row r="204" spans="1:4" x14ac:dyDescent="0.2">
      <c r="A204" s="3" t="s">
        <v>621</v>
      </c>
      <c r="B204" s="71" t="str">
        <f t="shared" ref="B204:B206" si="53">B203</f>
        <v>采服中心基层正职</v>
      </c>
      <c r="C204" s="73" t="s">
        <v>577</v>
      </c>
      <c r="D204" s="73">
        <v>16</v>
      </c>
    </row>
    <row r="205" spans="1:4" x14ac:dyDescent="0.2">
      <c r="A205" s="3" t="s">
        <v>621</v>
      </c>
      <c r="B205" s="71" t="str">
        <f t="shared" si="53"/>
        <v>采服中心基层正职</v>
      </c>
      <c r="C205" s="73" t="s">
        <v>578</v>
      </c>
      <c r="D205" s="74" t="s">
        <v>618</v>
      </c>
    </row>
    <row r="206" spans="1:4" x14ac:dyDescent="0.2">
      <c r="A206" s="3" t="s">
        <v>621</v>
      </c>
      <c r="B206" s="71" t="str">
        <f t="shared" si="53"/>
        <v>采服中心基层正职</v>
      </c>
      <c r="C206" s="73" t="s">
        <v>579</v>
      </c>
      <c r="D206" s="74" t="s">
        <v>619</v>
      </c>
    </row>
    <row r="207" spans="1:4" x14ac:dyDescent="0.2">
      <c r="A207" s="3" t="s">
        <v>621</v>
      </c>
      <c r="B207" s="71" t="s">
        <v>610</v>
      </c>
      <c r="C207" s="73" t="s">
        <v>576</v>
      </c>
      <c r="D207" s="74" t="s">
        <v>617</v>
      </c>
    </row>
    <row r="208" spans="1:4" x14ac:dyDescent="0.2">
      <c r="A208" s="3" t="s">
        <v>621</v>
      </c>
      <c r="B208" s="71" t="str">
        <f t="shared" ref="B208:B210" si="54">B207</f>
        <v>监督中心基层正职</v>
      </c>
      <c r="C208" s="73" t="s">
        <v>577</v>
      </c>
      <c r="D208" s="73">
        <v>16</v>
      </c>
    </row>
    <row r="209" spans="1:4" x14ac:dyDescent="0.2">
      <c r="A209" s="3" t="s">
        <v>621</v>
      </c>
      <c r="B209" s="71" t="str">
        <f t="shared" si="54"/>
        <v>监督中心基层正职</v>
      </c>
      <c r="C209" s="73" t="s">
        <v>578</v>
      </c>
      <c r="D209" s="74" t="s">
        <v>618</v>
      </c>
    </row>
    <row r="210" spans="1:4" x14ac:dyDescent="0.2">
      <c r="A210" s="3" t="s">
        <v>621</v>
      </c>
      <c r="B210" s="71" t="str">
        <f t="shared" si="54"/>
        <v>监督中心基层正职</v>
      </c>
      <c r="C210" s="73" t="s">
        <v>579</v>
      </c>
      <c r="D210" s="74" t="s">
        <v>619</v>
      </c>
    </row>
    <row r="211" spans="1:4" x14ac:dyDescent="0.2">
      <c r="A211" s="3" t="s">
        <v>621</v>
      </c>
      <c r="B211" s="71" t="s">
        <v>599</v>
      </c>
      <c r="C211" s="73" t="s">
        <v>583</v>
      </c>
      <c r="D211" s="73">
        <v>20</v>
      </c>
    </row>
    <row r="212" spans="1:4" x14ac:dyDescent="0.2">
      <c r="A212" s="3" t="s">
        <v>621</v>
      </c>
      <c r="B212" s="71" t="str">
        <f t="shared" ref="B212:B215" si="55">B211</f>
        <v>油气生产中层副职</v>
      </c>
      <c r="C212" s="73" t="s">
        <v>584</v>
      </c>
      <c r="D212" s="73">
        <v>25</v>
      </c>
    </row>
    <row r="213" spans="1:4" x14ac:dyDescent="0.2">
      <c r="A213" s="3" t="s">
        <v>621</v>
      </c>
      <c r="B213" s="71" t="str">
        <f t="shared" si="55"/>
        <v>油气生产中层副职</v>
      </c>
      <c r="C213" s="73" t="s">
        <v>580</v>
      </c>
      <c r="D213" s="74">
        <v>30</v>
      </c>
    </row>
    <row r="214" spans="1:4" x14ac:dyDescent="0.2">
      <c r="A214" s="3" t="s">
        <v>621</v>
      </c>
      <c r="B214" s="71" t="str">
        <f t="shared" si="55"/>
        <v>油气生产中层副职</v>
      </c>
      <c r="C214" s="73" t="s">
        <v>581</v>
      </c>
      <c r="D214" s="73">
        <v>35</v>
      </c>
    </row>
    <row r="215" spans="1:4" x14ac:dyDescent="0.2">
      <c r="A215" s="3" t="s">
        <v>621</v>
      </c>
      <c r="B215" s="71" t="str">
        <f t="shared" si="55"/>
        <v>油气生产中层副职</v>
      </c>
      <c r="C215" s="73" t="s">
        <v>582</v>
      </c>
      <c r="D215" s="74">
        <v>30</v>
      </c>
    </row>
    <row r="216" spans="1:4" x14ac:dyDescent="0.2">
      <c r="A216" s="3" t="s">
        <v>621</v>
      </c>
      <c r="B216" s="71" t="s">
        <v>612</v>
      </c>
      <c r="C216" s="73" t="s">
        <v>583</v>
      </c>
      <c r="D216" s="73">
        <v>16</v>
      </c>
    </row>
    <row r="217" spans="1:4" x14ac:dyDescent="0.2">
      <c r="A217" s="3" t="s">
        <v>621</v>
      </c>
      <c r="B217" s="71" t="str">
        <f t="shared" ref="B217:B220" si="56">B216</f>
        <v>油气生产专家</v>
      </c>
      <c r="C217" s="73" t="s">
        <v>584</v>
      </c>
      <c r="D217" s="73">
        <v>20</v>
      </c>
    </row>
    <row r="218" spans="1:4" x14ac:dyDescent="0.2">
      <c r="A218" s="3" t="s">
        <v>621</v>
      </c>
      <c r="B218" s="71" t="str">
        <f t="shared" si="56"/>
        <v>油气生产专家</v>
      </c>
      <c r="C218" s="73" t="s">
        <v>580</v>
      </c>
      <c r="D218" s="73">
        <v>24</v>
      </c>
    </row>
    <row r="219" spans="1:4" x14ac:dyDescent="0.2">
      <c r="A219" s="3" t="s">
        <v>621</v>
      </c>
      <c r="B219" s="71" t="str">
        <f t="shared" si="56"/>
        <v>油气生产专家</v>
      </c>
      <c r="C219" s="73" t="s">
        <v>581</v>
      </c>
      <c r="D219" s="73">
        <v>28</v>
      </c>
    </row>
    <row r="220" spans="1:4" x14ac:dyDescent="0.2">
      <c r="A220" s="3" t="s">
        <v>621</v>
      </c>
      <c r="B220" s="71" t="str">
        <f t="shared" si="56"/>
        <v>油气生产专家</v>
      </c>
      <c r="C220" s="73" t="s">
        <v>582</v>
      </c>
      <c r="D220" s="73">
        <v>24</v>
      </c>
    </row>
    <row r="221" spans="1:4" x14ac:dyDescent="0.2">
      <c r="A221" s="3" t="s">
        <v>621</v>
      </c>
      <c r="B221" s="71" t="s">
        <v>598</v>
      </c>
      <c r="C221" s="73" t="s">
        <v>583</v>
      </c>
      <c r="D221" s="73">
        <v>25</v>
      </c>
    </row>
    <row r="222" spans="1:4" x14ac:dyDescent="0.2">
      <c r="A222" s="3" t="s">
        <v>621</v>
      </c>
      <c r="B222" s="71" t="str">
        <f t="shared" ref="B222:B225" si="57">B221</f>
        <v>科研生产中层副职</v>
      </c>
      <c r="C222" s="73" t="s">
        <v>584</v>
      </c>
      <c r="D222" s="73">
        <v>30</v>
      </c>
    </row>
    <row r="223" spans="1:4" x14ac:dyDescent="0.2">
      <c r="A223" s="3" t="s">
        <v>621</v>
      </c>
      <c r="B223" s="71" t="str">
        <f t="shared" si="57"/>
        <v>科研生产中层副职</v>
      </c>
      <c r="C223" s="73" t="s">
        <v>580</v>
      </c>
      <c r="D223" s="73">
        <v>35</v>
      </c>
    </row>
    <row r="224" spans="1:4" x14ac:dyDescent="0.2">
      <c r="A224" s="3" t="s">
        <v>621</v>
      </c>
      <c r="B224" s="71" t="str">
        <f t="shared" si="57"/>
        <v>科研生产中层副职</v>
      </c>
      <c r="C224" s="73" t="s">
        <v>581</v>
      </c>
      <c r="D224" s="73">
        <v>40</v>
      </c>
    </row>
    <row r="225" spans="1:4" x14ac:dyDescent="0.2">
      <c r="A225" s="3" t="s">
        <v>621</v>
      </c>
      <c r="B225" s="71" t="str">
        <f t="shared" si="57"/>
        <v>科研生产中层副职</v>
      </c>
      <c r="C225" s="73" t="s">
        <v>582</v>
      </c>
      <c r="D225" s="73">
        <v>35</v>
      </c>
    </row>
    <row r="226" spans="1:4" x14ac:dyDescent="0.2">
      <c r="A226" s="3" t="s">
        <v>621</v>
      </c>
      <c r="B226" s="71" t="s">
        <v>611</v>
      </c>
      <c r="C226" s="73" t="s">
        <v>583</v>
      </c>
      <c r="D226" s="73">
        <v>20</v>
      </c>
    </row>
    <row r="227" spans="1:4" x14ac:dyDescent="0.2">
      <c r="A227" s="3" t="s">
        <v>621</v>
      </c>
      <c r="B227" s="71" t="str">
        <f t="shared" ref="B227:B230" si="58">B226</f>
        <v>科研生产专家</v>
      </c>
      <c r="C227" s="73" t="s">
        <v>584</v>
      </c>
      <c r="D227" s="73">
        <v>24</v>
      </c>
    </row>
    <row r="228" spans="1:4" x14ac:dyDescent="0.2">
      <c r="A228" s="3" t="s">
        <v>621</v>
      </c>
      <c r="B228" s="71" t="str">
        <f t="shared" si="58"/>
        <v>科研生产专家</v>
      </c>
      <c r="C228" s="73" t="s">
        <v>580</v>
      </c>
      <c r="D228" s="73">
        <v>28</v>
      </c>
    </row>
    <row r="229" spans="1:4" x14ac:dyDescent="0.2">
      <c r="A229" s="3" t="s">
        <v>621</v>
      </c>
      <c r="B229" s="71" t="str">
        <f t="shared" si="58"/>
        <v>科研生产专家</v>
      </c>
      <c r="C229" s="73" t="s">
        <v>581</v>
      </c>
      <c r="D229" s="73">
        <v>32</v>
      </c>
    </row>
    <row r="230" spans="1:4" x14ac:dyDescent="0.2">
      <c r="A230" s="3" t="s">
        <v>621</v>
      </c>
      <c r="B230" s="71" t="str">
        <f t="shared" si="58"/>
        <v>科研生产专家</v>
      </c>
      <c r="C230" s="73" t="s">
        <v>582</v>
      </c>
      <c r="D230" s="73">
        <v>28</v>
      </c>
    </row>
    <row r="231" spans="1:4" x14ac:dyDescent="0.2">
      <c r="A231" s="3" t="s">
        <v>621</v>
      </c>
      <c r="B231" s="71" t="s">
        <v>600</v>
      </c>
      <c r="C231" s="73" t="s">
        <v>583</v>
      </c>
      <c r="D231" s="73">
        <v>20</v>
      </c>
    </row>
    <row r="232" spans="1:4" x14ac:dyDescent="0.2">
      <c r="A232" s="3" t="s">
        <v>621</v>
      </c>
      <c r="B232" s="71" t="str">
        <f t="shared" ref="B232:B235" si="59">B231</f>
        <v>管理机关（专业管理）中层副职</v>
      </c>
      <c r="C232" s="73" t="s">
        <v>584</v>
      </c>
      <c r="D232" s="73">
        <v>25</v>
      </c>
    </row>
    <row r="233" spans="1:4" x14ac:dyDescent="0.2">
      <c r="A233" s="3" t="s">
        <v>621</v>
      </c>
      <c r="B233" s="71" t="str">
        <f t="shared" si="59"/>
        <v>管理机关（专业管理）中层副职</v>
      </c>
      <c r="C233" s="73" t="s">
        <v>580</v>
      </c>
      <c r="D233" s="74">
        <v>30</v>
      </c>
    </row>
    <row r="234" spans="1:4" x14ac:dyDescent="0.2">
      <c r="A234" s="3" t="s">
        <v>621</v>
      </c>
      <c r="B234" s="71" t="str">
        <f t="shared" si="59"/>
        <v>管理机关（专业管理）中层副职</v>
      </c>
      <c r="C234" s="73" t="s">
        <v>581</v>
      </c>
      <c r="D234" s="73">
        <v>35</v>
      </c>
    </row>
    <row r="235" spans="1:4" x14ac:dyDescent="0.2">
      <c r="A235" s="3" t="s">
        <v>621</v>
      </c>
      <c r="B235" s="71" t="str">
        <f t="shared" si="59"/>
        <v>管理机关（专业管理）中层副职</v>
      </c>
      <c r="C235" s="73" t="s">
        <v>582</v>
      </c>
      <c r="D235" s="74">
        <v>30</v>
      </c>
    </row>
    <row r="236" spans="1:4" x14ac:dyDescent="0.2">
      <c r="A236" s="3" t="s">
        <v>621</v>
      </c>
      <c r="B236" s="71" t="s">
        <v>613</v>
      </c>
      <c r="C236" s="73" t="s">
        <v>583</v>
      </c>
      <c r="D236" s="73">
        <v>16</v>
      </c>
    </row>
    <row r="237" spans="1:4" x14ac:dyDescent="0.2">
      <c r="A237" s="3" t="s">
        <v>621</v>
      </c>
      <c r="B237" s="71" t="str">
        <f t="shared" ref="B237:B240" si="60">B236</f>
        <v>管理机关（专业管理）专家</v>
      </c>
      <c r="C237" s="73" t="s">
        <v>584</v>
      </c>
      <c r="D237" s="73">
        <v>20</v>
      </c>
    </row>
    <row r="238" spans="1:4" x14ac:dyDescent="0.2">
      <c r="A238" s="3" t="s">
        <v>621</v>
      </c>
      <c r="B238" s="71" t="str">
        <f t="shared" si="60"/>
        <v>管理机关（专业管理）专家</v>
      </c>
      <c r="C238" s="73" t="s">
        <v>580</v>
      </c>
      <c r="D238" s="73">
        <v>24</v>
      </c>
    </row>
    <row r="239" spans="1:4" x14ac:dyDescent="0.2">
      <c r="A239" s="3" t="s">
        <v>621</v>
      </c>
      <c r="B239" s="71" t="str">
        <f t="shared" si="60"/>
        <v>管理机关（专业管理）专家</v>
      </c>
      <c r="C239" s="73" t="s">
        <v>581</v>
      </c>
      <c r="D239" s="73">
        <v>28</v>
      </c>
    </row>
    <row r="240" spans="1:4" x14ac:dyDescent="0.2">
      <c r="A240" s="3" t="s">
        <v>621</v>
      </c>
      <c r="B240" s="71" t="str">
        <f t="shared" si="60"/>
        <v>管理机关（专业管理）专家</v>
      </c>
      <c r="C240" s="73" t="s">
        <v>582</v>
      </c>
      <c r="D240" s="73">
        <v>24</v>
      </c>
    </row>
    <row r="241" spans="1:4" x14ac:dyDescent="0.2">
      <c r="A241" s="3" t="s">
        <v>621</v>
      </c>
      <c r="B241" s="71" t="s">
        <v>614</v>
      </c>
      <c r="C241" s="73" t="s">
        <v>583</v>
      </c>
      <c r="D241" s="73">
        <v>16</v>
      </c>
    </row>
    <row r="242" spans="1:4" x14ac:dyDescent="0.2">
      <c r="A242" s="3" t="s">
        <v>621</v>
      </c>
      <c r="B242" s="71" t="str">
        <f t="shared" ref="B242:B245" si="61">B241</f>
        <v>采服中心中层副职</v>
      </c>
      <c r="C242" s="73" t="s">
        <v>584</v>
      </c>
      <c r="D242" s="73">
        <v>20</v>
      </c>
    </row>
    <row r="243" spans="1:4" x14ac:dyDescent="0.2">
      <c r="A243" s="3" t="s">
        <v>621</v>
      </c>
      <c r="B243" s="71" t="str">
        <f t="shared" si="61"/>
        <v>采服中心中层副职</v>
      </c>
      <c r="C243" s="73" t="s">
        <v>580</v>
      </c>
      <c r="D243" s="74" t="s">
        <v>620</v>
      </c>
    </row>
    <row r="244" spans="1:4" x14ac:dyDescent="0.2">
      <c r="A244" s="3" t="s">
        <v>621</v>
      </c>
      <c r="B244" s="71" t="str">
        <f t="shared" si="61"/>
        <v>采服中心中层副职</v>
      </c>
      <c r="C244" s="73" t="s">
        <v>581</v>
      </c>
      <c r="D244" s="73">
        <v>28</v>
      </c>
    </row>
    <row r="245" spans="1:4" x14ac:dyDescent="0.2">
      <c r="A245" s="3" t="s">
        <v>621</v>
      </c>
      <c r="B245" s="71" t="str">
        <f t="shared" si="61"/>
        <v>采服中心中层副职</v>
      </c>
      <c r="C245" s="73" t="s">
        <v>582</v>
      </c>
      <c r="D245" s="74" t="s">
        <v>620</v>
      </c>
    </row>
    <row r="246" spans="1:4" x14ac:dyDescent="0.2">
      <c r="A246" s="3" t="s">
        <v>621</v>
      </c>
      <c r="B246" s="71" t="s">
        <v>615</v>
      </c>
      <c r="C246" s="73" t="s">
        <v>583</v>
      </c>
      <c r="D246" s="73">
        <v>16</v>
      </c>
    </row>
    <row r="247" spans="1:4" x14ac:dyDescent="0.2">
      <c r="A247" s="3" t="s">
        <v>621</v>
      </c>
      <c r="B247" s="71" t="str">
        <f t="shared" ref="B247:B250" si="62">B246</f>
        <v>监督中心中层副职</v>
      </c>
      <c r="C247" s="73" t="s">
        <v>584</v>
      </c>
      <c r="D247" s="73">
        <v>20</v>
      </c>
    </row>
    <row r="248" spans="1:4" x14ac:dyDescent="0.2">
      <c r="A248" s="3" t="s">
        <v>621</v>
      </c>
      <c r="B248" s="71" t="str">
        <f t="shared" si="62"/>
        <v>监督中心中层副职</v>
      </c>
      <c r="C248" s="73" t="s">
        <v>580</v>
      </c>
      <c r="D248" s="74" t="s">
        <v>620</v>
      </c>
    </row>
    <row r="249" spans="1:4" x14ac:dyDescent="0.2">
      <c r="A249" s="3" t="s">
        <v>621</v>
      </c>
      <c r="B249" s="71" t="str">
        <f t="shared" si="62"/>
        <v>监督中心中层副职</v>
      </c>
      <c r="C249" s="73" t="s">
        <v>581</v>
      </c>
      <c r="D249" s="73">
        <v>28</v>
      </c>
    </row>
    <row r="250" spans="1:4" x14ac:dyDescent="0.2">
      <c r="A250" s="3" t="s">
        <v>621</v>
      </c>
      <c r="B250" s="71" t="str">
        <f t="shared" si="62"/>
        <v>监督中心中层副职</v>
      </c>
      <c r="C250" s="73" t="s">
        <v>582</v>
      </c>
      <c r="D250" s="74" t="s">
        <v>620</v>
      </c>
    </row>
    <row r="251" spans="1:4" x14ac:dyDescent="0.2">
      <c r="A251" s="3" t="s">
        <v>640</v>
      </c>
      <c r="B251" s="71" t="s">
        <v>622</v>
      </c>
      <c r="C251" s="3" t="s">
        <v>634</v>
      </c>
      <c r="D251" s="3">
        <v>5</v>
      </c>
    </row>
    <row r="252" spans="1:4" x14ac:dyDescent="0.2">
      <c r="A252" s="3" t="s">
        <v>640</v>
      </c>
      <c r="B252" s="71" t="s">
        <v>589</v>
      </c>
      <c r="C252" s="3" t="s">
        <v>634</v>
      </c>
      <c r="D252" s="3">
        <v>5</v>
      </c>
    </row>
    <row r="253" spans="1:4" x14ac:dyDescent="0.2">
      <c r="A253" s="3" t="s">
        <v>640</v>
      </c>
      <c r="B253" s="75" t="s">
        <v>623</v>
      </c>
      <c r="C253" s="3" t="s">
        <v>635</v>
      </c>
      <c r="D253" s="3">
        <v>25</v>
      </c>
    </row>
    <row r="254" spans="1:4" x14ac:dyDescent="0.2">
      <c r="A254" s="3" t="s">
        <v>640</v>
      </c>
      <c r="B254" s="71" t="str">
        <f t="shared" ref="B254:B255" si="63">B253</f>
        <v>物资供应中心骨干（从事采购管理、企业管理）</v>
      </c>
      <c r="C254" s="3" t="s">
        <v>636</v>
      </c>
      <c r="D254" s="3">
        <v>20</v>
      </c>
    </row>
    <row r="255" spans="1:4" x14ac:dyDescent="0.2">
      <c r="A255" s="3" t="s">
        <v>640</v>
      </c>
      <c r="B255" s="71" t="str">
        <f t="shared" si="63"/>
        <v>物资供应中心骨干（从事采购管理、企业管理）</v>
      </c>
      <c r="C255" s="3" t="s">
        <v>637</v>
      </c>
      <c r="D255" s="3">
        <v>15</v>
      </c>
    </row>
    <row r="256" spans="1:4" x14ac:dyDescent="0.2">
      <c r="A256" s="3" t="s">
        <v>640</v>
      </c>
      <c r="B256" s="71" t="s">
        <v>624</v>
      </c>
      <c r="C256" s="3" t="s">
        <v>635</v>
      </c>
      <c r="D256" s="3">
        <v>20</v>
      </c>
    </row>
    <row r="257" spans="1:4" x14ac:dyDescent="0.2">
      <c r="A257" s="3" t="s">
        <v>640</v>
      </c>
      <c r="B257" s="71" t="str">
        <f t="shared" ref="B257:B258" si="64">B256</f>
        <v>物资供应中心骨干（其他）</v>
      </c>
      <c r="C257" s="3" t="s">
        <v>636</v>
      </c>
      <c r="D257" s="3">
        <v>15</v>
      </c>
    </row>
    <row r="258" spans="1:4" x14ac:dyDescent="0.2">
      <c r="A258" s="3" t="s">
        <v>640</v>
      </c>
      <c r="B258" s="71" t="str">
        <f t="shared" si="64"/>
        <v>物资供应中心骨干（其他）</v>
      </c>
      <c r="C258" s="3" t="s">
        <v>637</v>
      </c>
      <c r="D258" s="3">
        <v>10</v>
      </c>
    </row>
    <row r="259" spans="1:4" x14ac:dyDescent="0.2">
      <c r="A259" s="3" t="s">
        <v>640</v>
      </c>
      <c r="B259" s="71" t="s">
        <v>625</v>
      </c>
      <c r="C259" s="3" t="s">
        <v>634</v>
      </c>
      <c r="D259" s="3">
        <v>30</v>
      </c>
    </row>
    <row r="260" spans="1:4" x14ac:dyDescent="0.2">
      <c r="A260" s="3" t="s">
        <v>640</v>
      </c>
      <c r="B260" s="71" t="str">
        <f>B259</f>
        <v>物资供应中心基层副职（从事采购管理、企业管理）</v>
      </c>
      <c r="C260" s="3" t="s">
        <v>637</v>
      </c>
      <c r="D260" s="3">
        <v>25</v>
      </c>
    </row>
    <row r="261" spans="1:4" x14ac:dyDescent="0.2">
      <c r="A261" s="3" t="s">
        <v>640</v>
      </c>
      <c r="B261" s="75" t="s">
        <v>626</v>
      </c>
      <c r="C261" s="3" t="s">
        <v>634</v>
      </c>
      <c r="D261" s="3">
        <v>25</v>
      </c>
    </row>
    <row r="262" spans="1:4" x14ac:dyDescent="0.2">
      <c r="A262" s="3" t="s">
        <v>640</v>
      </c>
      <c r="B262" s="71" t="str">
        <f>B261</f>
        <v>物资供应中心基层副职（其他）</v>
      </c>
      <c r="C262" s="3" t="s">
        <v>637</v>
      </c>
      <c r="D262" s="3">
        <v>20</v>
      </c>
    </row>
    <row r="263" spans="1:4" x14ac:dyDescent="0.2">
      <c r="A263" s="3" t="s">
        <v>640</v>
      </c>
      <c r="B263" s="71" t="s">
        <v>627</v>
      </c>
      <c r="C263" s="3" t="s">
        <v>635</v>
      </c>
      <c r="D263" s="3">
        <v>35</v>
      </c>
    </row>
    <row r="264" spans="1:4" x14ac:dyDescent="0.2">
      <c r="A264" s="3" t="s">
        <v>640</v>
      </c>
      <c r="B264" s="71" t="str">
        <f t="shared" ref="B264:B265" si="65">B263</f>
        <v>物资供应中心基层正职（从事采购管理、企业管理）</v>
      </c>
      <c r="C264" s="3" t="s">
        <v>636</v>
      </c>
      <c r="D264" s="3">
        <v>30</v>
      </c>
    </row>
    <row r="265" spans="1:4" x14ac:dyDescent="0.2">
      <c r="A265" s="3" t="s">
        <v>640</v>
      </c>
      <c r="B265" s="71" t="str">
        <f t="shared" si="65"/>
        <v>物资供应中心基层正职（从事采购管理、企业管理）</v>
      </c>
      <c r="C265" s="3" t="s">
        <v>637</v>
      </c>
      <c r="D265" s="3">
        <v>25</v>
      </c>
    </row>
    <row r="266" spans="1:4" x14ac:dyDescent="0.2">
      <c r="A266" s="3" t="s">
        <v>640</v>
      </c>
      <c r="B266" s="71" t="s">
        <v>628</v>
      </c>
      <c r="C266" s="3" t="s">
        <v>635</v>
      </c>
      <c r="D266" s="3">
        <v>30</v>
      </c>
    </row>
    <row r="267" spans="1:4" x14ac:dyDescent="0.2">
      <c r="A267" s="3" t="s">
        <v>640</v>
      </c>
      <c r="B267" s="71" t="str">
        <f t="shared" ref="B267:B268" si="66">B266</f>
        <v>物资供应中心基层正职（其他）</v>
      </c>
      <c r="C267" s="3" t="s">
        <v>636</v>
      </c>
      <c r="D267" s="3">
        <v>25</v>
      </c>
    </row>
    <row r="268" spans="1:4" x14ac:dyDescent="0.2">
      <c r="A268" s="3" t="s">
        <v>640</v>
      </c>
      <c r="B268" s="71" t="str">
        <f t="shared" si="66"/>
        <v>物资供应中心基层正职（其他）</v>
      </c>
      <c r="C268" s="3" t="s">
        <v>637</v>
      </c>
      <c r="D268" s="3">
        <v>20</v>
      </c>
    </row>
    <row r="269" spans="1:4" x14ac:dyDescent="0.2">
      <c r="A269" s="3" t="s">
        <v>640</v>
      </c>
      <c r="B269" s="75" t="s">
        <v>629</v>
      </c>
      <c r="C269" s="3" t="s">
        <v>638</v>
      </c>
      <c r="D269" s="3">
        <v>40</v>
      </c>
    </row>
    <row r="270" spans="1:4" x14ac:dyDescent="0.2">
      <c r="A270" s="3" t="s">
        <v>640</v>
      </c>
      <c r="B270" s="71" t="str">
        <f t="shared" ref="B270:B271" si="67">B269</f>
        <v>物资供应中心中层副职</v>
      </c>
      <c r="C270" s="3" t="s">
        <v>639</v>
      </c>
      <c r="D270" s="3">
        <v>35</v>
      </c>
    </row>
    <row r="271" spans="1:4" x14ac:dyDescent="0.2">
      <c r="A271" s="3" t="s">
        <v>640</v>
      </c>
      <c r="B271" s="71" t="str">
        <f t="shared" si="67"/>
        <v>物资供应中心中层副职</v>
      </c>
      <c r="C271" s="3" t="s">
        <v>637</v>
      </c>
      <c r="D271" s="3">
        <v>30</v>
      </c>
    </row>
    <row r="272" spans="1:4" x14ac:dyDescent="0.2">
      <c r="A272" s="3" t="s">
        <v>640</v>
      </c>
      <c r="B272" s="71" t="s">
        <v>630</v>
      </c>
      <c r="C272" s="3" t="s">
        <v>638</v>
      </c>
      <c r="D272" s="3">
        <v>45</v>
      </c>
    </row>
    <row r="273" spans="1:4" x14ac:dyDescent="0.2">
      <c r="A273" s="3" t="s">
        <v>640</v>
      </c>
      <c r="B273" s="71" t="str">
        <f t="shared" ref="B273:B274" si="68">B272</f>
        <v>油气生产单位中层副职</v>
      </c>
      <c r="C273" s="3" t="s">
        <v>639</v>
      </c>
      <c r="D273" s="3">
        <v>40</v>
      </c>
    </row>
    <row r="274" spans="1:4" x14ac:dyDescent="0.2">
      <c r="A274" s="3" t="s">
        <v>640</v>
      </c>
      <c r="B274" s="71" t="str">
        <f t="shared" si="68"/>
        <v>油气生产单位中层副职</v>
      </c>
      <c r="C274" s="3" t="s">
        <v>637</v>
      </c>
      <c r="D274" s="3">
        <v>35</v>
      </c>
    </row>
    <row r="275" spans="1:4" x14ac:dyDescent="0.2">
      <c r="A275" s="3" t="s">
        <v>640</v>
      </c>
      <c r="B275" s="71" t="s">
        <v>632</v>
      </c>
      <c r="C275" s="3" t="s">
        <v>638</v>
      </c>
      <c r="D275" s="3">
        <v>36</v>
      </c>
    </row>
    <row r="276" spans="1:4" x14ac:dyDescent="0.2">
      <c r="A276" s="3" t="s">
        <v>640</v>
      </c>
      <c r="B276" s="71" t="str">
        <f t="shared" ref="B276:B277" si="69">B275</f>
        <v>油气生产单位专家</v>
      </c>
      <c r="C276" s="3" t="s">
        <v>639</v>
      </c>
      <c r="D276" s="3">
        <v>32</v>
      </c>
    </row>
    <row r="277" spans="1:4" x14ac:dyDescent="0.2">
      <c r="A277" s="3" t="s">
        <v>640</v>
      </c>
      <c r="B277" s="71" t="str">
        <f t="shared" si="69"/>
        <v>油气生产单位专家</v>
      </c>
      <c r="C277" s="3" t="s">
        <v>637</v>
      </c>
      <c r="D277" s="3">
        <v>28</v>
      </c>
    </row>
    <row r="278" spans="1:4" x14ac:dyDescent="0.2">
      <c r="A278" s="3" t="s">
        <v>640</v>
      </c>
      <c r="B278" s="71" t="s">
        <v>631</v>
      </c>
      <c r="C278" s="3" t="s">
        <v>638</v>
      </c>
      <c r="D278" s="3">
        <v>40</v>
      </c>
    </row>
    <row r="279" spans="1:4" x14ac:dyDescent="0.2">
      <c r="A279" s="3" t="s">
        <v>640</v>
      </c>
      <c r="B279" s="71" t="str">
        <f t="shared" ref="B279:B280" si="70">B278</f>
        <v>科研生产单位中层副职</v>
      </c>
      <c r="C279" s="3" t="s">
        <v>639</v>
      </c>
      <c r="D279" s="3">
        <v>35</v>
      </c>
    </row>
    <row r="280" spans="1:4" x14ac:dyDescent="0.2">
      <c r="A280" s="3" t="s">
        <v>640</v>
      </c>
      <c r="B280" s="71" t="str">
        <f t="shared" si="70"/>
        <v>科研生产单位中层副职</v>
      </c>
      <c r="C280" s="3" t="s">
        <v>637</v>
      </c>
      <c r="D280" s="3">
        <v>30</v>
      </c>
    </row>
    <row r="281" spans="1:4" x14ac:dyDescent="0.2">
      <c r="A281" s="3" t="s">
        <v>640</v>
      </c>
      <c r="B281" s="71" t="s">
        <v>633</v>
      </c>
      <c r="C281" s="3" t="s">
        <v>638</v>
      </c>
      <c r="D281" s="3">
        <v>32</v>
      </c>
    </row>
    <row r="282" spans="1:4" x14ac:dyDescent="0.2">
      <c r="A282" s="3" t="s">
        <v>640</v>
      </c>
      <c r="B282" s="71" t="str">
        <f t="shared" ref="B282:B283" si="71">B281</f>
        <v>科研生产单位专家</v>
      </c>
      <c r="C282" s="3" t="s">
        <v>639</v>
      </c>
      <c r="D282" s="3">
        <v>28</v>
      </c>
    </row>
    <row r="283" spans="1:4" x14ac:dyDescent="0.2">
      <c r="A283" s="3" t="s">
        <v>640</v>
      </c>
      <c r="B283" s="71" t="str">
        <f t="shared" si="71"/>
        <v>科研生产单位专家</v>
      </c>
      <c r="C283" s="3" t="s">
        <v>637</v>
      </c>
      <c r="D283" s="3">
        <v>24</v>
      </c>
    </row>
    <row r="284" spans="1:4" x14ac:dyDescent="0.2">
      <c r="A284" s="3" t="s">
        <v>640</v>
      </c>
      <c r="B284" s="71" t="s">
        <v>600</v>
      </c>
      <c r="C284" s="3" t="s">
        <v>638</v>
      </c>
      <c r="D284" s="3">
        <v>40</v>
      </c>
    </row>
    <row r="285" spans="1:4" x14ac:dyDescent="0.2">
      <c r="A285" s="3" t="s">
        <v>640</v>
      </c>
      <c r="B285" s="71" t="str">
        <f t="shared" ref="B285:B286" si="72">B284</f>
        <v>管理机关（专业管理）中层副职</v>
      </c>
      <c r="C285" s="3" t="s">
        <v>639</v>
      </c>
      <c r="D285" s="3">
        <v>35</v>
      </c>
    </row>
    <row r="286" spans="1:4" x14ac:dyDescent="0.2">
      <c r="A286" s="3" t="s">
        <v>640</v>
      </c>
      <c r="B286" s="71" t="str">
        <f t="shared" si="72"/>
        <v>管理机关（专业管理）中层副职</v>
      </c>
      <c r="C286" s="3" t="s">
        <v>637</v>
      </c>
      <c r="D286" s="3">
        <v>30</v>
      </c>
    </row>
    <row r="287" spans="1:4" x14ac:dyDescent="0.2">
      <c r="A287" s="3" t="s">
        <v>640</v>
      </c>
      <c r="B287" s="71" t="s">
        <v>613</v>
      </c>
      <c r="C287" s="3" t="s">
        <v>638</v>
      </c>
      <c r="D287" s="3">
        <v>32</v>
      </c>
    </row>
    <row r="288" spans="1:4" x14ac:dyDescent="0.2">
      <c r="A288" s="3" t="s">
        <v>640</v>
      </c>
      <c r="B288" s="71" t="str">
        <f t="shared" ref="B288:B289" si="73">B287</f>
        <v>管理机关（专业管理）专家</v>
      </c>
      <c r="C288" s="3" t="s">
        <v>639</v>
      </c>
      <c r="D288" s="3">
        <v>28</v>
      </c>
    </row>
    <row r="289" spans="1:4" x14ac:dyDescent="0.2">
      <c r="A289" s="3" t="s">
        <v>640</v>
      </c>
      <c r="B289" s="71" t="str">
        <f t="shared" si="73"/>
        <v>管理机关（专业管理）专家</v>
      </c>
      <c r="C289" s="3" t="s">
        <v>637</v>
      </c>
      <c r="D289" s="3">
        <v>24</v>
      </c>
    </row>
    <row r="290" spans="1:4" x14ac:dyDescent="0.2">
      <c r="A290" s="3" t="s">
        <v>641</v>
      </c>
      <c r="B290" s="71" t="s">
        <v>642</v>
      </c>
      <c r="C290" s="3" t="s">
        <v>634</v>
      </c>
      <c r="D290" s="3">
        <v>5</v>
      </c>
    </row>
    <row r="291" spans="1:4" x14ac:dyDescent="0.2">
      <c r="A291" s="3" t="s">
        <v>641</v>
      </c>
      <c r="B291" s="4" t="s">
        <v>643</v>
      </c>
      <c r="C291" s="3" t="s">
        <v>635</v>
      </c>
      <c r="D291" s="3">
        <v>20</v>
      </c>
    </row>
    <row r="292" spans="1:4" x14ac:dyDescent="0.2">
      <c r="A292" s="3" t="s">
        <v>641</v>
      </c>
      <c r="B292" s="71" t="str">
        <f t="shared" ref="B292:B293" si="74">B291</f>
        <v>油气销售中心骨干</v>
      </c>
      <c r="C292" s="3" t="s">
        <v>636</v>
      </c>
      <c r="D292" s="3">
        <v>15</v>
      </c>
    </row>
    <row r="293" spans="1:4" x14ac:dyDescent="0.2">
      <c r="A293" s="3" t="s">
        <v>641</v>
      </c>
      <c r="B293" s="71" t="str">
        <f t="shared" si="74"/>
        <v>油气销售中心骨干</v>
      </c>
      <c r="C293" s="3" t="s">
        <v>637</v>
      </c>
      <c r="D293" s="3">
        <v>10</v>
      </c>
    </row>
    <row r="294" spans="1:4" x14ac:dyDescent="0.2">
      <c r="A294" s="3" t="s">
        <v>641</v>
      </c>
      <c r="B294" s="12" t="s">
        <v>644</v>
      </c>
      <c r="C294" s="3" t="s">
        <v>634</v>
      </c>
      <c r="D294" s="3">
        <v>25</v>
      </c>
    </row>
    <row r="295" spans="1:4" x14ac:dyDescent="0.2">
      <c r="A295" s="3" t="s">
        <v>641</v>
      </c>
      <c r="B295" s="71" t="str">
        <f>B294</f>
        <v>油气销售中心基层副职</v>
      </c>
      <c r="C295" s="3" t="s">
        <v>637</v>
      </c>
      <c r="D295" s="3">
        <v>20</v>
      </c>
    </row>
    <row r="296" spans="1:4" x14ac:dyDescent="0.2">
      <c r="A296" s="3" t="s">
        <v>641</v>
      </c>
      <c r="B296" s="12" t="s">
        <v>645</v>
      </c>
      <c r="C296" s="3" t="s">
        <v>635</v>
      </c>
      <c r="D296" s="3">
        <v>30</v>
      </c>
    </row>
    <row r="297" spans="1:4" x14ac:dyDescent="0.2">
      <c r="A297" s="3" t="s">
        <v>641</v>
      </c>
      <c r="B297" s="71" t="str">
        <f t="shared" ref="B297:B298" si="75">B296</f>
        <v>油气销售中心基层正职</v>
      </c>
      <c r="C297" s="3" t="s">
        <v>636</v>
      </c>
      <c r="D297" s="3">
        <v>25</v>
      </c>
    </row>
    <row r="298" spans="1:4" x14ac:dyDescent="0.2">
      <c r="A298" s="3" t="s">
        <v>641</v>
      </c>
      <c r="B298" s="71" t="str">
        <f t="shared" si="75"/>
        <v>油气销售中心基层正职</v>
      </c>
      <c r="C298" s="3" t="s">
        <v>637</v>
      </c>
      <c r="D298" s="3">
        <v>20</v>
      </c>
    </row>
    <row r="299" spans="1:4" x14ac:dyDescent="0.2">
      <c r="A299" s="3" t="s">
        <v>641</v>
      </c>
      <c r="B299" s="4" t="s">
        <v>646</v>
      </c>
      <c r="C299" s="3" t="s">
        <v>638</v>
      </c>
      <c r="D299" s="3">
        <v>35</v>
      </c>
    </row>
    <row r="300" spans="1:4" x14ac:dyDescent="0.2">
      <c r="A300" s="3" t="s">
        <v>641</v>
      </c>
      <c r="B300" s="71" t="str">
        <f t="shared" ref="B300:B301" si="76">B299</f>
        <v>油气销售中心中层副职</v>
      </c>
      <c r="C300" s="3" t="s">
        <v>639</v>
      </c>
      <c r="D300" s="3">
        <v>30</v>
      </c>
    </row>
    <row r="301" spans="1:4" x14ac:dyDescent="0.2">
      <c r="A301" s="3" t="s">
        <v>641</v>
      </c>
      <c r="B301" s="71" t="str">
        <f t="shared" si="76"/>
        <v>油气销售中心中层副职</v>
      </c>
      <c r="C301" s="3" t="s">
        <v>637</v>
      </c>
      <c r="D301" s="3">
        <v>25</v>
      </c>
    </row>
    <row r="302" spans="1:4" x14ac:dyDescent="0.2">
      <c r="A302" s="3" t="s">
        <v>641</v>
      </c>
      <c r="B302" s="71" t="s">
        <v>630</v>
      </c>
      <c r="C302" s="3" t="s">
        <v>638</v>
      </c>
      <c r="D302" s="3">
        <v>40</v>
      </c>
    </row>
    <row r="303" spans="1:4" x14ac:dyDescent="0.2">
      <c r="A303" s="3" t="s">
        <v>641</v>
      </c>
      <c r="B303" s="71" t="str">
        <f t="shared" ref="B303:B304" si="77">B302</f>
        <v>油气生产单位中层副职</v>
      </c>
      <c r="C303" s="3" t="s">
        <v>639</v>
      </c>
      <c r="D303" s="3">
        <v>35</v>
      </c>
    </row>
    <row r="304" spans="1:4" x14ac:dyDescent="0.2">
      <c r="A304" s="3" t="s">
        <v>641</v>
      </c>
      <c r="B304" s="71" t="str">
        <f t="shared" si="77"/>
        <v>油气生产单位中层副职</v>
      </c>
      <c r="C304" s="3" t="s">
        <v>637</v>
      </c>
      <c r="D304" s="3">
        <v>30</v>
      </c>
    </row>
    <row r="305" spans="1:4" x14ac:dyDescent="0.2">
      <c r="A305" s="3" t="s">
        <v>641</v>
      </c>
      <c r="B305" s="71" t="s">
        <v>632</v>
      </c>
      <c r="C305" s="3" t="s">
        <v>638</v>
      </c>
      <c r="D305" s="3">
        <v>32</v>
      </c>
    </row>
    <row r="306" spans="1:4" x14ac:dyDescent="0.2">
      <c r="A306" s="3" t="s">
        <v>641</v>
      </c>
      <c r="B306" s="71" t="str">
        <f t="shared" ref="B306:B307" si="78">B305</f>
        <v>油气生产单位专家</v>
      </c>
      <c r="C306" s="3" t="s">
        <v>639</v>
      </c>
      <c r="D306" s="3">
        <v>28</v>
      </c>
    </row>
    <row r="307" spans="1:4" x14ac:dyDescent="0.2">
      <c r="A307" s="3" t="s">
        <v>641</v>
      </c>
      <c r="B307" s="71" t="str">
        <f t="shared" si="78"/>
        <v>油气生产单位专家</v>
      </c>
      <c r="C307" s="3" t="s">
        <v>637</v>
      </c>
      <c r="D307" s="3">
        <v>24</v>
      </c>
    </row>
    <row r="308" spans="1:4" x14ac:dyDescent="0.2">
      <c r="A308" s="3" t="s">
        <v>641</v>
      </c>
      <c r="B308" s="71" t="s">
        <v>631</v>
      </c>
      <c r="C308" s="3" t="s">
        <v>638</v>
      </c>
      <c r="D308" s="3">
        <v>35</v>
      </c>
    </row>
    <row r="309" spans="1:4" x14ac:dyDescent="0.2">
      <c r="A309" s="3" t="s">
        <v>641</v>
      </c>
      <c r="B309" s="71" t="str">
        <f t="shared" ref="B309:B310" si="79">B308</f>
        <v>科研生产单位中层副职</v>
      </c>
      <c r="C309" s="3" t="s">
        <v>639</v>
      </c>
      <c r="D309" s="3">
        <v>30</v>
      </c>
    </row>
    <row r="310" spans="1:4" x14ac:dyDescent="0.2">
      <c r="A310" s="3" t="s">
        <v>641</v>
      </c>
      <c r="B310" s="71" t="str">
        <f t="shared" si="79"/>
        <v>科研生产单位中层副职</v>
      </c>
      <c r="C310" s="3" t="s">
        <v>637</v>
      </c>
      <c r="D310" s="3">
        <v>25</v>
      </c>
    </row>
    <row r="311" spans="1:4" x14ac:dyDescent="0.2">
      <c r="A311" s="3" t="s">
        <v>641</v>
      </c>
      <c r="B311" s="71" t="s">
        <v>633</v>
      </c>
      <c r="C311" s="3" t="s">
        <v>638</v>
      </c>
      <c r="D311" s="3">
        <v>28</v>
      </c>
    </row>
    <row r="312" spans="1:4" x14ac:dyDescent="0.2">
      <c r="A312" s="3" t="s">
        <v>641</v>
      </c>
      <c r="B312" s="71" t="str">
        <f t="shared" ref="B312:B313" si="80">B311</f>
        <v>科研生产单位专家</v>
      </c>
      <c r="C312" s="3" t="s">
        <v>639</v>
      </c>
      <c r="D312" s="3">
        <v>24</v>
      </c>
    </row>
    <row r="313" spans="1:4" x14ac:dyDescent="0.2">
      <c r="A313" s="3" t="s">
        <v>641</v>
      </c>
      <c r="B313" s="71" t="str">
        <f t="shared" si="80"/>
        <v>科研生产单位专家</v>
      </c>
      <c r="C313" s="3" t="s">
        <v>637</v>
      </c>
      <c r="D313" s="3">
        <v>20</v>
      </c>
    </row>
    <row r="314" spans="1:4" x14ac:dyDescent="0.2">
      <c r="A314" s="3" t="s">
        <v>641</v>
      </c>
      <c r="B314" s="71" t="s">
        <v>600</v>
      </c>
      <c r="C314" s="3" t="s">
        <v>638</v>
      </c>
      <c r="D314" s="3">
        <v>35</v>
      </c>
    </row>
    <row r="315" spans="1:4" x14ac:dyDescent="0.2">
      <c r="A315" s="3" t="s">
        <v>641</v>
      </c>
      <c r="B315" s="71" t="str">
        <f t="shared" ref="B315:B316" si="81">B314</f>
        <v>管理机关（专业管理）中层副职</v>
      </c>
      <c r="C315" s="3" t="s">
        <v>639</v>
      </c>
      <c r="D315" s="3">
        <v>30</v>
      </c>
    </row>
    <row r="316" spans="1:4" x14ac:dyDescent="0.2">
      <c r="A316" s="3" t="s">
        <v>641</v>
      </c>
      <c r="B316" s="71" t="str">
        <f t="shared" si="81"/>
        <v>管理机关（专业管理）中层副职</v>
      </c>
      <c r="C316" s="3" t="s">
        <v>637</v>
      </c>
      <c r="D316" s="3">
        <v>25</v>
      </c>
    </row>
    <row r="317" spans="1:4" x14ac:dyDescent="0.2">
      <c r="A317" s="3" t="s">
        <v>641</v>
      </c>
      <c r="B317" s="71" t="s">
        <v>613</v>
      </c>
      <c r="C317" s="3" t="s">
        <v>638</v>
      </c>
      <c r="D317" s="3">
        <v>28</v>
      </c>
    </row>
    <row r="318" spans="1:4" x14ac:dyDescent="0.2">
      <c r="A318" s="3" t="s">
        <v>641</v>
      </c>
      <c r="B318" s="71" t="str">
        <f t="shared" ref="B318:B319" si="82">B317</f>
        <v>管理机关（专业管理）专家</v>
      </c>
      <c r="C318" s="3" t="s">
        <v>639</v>
      </c>
      <c r="D318" s="3">
        <v>24</v>
      </c>
    </row>
    <row r="319" spans="1:4" x14ac:dyDescent="0.2">
      <c r="A319" s="3" t="s">
        <v>641</v>
      </c>
      <c r="B319" s="71" t="str">
        <f t="shared" si="82"/>
        <v>管理机关（专业管理）专家</v>
      </c>
      <c r="C319" s="3" t="s">
        <v>637</v>
      </c>
      <c r="D319" s="3">
        <v>20</v>
      </c>
    </row>
    <row r="320" spans="1:4" x14ac:dyDescent="0.2">
      <c r="A320" s="3" t="s">
        <v>647</v>
      </c>
      <c r="B320" s="71" t="s">
        <v>652</v>
      </c>
      <c r="C320" s="3" t="s">
        <v>634</v>
      </c>
      <c r="D320" s="3">
        <v>5</v>
      </c>
    </row>
    <row r="321" spans="1:4" x14ac:dyDescent="0.2">
      <c r="A321" s="3" t="s">
        <v>647</v>
      </c>
      <c r="B321" s="71" t="s">
        <v>589</v>
      </c>
      <c r="C321" s="3" t="s">
        <v>634</v>
      </c>
      <c r="D321" s="3">
        <v>5</v>
      </c>
    </row>
    <row r="322" spans="1:4" ht="33" x14ac:dyDescent="0.2">
      <c r="A322" s="3" t="s">
        <v>647</v>
      </c>
      <c r="B322" s="75" t="s">
        <v>653</v>
      </c>
      <c r="C322" s="3" t="s">
        <v>635</v>
      </c>
      <c r="D322" s="3">
        <v>25</v>
      </c>
    </row>
    <row r="323" spans="1:4" x14ac:dyDescent="0.2">
      <c r="A323" s="3" t="s">
        <v>647</v>
      </c>
      <c r="B323" s="71" t="str">
        <f t="shared" ref="B323:B324" si="83">B322</f>
        <v>石油工程监督中心骨干（从事石油工程作业监督）</v>
      </c>
      <c r="C323" s="3" t="s">
        <v>636</v>
      </c>
      <c r="D323" s="3">
        <v>20</v>
      </c>
    </row>
    <row r="324" spans="1:4" x14ac:dyDescent="0.2">
      <c r="A324" s="3" t="s">
        <v>647</v>
      </c>
      <c r="B324" s="71" t="str">
        <f t="shared" si="83"/>
        <v>石油工程监督中心骨干（从事石油工程作业监督）</v>
      </c>
      <c r="C324" s="3" t="s">
        <v>637</v>
      </c>
      <c r="D324" s="3">
        <v>15</v>
      </c>
    </row>
    <row r="325" spans="1:4" x14ac:dyDescent="0.2">
      <c r="A325" s="3" t="s">
        <v>647</v>
      </c>
      <c r="B325" s="71" t="s">
        <v>648</v>
      </c>
      <c r="C325" s="3" t="s">
        <v>635</v>
      </c>
      <c r="D325" s="3">
        <v>20</v>
      </c>
    </row>
    <row r="326" spans="1:4" x14ac:dyDescent="0.2">
      <c r="A326" s="3" t="s">
        <v>647</v>
      </c>
      <c r="B326" s="71" t="str">
        <f t="shared" ref="B326:B327" si="84">B325</f>
        <v>石油工程监督中心骨干（其他）</v>
      </c>
      <c r="C326" s="3" t="s">
        <v>636</v>
      </c>
      <c r="D326" s="3">
        <v>15</v>
      </c>
    </row>
    <row r="327" spans="1:4" x14ac:dyDescent="0.2">
      <c r="A327" s="3" t="s">
        <v>647</v>
      </c>
      <c r="B327" s="71" t="str">
        <f t="shared" si="84"/>
        <v>石油工程监督中心骨干（其他）</v>
      </c>
      <c r="C327" s="3" t="s">
        <v>637</v>
      </c>
      <c r="D327" s="3">
        <v>10</v>
      </c>
    </row>
    <row r="328" spans="1:4" x14ac:dyDescent="0.2">
      <c r="A328" s="3" t="s">
        <v>647</v>
      </c>
      <c r="B328" s="71" t="s">
        <v>654</v>
      </c>
      <c r="C328" s="3" t="s">
        <v>634</v>
      </c>
      <c r="D328" s="3">
        <v>30</v>
      </c>
    </row>
    <row r="329" spans="1:4" x14ac:dyDescent="0.2">
      <c r="A329" s="3" t="s">
        <v>647</v>
      </c>
      <c r="B329" s="71" t="str">
        <f>B328</f>
        <v>石油工程监督中心基层副职（从事石油工程作业监督）</v>
      </c>
      <c r="C329" s="3" t="s">
        <v>637</v>
      </c>
      <c r="D329" s="3">
        <v>25</v>
      </c>
    </row>
    <row r="330" spans="1:4" x14ac:dyDescent="0.2">
      <c r="A330" s="3" t="s">
        <v>647</v>
      </c>
      <c r="B330" s="75" t="s">
        <v>649</v>
      </c>
      <c r="C330" s="3" t="s">
        <v>634</v>
      </c>
      <c r="D330" s="3">
        <v>25</v>
      </c>
    </row>
    <row r="331" spans="1:4" x14ac:dyDescent="0.2">
      <c r="A331" s="3" t="s">
        <v>647</v>
      </c>
      <c r="B331" s="71" t="str">
        <f>B330</f>
        <v>石油工程监督中心基层副职（其他）</v>
      </c>
      <c r="C331" s="3" t="s">
        <v>637</v>
      </c>
      <c r="D331" s="3">
        <v>20</v>
      </c>
    </row>
    <row r="332" spans="1:4" x14ac:dyDescent="0.2">
      <c r="A332" s="3" t="s">
        <v>647</v>
      </c>
      <c r="B332" s="71" t="s">
        <v>655</v>
      </c>
      <c r="C332" s="3" t="s">
        <v>635</v>
      </c>
      <c r="D332" s="3">
        <v>35</v>
      </c>
    </row>
    <row r="333" spans="1:4" x14ac:dyDescent="0.2">
      <c r="A333" s="3" t="s">
        <v>647</v>
      </c>
      <c r="B333" s="71" t="str">
        <f t="shared" ref="B333:B334" si="85">B332</f>
        <v>石油工程监督中心基层正职（从事石油工程作业监督）</v>
      </c>
      <c r="C333" s="3" t="s">
        <v>636</v>
      </c>
      <c r="D333" s="3">
        <v>30</v>
      </c>
    </row>
    <row r="334" spans="1:4" x14ac:dyDescent="0.2">
      <c r="A334" s="3" t="s">
        <v>647</v>
      </c>
      <c r="B334" s="71" t="str">
        <f t="shared" si="85"/>
        <v>石油工程监督中心基层正职（从事石油工程作业监督）</v>
      </c>
      <c r="C334" s="3" t="s">
        <v>637</v>
      </c>
      <c r="D334" s="3">
        <v>25</v>
      </c>
    </row>
    <row r="335" spans="1:4" x14ac:dyDescent="0.2">
      <c r="A335" s="3" t="s">
        <v>647</v>
      </c>
      <c r="B335" s="71" t="s">
        <v>650</v>
      </c>
      <c r="C335" s="3" t="s">
        <v>635</v>
      </c>
      <c r="D335" s="3">
        <v>30</v>
      </c>
    </row>
    <row r="336" spans="1:4" x14ac:dyDescent="0.2">
      <c r="A336" s="3" t="s">
        <v>647</v>
      </c>
      <c r="B336" s="71" t="str">
        <f t="shared" ref="B336:B337" si="86">B335</f>
        <v>石油工程监督中心基层正职（其他）</v>
      </c>
      <c r="C336" s="3" t="s">
        <v>636</v>
      </c>
      <c r="D336" s="3">
        <v>25</v>
      </c>
    </row>
    <row r="337" spans="1:4" x14ac:dyDescent="0.2">
      <c r="A337" s="3" t="s">
        <v>647</v>
      </c>
      <c r="B337" s="71" t="str">
        <f t="shared" si="86"/>
        <v>石油工程监督中心基层正职（其他）</v>
      </c>
      <c r="C337" s="3" t="s">
        <v>637</v>
      </c>
      <c r="D337" s="3">
        <v>20</v>
      </c>
    </row>
    <row r="338" spans="1:4" x14ac:dyDescent="0.2">
      <c r="A338" s="3" t="s">
        <v>647</v>
      </c>
      <c r="B338" s="75" t="s">
        <v>651</v>
      </c>
      <c r="C338" s="3" t="s">
        <v>638</v>
      </c>
      <c r="D338" s="3">
        <v>40</v>
      </c>
    </row>
    <row r="339" spans="1:4" x14ac:dyDescent="0.2">
      <c r="A339" s="3" t="s">
        <v>647</v>
      </c>
      <c r="B339" s="71" t="str">
        <f t="shared" ref="B339:B340" si="87">B338</f>
        <v>石油工程监督中心中层副职</v>
      </c>
      <c r="C339" s="3" t="s">
        <v>639</v>
      </c>
      <c r="D339" s="3">
        <v>35</v>
      </c>
    </row>
    <row r="340" spans="1:4" x14ac:dyDescent="0.2">
      <c r="A340" s="3" t="s">
        <v>647</v>
      </c>
      <c r="B340" s="71" t="str">
        <f t="shared" si="87"/>
        <v>石油工程监督中心中层副职</v>
      </c>
      <c r="C340" s="3" t="s">
        <v>637</v>
      </c>
      <c r="D340" s="3">
        <v>30</v>
      </c>
    </row>
    <row r="341" spans="1:4" x14ac:dyDescent="0.2">
      <c r="A341" s="3" t="s">
        <v>647</v>
      </c>
      <c r="B341" s="71" t="s">
        <v>630</v>
      </c>
      <c r="C341" s="3" t="s">
        <v>638</v>
      </c>
      <c r="D341" s="3">
        <v>45</v>
      </c>
    </row>
    <row r="342" spans="1:4" x14ac:dyDescent="0.2">
      <c r="A342" s="3" t="s">
        <v>647</v>
      </c>
      <c r="B342" s="71" t="str">
        <f t="shared" ref="B342:B343" si="88">B341</f>
        <v>油气生产单位中层副职</v>
      </c>
      <c r="C342" s="3" t="s">
        <v>639</v>
      </c>
      <c r="D342" s="3">
        <v>40</v>
      </c>
    </row>
    <row r="343" spans="1:4" x14ac:dyDescent="0.2">
      <c r="A343" s="3" t="s">
        <v>647</v>
      </c>
      <c r="B343" s="71" t="str">
        <f t="shared" si="88"/>
        <v>油气生产单位中层副职</v>
      </c>
      <c r="C343" s="3" t="s">
        <v>637</v>
      </c>
      <c r="D343" s="3">
        <v>35</v>
      </c>
    </row>
    <row r="344" spans="1:4" x14ac:dyDescent="0.2">
      <c r="A344" s="3" t="s">
        <v>647</v>
      </c>
      <c r="B344" s="71" t="s">
        <v>632</v>
      </c>
      <c r="C344" s="3" t="s">
        <v>638</v>
      </c>
      <c r="D344" s="3">
        <v>36</v>
      </c>
    </row>
    <row r="345" spans="1:4" x14ac:dyDescent="0.2">
      <c r="A345" s="3" t="s">
        <v>647</v>
      </c>
      <c r="B345" s="71" t="str">
        <f t="shared" ref="B345:B346" si="89">B344</f>
        <v>油气生产单位专家</v>
      </c>
      <c r="C345" s="3" t="s">
        <v>639</v>
      </c>
      <c r="D345" s="3">
        <v>32</v>
      </c>
    </row>
    <row r="346" spans="1:4" x14ac:dyDescent="0.2">
      <c r="A346" s="3" t="s">
        <v>647</v>
      </c>
      <c r="B346" s="71" t="str">
        <f t="shared" si="89"/>
        <v>油气生产单位专家</v>
      </c>
      <c r="C346" s="3" t="s">
        <v>637</v>
      </c>
      <c r="D346" s="3">
        <v>28</v>
      </c>
    </row>
    <row r="347" spans="1:4" x14ac:dyDescent="0.2">
      <c r="A347" s="3" t="s">
        <v>647</v>
      </c>
      <c r="B347" s="71" t="s">
        <v>631</v>
      </c>
      <c r="C347" s="3" t="s">
        <v>638</v>
      </c>
      <c r="D347" s="3">
        <v>40</v>
      </c>
    </row>
    <row r="348" spans="1:4" x14ac:dyDescent="0.2">
      <c r="A348" s="3" t="s">
        <v>647</v>
      </c>
      <c r="B348" s="71" t="str">
        <f t="shared" ref="B348:B349" si="90">B347</f>
        <v>科研生产单位中层副职</v>
      </c>
      <c r="C348" s="3" t="s">
        <v>639</v>
      </c>
      <c r="D348" s="3">
        <v>35</v>
      </c>
    </row>
    <row r="349" spans="1:4" x14ac:dyDescent="0.2">
      <c r="A349" s="3" t="s">
        <v>647</v>
      </c>
      <c r="B349" s="71" t="str">
        <f t="shared" si="90"/>
        <v>科研生产单位中层副职</v>
      </c>
      <c r="C349" s="3" t="s">
        <v>637</v>
      </c>
      <c r="D349" s="3">
        <v>30</v>
      </c>
    </row>
    <row r="350" spans="1:4" x14ac:dyDescent="0.2">
      <c r="A350" s="3" t="s">
        <v>647</v>
      </c>
      <c r="B350" s="71" t="s">
        <v>633</v>
      </c>
      <c r="C350" s="3" t="s">
        <v>638</v>
      </c>
      <c r="D350" s="3">
        <v>32</v>
      </c>
    </row>
    <row r="351" spans="1:4" x14ac:dyDescent="0.2">
      <c r="A351" s="3" t="s">
        <v>647</v>
      </c>
      <c r="B351" s="71" t="str">
        <f t="shared" ref="B351:B352" si="91">B350</f>
        <v>科研生产单位专家</v>
      </c>
      <c r="C351" s="3" t="s">
        <v>639</v>
      </c>
      <c r="D351" s="3">
        <v>28</v>
      </c>
    </row>
    <row r="352" spans="1:4" x14ac:dyDescent="0.2">
      <c r="A352" s="3" t="s">
        <v>647</v>
      </c>
      <c r="B352" s="71" t="str">
        <f t="shared" si="91"/>
        <v>科研生产单位专家</v>
      </c>
      <c r="C352" s="3" t="s">
        <v>637</v>
      </c>
      <c r="D352" s="3">
        <v>24</v>
      </c>
    </row>
    <row r="353" spans="1:4" x14ac:dyDescent="0.2">
      <c r="A353" s="3" t="s">
        <v>647</v>
      </c>
      <c r="B353" s="71" t="s">
        <v>600</v>
      </c>
      <c r="C353" s="3" t="s">
        <v>638</v>
      </c>
      <c r="D353" s="3">
        <v>40</v>
      </c>
    </row>
    <row r="354" spans="1:4" x14ac:dyDescent="0.2">
      <c r="A354" s="3" t="s">
        <v>647</v>
      </c>
      <c r="B354" s="71" t="str">
        <f t="shared" ref="B354:B355" si="92">B353</f>
        <v>管理机关（专业管理）中层副职</v>
      </c>
      <c r="C354" s="3" t="s">
        <v>639</v>
      </c>
      <c r="D354" s="3">
        <v>35</v>
      </c>
    </row>
    <row r="355" spans="1:4" x14ac:dyDescent="0.2">
      <c r="A355" s="3" t="s">
        <v>647</v>
      </c>
      <c r="B355" s="71" t="str">
        <f t="shared" si="92"/>
        <v>管理机关（专业管理）中层副职</v>
      </c>
      <c r="C355" s="3" t="s">
        <v>637</v>
      </c>
      <c r="D355" s="3">
        <v>30</v>
      </c>
    </row>
    <row r="356" spans="1:4" x14ac:dyDescent="0.2">
      <c r="A356" s="3" t="s">
        <v>647</v>
      </c>
      <c r="B356" s="71" t="s">
        <v>613</v>
      </c>
      <c r="C356" s="3" t="s">
        <v>638</v>
      </c>
      <c r="D356" s="3">
        <v>32</v>
      </c>
    </row>
    <row r="357" spans="1:4" x14ac:dyDescent="0.2">
      <c r="A357" s="3" t="s">
        <v>647</v>
      </c>
      <c r="B357" s="71" t="str">
        <f t="shared" ref="B357:B358" si="93">B356</f>
        <v>管理机关（专业管理）专家</v>
      </c>
      <c r="C357" s="3" t="s">
        <v>639</v>
      </c>
      <c r="D357" s="3">
        <v>28</v>
      </c>
    </row>
    <row r="358" spans="1:4" x14ac:dyDescent="0.2">
      <c r="A358" s="3" t="s">
        <v>647</v>
      </c>
      <c r="B358" s="71" t="str">
        <f t="shared" si="93"/>
        <v>管理机关（专业管理）专家</v>
      </c>
      <c r="C358" s="3" t="s">
        <v>637</v>
      </c>
      <c r="D358" s="3">
        <v>24</v>
      </c>
    </row>
    <row r="359" spans="1:4" x14ac:dyDescent="0.2">
      <c r="A359" s="3" t="s">
        <v>665</v>
      </c>
      <c r="B359" s="3" t="s">
        <v>656</v>
      </c>
      <c r="C359" s="3" t="s">
        <v>634</v>
      </c>
      <c r="D359" s="3">
        <v>10</v>
      </c>
    </row>
    <row r="360" spans="1:4" x14ac:dyDescent="0.2">
      <c r="A360" s="3" t="s">
        <v>665</v>
      </c>
      <c r="B360" s="3" t="s">
        <v>657</v>
      </c>
      <c r="C360" s="3" t="s">
        <v>634</v>
      </c>
      <c r="D360" s="3">
        <v>5</v>
      </c>
    </row>
    <row r="361" spans="1:4" x14ac:dyDescent="0.2">
      <c r="A361" s="3" t="s">
        <v>665</v>
      </c>
      <c r="B361" s="3" t="s">
        <v>589</v>
      </c>
      <c r="C361" s="3" t="s">
        <v>634</v>
      </c>
      <c r="D361" s="3">
        <v>5</v>
      </c>
    </row>
    <row r="362" spans="1:4" x14ac:dyDescent="0.2">
      <c r="A362" s="3" t="s">
        <v>665</v>
      </c>
      <c r="B362" s="12" t="s">
        <v>658</v>
      </c>
      <c r="C362" s="3" t="s">
        <v>635</v>
      </c>
      <c r="D362" s="3">
        <v>30</v>
      </c>
    </row>
    <row r="363" spans="1:4" x14ac:dyDescent="0.2">
      <c r="A363" s="3" t="s">
        <v>665</v>
      </c>
      <c r="B363" s="71" t="str">
        <f t="shared" ref="B363:B364" si="94">B362</f>
        <v>采油气工程服务中心骨干（从事应急抢险、供电管理）</v>
      </c>
      <c r="C363" s="3" t="s">
        <v>636</v>
      </c>
      <c r="D363" s="3">
        <v>25</v>
      </c>
    </row>
    <row r="364" spans="1:4" x14ac:dyDescent="0.2">
      <c r="A364" s="3" t="s">
        <v>665</v>
      </c>
      <c r="B364" s="71" t="str">
        <f t="shared" si="94"/>
        <v>采油气工程服务中心骨干（从事应急抢险、供电管理）</v>
      </c>
      <c r="C364" s="3" t="s">
        <v>637</v>
      </c>
      <c r="D364" s="3">
        <v>20</v>
      </c>
    </row>
    <row r="365" spans="1:4" x14ac:dyDescent="0.2">
      <c r="A365" s="3" t="s">
        <v>665</v>
      </c>
      <c r="B365" s="12" t="s">
        <v>659</v>
      </c>
      <c r="C365" s="3" t="s">
        <v>635</v>
      </c>
      <c r="D365" s="3">
        <v>25</v>
      </c>
    </row>
    <row r="366" spans="1:4" x14ac:dyDescent="0.2">
      <c r="A366" s="3" t="s">
        <v>665</v>
      </c>
      <c r="B366" s="71" t="str">
        <f t="shared" ref="B366:B367" si="95">B365</f>
        <v>采油气工程服务中心骨干（其他）</v>
      </c>
      <c r="C366" s="3" t="s">
        <v>636</v>
      </c>
      <c r="D366" s="3">
        <v>20</v>
      </c>
    </row>
    <row r="367" spans="1:4" x14ac:dyDescent="0.2">
      <c r="A367" s="3" t="s">
        <v>665</v>
      </c>
      <c r="B367" s="71" t="str">
        <f t="shared" si="95"/>
        <v>采油气工程服务中心骨干（其他）</v>
      </c>
      <c r="C367" s="3" t="s">
        <v>637</v>
      </c>
      <c r="D367" s="3">
        <v>15</v>
      </c>
    </row>
    <row r="368" spans="1:4" x14ac:dyDescent="0.2">
      <c r="A368" s="3" t="s">
        <v>665</v>
      </c>
      <c r="B368" s="12" t="s">
        <v>660</v>
      </c>
      <c r="C368" s="3" t="s">
        <v>634</v>
      </c>
      <c r="D368" s="3">
        <v>35</v>
      </c>
    </row>
    <row r="369" spans="1:4" x14ac:dyDescent="0.2">
      <c r="A369" s="3" t="s">
        <v>665</v>
      </c>
      <c r="B369" s="71" t="str">
        <f>B368</f>
        <v>采油气工程服务中心基层副职（从事应急抢险、供电管理）</v>
      </c>
      <c r="C369" s="3" t="s">
        <v>637</v>
      </c>
      <c r="D369" s="3">
        <v>30</v>
      </c>
    </row>
    <row r="370" spans="1:4" x14ac:dyDescent="0.2">
      <c r="A370" s="3" t="s">
        <v>665</v>
      </c>
      <c r="B370" s="12" t="s">
        <v>661</v>
      </c>
      <c r="C370" s="3" t="s">
        <v>634</v>
      </c>
      <c r="D370" s="3">
        <v>30</v>
      </c>
    </row>
    <row r="371" spans="1:4" x14ac:dyDescent="0.2">
      <c r="A371" s="3" t="s">
        <v>665</v>
      </c>
      <c r="B371" s="71" t="str">
        <f>B370</f>
        <v>采油气工程服务中心基层副职（其他）</v>
      </c>
      <c r="C371" s="3" t="s">
        <v>637</v>
      </c>
      <c r="D371" s="3">
        <v>25</v>
      </c>
    </row>
    <row r="372" spans="1:4" x14ac:dyDescent="0.2">
      <c r="A372" s="3" t="s">
        <v>665</v>
      </c>
      <c r="B372" s="12" t="s">
        <v>662</v>
      </c>
      <c r="C372" s="3" t="s">
        <v>635</v>
      </c>
      <c r="D372" s="3">
        <v>40</v>
      </c>
    </row>
    <row r="373" spans="1:4" x14ac:dyDescent="0.2">
      <c r="A373" s="3" t="s">
        <v>665</v>
      </c>
      <c r="B373" s="71" t="str">
        <f t="shared" ref="B373:B374" si="96">B372</f>
        <v>采油气工程服务中心基层正职（从事应急抢险、供电管理）</v>
      </c>
      <c r="C373" s="3" t="s">
        <v>636</v>
      </c>
      <c r="D373" s="3">
        <v>35</v>
      </c>
    </row>
    <row r="374" spans="1:4" x14ac:dyDescent="0.2">
      <c r="A374" s="3" t="s">
        <v>665</v>
      </c>
      <c r="B374" s="71" t="str">
        <f t="shared" si="96"/>
        <v>采油气工程服务中心基层正职（从事应急抢险、供电管理）</v>
      </c>
      <c r="C374" s="3" t="s">
        <v>637</v>
      </c>
      <c r="D374" s="3">
        <v>30</v>
      </c>
    </row>
    <row r="375" spans="1:4" x14ac:dyDescent="0.2">
      <c r="A375" s="3" t="s">
        <v>665</v>
      </c>
      <c r="B375" s="12" t="s">
        <v>663</v>
      </c>
      <c r="C375" s="3" t="s">
        <v>635</v>
      </c>
      <c r="D375" s="3">
        <v>35</v>
      </c>
    </row>
    <row r="376" spans="1:4" x14ac:dyDescent="0.2">
      <c r="A376" s="3" t="s">
        <v>665</v>
      </c>
      <c r="B376" s="71" t="str">
        <f t="shared" ref="B376:B377" si="97">B375</f>
        <v>采油气工程服务中心基层正职（其他）</v>
      </c>
      <c r="C376" s="3" t="s">
        <v>636</v>
      </c>
      <c r="D376" s="3">
        <v>30</v>
      </c>
    </row>
    <row r="377" spans="1:4" x14ac:dyDescent="0.2">
      <c r="A377" s="3" t="s">
        <v>665</v>
      </c>
      <c r="B377" s="71" t="str">
        <f t="shared" si="97"/>
        <v>采油气工程服务中心基层正职（其他）</v>
      </c>
      <c r="C377" s="3" t="s">
        <v>637</v>
      </c>
      <c r="D377" s="3">
        <v>25</v>
      </c>
    </row>
    <row r="378" spans="1:4" x14ac:dyDescent="0.2">
      <c r="A378" s="3" t="s">
        <v>665</v>
      </c>
      <c r="B378" s="12" t="s">
        <v>664</v>
      </c>
      <c r="C378" s="3" t="s">
        <v>638</v>
      </c>
      <c r="D378" s="3">
        <v>45</v>
      </c>
    </row>
    <row r="379" spans="1:4" x14ac:dyDescent="0.2">
      <c r="A379" s="3" t="s">
        <v>665</v>
      </c>
      <c r="B379" s="71" t="str">
        <f t="shared" ref="B379:B380" si="98">B378</f>
        <v>采油气工程服务中心中层副职</v>
      </c>
      <c r="C379" s="3" t="s">
        <v>639</v>
      </c>
      <c r="D379" s="3">
        <v>40</v>
      </c>
    </row>
    <row r="380" spans="1:4" x14ac:dyDescent="0.2">
      <c r="A380" s="3" t="s">
        <v>665</v>
      </c>
      <c r="B380" s="71" t="str">
        <f t="shared" si="98"/>
        <v>采油气工程服务中心中层副职</v>
      </c>
      <c r="C380" s="3" t="s">
        <v>637</v>
      </c>
      <c r="D380" s="3">
        <v>35</v>
      </c>
    </row>
    <row r="381" spans="1:4" x14ac:dyDescent="0.2">
      <c r="A381" s="3" t="s">
        <v>665</v>
      </c>
      <c r="B381" s="71" t="s">
        <v>630</v>
      </c>
      <c r="C381" s="3" t="s">
        <v>638</v>
      </c>
      <c r="D381" s="3">
        <v>50</v>
      </c>
    </row>
    <row r="382" spans="1:4" x14ac:dyDescent="0.2">
      <c r="A382" s="3" t="s">
        <v>665</v>
      </c>
      <c r="B382" s="71" t="str">
        <f t="shared" ref="B382:B383" si="99">B381</f>
        <v>油气生产单位中层副职</v>
      </c>
      <c r="C382" s="3" t="s">
        <v>639</v>
      </c>
      <c r="D382" s="3">
        <v>45</v>
      </c>
    </row>
    <row r="383" spans="1:4" x14ac:dyDescent="0.2">
      <c r="A383" s="3" t="s">
        <v>665</v>
      </c>
      <c r="B383" s="71" t="str">
        <f t="shared" si="99"/>
        <v>油气生产单位中层副职</v>
      </c>
      <c r="C383" s="3" t="s">
        <v>637</v>
      </c>
      <c r="D383" s="3">
        <v>40</v>
      </c>
    </row>
    <row r="384" spans="1:4" x14ac:dyDescent="0.2">
      <c r="A384" s="3" t="s">
        <v>665</v>
      </c>
      <c r="B384" s="71" t="s">
        <v>632</v>
      </c>
      <c r="C384" s="3" t="s">
        <v>638</v>
      </c>
      <c r="D384" s="3">
        <v>40</v>
      </c>
    </row>
    <row r="385" spans="1:4" x14ac:dyDescent="0.2">
      <c r="A385" s="3" t="s">
        <v>665</v>
      </c>
      <c r="B385" s="71" t="str">
        <f t="shared" ref="B385:B386" si="100">B384</f>
        <v>油气生产单位专家</v>
      </c>
      <c r="C385" s="3" t="s">
        <v>639</v>
      </c>
      <c r="D385" s="3">
        <v>36</v>
      </c>
    </row>
    <row r="386" spans="1:4" x14ac:dyDescent="0.2">
      <c r="A386" s="3" t="s">
        <v>665</v>
      </c>
      <c r="B386" s="71" t="str">
        <f t="shared" si="100"/>
        <v>油气生产单位专家</v>
      </c>
      <c r="C386" s="3" t="s">
        <v>637</v>
      </c>
      <c r="D386" s="3">
        <v>32</v>
      </c>
    </row>
    <row r="387" spans="1:4" x14ac:dyDescent="0.2">
      <c r="A387" s="3" t="s">
        <v>665</v>
      </c>
      <c r="B387" s="71" t="s">
        <v>631</v>
      </c>
      <c r="C387" s="3" t="s">
        <v>638</v>
      </c>
      <c r="D387" s="3">
        <v>45</v>
      </c>
    </row>
    <row r="388" spans="1:4" x14ac:dyDescent="0.2">
      <c r="A388" s="3" t="s">
        <v>665</v>
      </c>
      <c r="B388" s="71" t="str">
        <f t="shared" ref="B388:B389" si="101">B387</f>
        <v>科研生产单位中层副职</v>
      </c>
      <c r="C388" s="3" t="s">
        <v>639</v>
      </c>
      <c r="D388" s="3">
        <v>40</v>
      </c>
    </row>
    <row r="389" spans="1:4" x14ac:dyDescent="0.2">
      <c r="A389" s="3" t="s">
        <v>665</v>
      </c>
      <c r="B389" s="71" t="str">
        <f t="shared" si="101"/>
        <v>科研生产单位中层副职</v>
      </c>
      <c r="C389" s="3" t="s">
        <v>637</v>
      </c>
      <c r="D389" s="3">
        <v>35</v>
      </c>
    </row>
    <row r="390" spans="1:4" x14ac:dyDescent="0.2">
      <c r="A390" s="3" t="s">
        <v>665</v>
      </c>
      <c r="B390" s="71" t="s">
        <v>633</v>
      </c>
      <c r="C390" s="3" t="s">
        <v>638</v>
      </c>
      <c r="D390" s="3">
        <v>36</v>
      </c>
    </row>
    <row r="391" spans="1:4" x14ac:dyDescent="0.2">
      <c r="A391" s="3" t="s">
        <v>665</v>
      </c>
      <c r="B391" s="71" t="str">
        <f t="shared" ref="B391:B392" si="102">B390</f>
        <v>科研生产单位专家</v>
      </c>
      <c r="C391" s="3" t="s">
        <v>639</v>
      </c>
      <c r="D391" s="3">
        <v>32</v>
      </c>
    </row>
    <row r="392" spans="1:4" x14ac:dyDescent="0.2">
      <c r="A392" s="3" t="s">
        <v>665</v>
      </c>
      <c r="B392" s="71" t="str">
        <f t="shared" si="102"/>
        <v>科研生产单位专家</v>
      </c>
      <c r="C392" s="3" t="s">
        <v>637</v>
      </c>
      <c r="D392" s="3">
        <v>28</v>
      </c>
    </row>
    <row r="393" spans="1:4" x14ac:dyDescent="0.2">
      <c r="A393" s="3" t="s">
        <v>665</v>
      </c>
      <c r="B393" s="71" t="s">
        <v>600</v>
      </c>
      <c r="C393" s="3" t="s">
        <v>638</v>
      </c>
      <c r="D393" s="3">
        <v>45</v>
      </c>
    </row>
    <row r="394" spans="1:4" x14ac:dyDescent="0.2">
      <c r="A394" s="3" t="s">
        <v>665</v>
      </c>
      <c r="B394" s="71" t="str">
        <f t="shared" ref="B394:B395" si="103">B393</f>
        <v>管理机关（专业管理）中层副职</v>
      </c>
      <c r="C394" s="3" t="s">
        <v>639</v>
      </c>
      <c r="D394" s="3">
        <v>40</v>
      </c>
    </row>
    <row r="395" spans="1:4" x14ac:dyDescent="0.2">
      <c r="A395" s="3" t="s">
        <v>665</v>
      </c>
      <c r="B395" s="71" t="str">
        <f t="shared" si="103"/>
        <v>管理机关（专业管理）中层副职</v>
      </c>
      <c r="C395" s="3" t="s">
        <v>637</v>
      </c>
      <c r="D395" s="3">
        <v>35</v>
      </c>
    </row>
    <row r="396" spans="1:4" x14ac:dyDescent="0.2">
      <c r="A396" s="3" t="s">
        <v>665</v>
      </c>
      <c r="B396" s="71" t="s">
        <v>613</v>
      </c>
      <c r="C396" s="3" t="s">
        <v>638</v>
      </c>
      <c r="D396" s="3">
        <v>36</v>
      </c>
    </row>
    <row r="397" spans="1:4" x14ac:dyDescent="0.2">
      <c r="A397" s="3" t="s">
        <v>665</v>
      </c>
      <c r="B397" s="71" t="str">
        <f t="shared" ref="B397:B398" si="104">B396</f>
        <v>管理机关（专业管理）专家</v>
      </c>
      <c r="C397" s="3" t="s">
        <v>639</v>
      </c>
      <c r="D397" s="3">
        <v>32</v>
      </c>
    </row>
    <row r="398" spans="1:4" x14ac:dyDescent="0.2">
      <c r="A398" s="3" t="s">
        <v>665</v>
      </c>
      <c r="B398" s="71" t="str">
        <f t="shared" si="104"/>
        <v>管理机关（专业管理）专家</v>
      </c>
      <c r="C398" s="3" t="s">
        <v>637</v>
      </c>
      <c r="D398" s="3">
        <v>28</v>
      </c>
    </row>
    <row r="399" spans="1:4" x14ac:dyDescent="0.2">
      <c r="A399" s="3" t="s">
        <v>666</v>
      </c>
      <c r="B399" s="71" t="s">
        <v>667</v>
      </c>
      <c r="C399" s="3" t="s">
        <v>634</v>
      </c>
      <c r="D399" s="3">
        <v>5</v>
      </c>
    </row>
    <row r="400" spans="1:4" x14ac:dyDescent="0.2">
      <c r="A400" s="3" t="s">
        <v>666</v>
      </c>
      <c r="B400" s="71" t="s">
        <v>668</v>
      </c>
      <c r="C400" s="3" t="s">
        <v>635</v>
      </c>
      <c r="D400" s="3">
        <v>15</v>
      </c>
    </row>
    <row r="401" spans="1:4" x14ac:dyDescent="0.2">
      <c r="A401" s="3" t="s">
        <v>666</v>
      </c>
      <c r="B401" s="71" t="str">
        <f t="shared" ref="B401:B402" si="105">B400</f>
        <v>管理机关（专业管理）业务主办</v>
      </c>
      <c r="C401" s="3" t="s">
        <v>636</v>
      </c>
      <c r="D401" s="3">
        <v>10</v>
      </c>
    </row>
    <row r="402" spans="1:4" x14ac:dyDescent="0.2">
      <c r="A402" s="3" t="s">
        <v>666</v>
      </c>
      <c r="B402" s="71" t="str">
        <f t="shared" si="105"/>
        <v>管理机关（专业管理）业务主办</v>
      </c>
      <c r="C402" s="3" t="s">
        <v>637</v>
      </c>
      <c r="D402" s="3">
        <v>5</v>
      </c>
    </row>
    <row r="403" spans="1:4" x14ac:dyDescent="0.2">
      <c r="A403" s="3" t="s">
        <v>666</v>
      </c>
      <c r="B403" s="71" t="s">
        <v>594</v>
      </c>
      <c r="C403" s="3" t="s">
        <v>635</v>
      </c>
      <c r="D403" s="3">
        <v>16</v>
      </c>
    </row>
    <row r="404" spans="1:4" x14ac:dyDescent="0.2">
      <c r="A404" s="3" t="s">
        <v>666</v>
      </c>
      <c r="B404" s="71" t="str">
        <f t="shared" ref="B404:B405" si="106">B403</f>
        <v>管理机关（专业管理）主管</v>
      </c>
      <c r="C404" s="3" t="s">
        <v>636</v>
      </c>
      <c r="D404" s="72" t="s">
        <v>617</v>
      </c>
    </row>
    <row r="405" spans="1:4" x14ac:dyDescent="0.2">
      <c r="A405" s="3" t="s">
        <v>666</v>
      </c>
      <c r="B405" s="71" t="str">
        <f t="shared" si="106"/>
        <v>管理机关（专业管理）主管</v>
      </c>
      <c r="C405" s="3" t="s">
        <v>637</v>
      </c>
      <c r="D405" s="72" t="s">
        <v>673</v>
      </c>
    </row>
    <row r="406" spans="1:4" x14ac:dyDescent="0.2">
      <c r="A406" s="3" t="s">
        <v>666</v>
      </c>
      <c r="B406" s="71" t="s">
        <v>593</v>
      </c>
      <c r="C406" s="3" t="s">
        <v>635</v>
      </c>
      <c r="D406" s="3">
        <v>25</v>
      </c>
    </row>
    <row r="407" spans="1:4" x14ac:dyDescent="0.2">
      <c r="A407" s="3" t="s">
        <v>666</v>
      </c>
      <c r="B407" s="71" t="str">
        <f t="shared" ref="B407:B408" si="107">B406</f>
        <v>油气生产单位基层副职</v>
      </c>
      <c r="C407" s="3" t="s">
        <v>636</v>
      </c>
      <c r="D407" s="3">
        <v>20</v>
      </c>
    </row>
    <row r="408" spans="1:4" x14ac:dyDescent="0.2">
      <c r="A408" s="3" t="s">
        <v>666</v>
      </c>
      <c r="B408" s="71" t="str">
        <f t="shared" si="107"/>
        <v>油气生产单位基层副职</v>
      </c>
      <c r="C408" s="3" t="s">
        <v>637</v>
      </c>
      <c r="D408" s="72">
        <v>15</v>
      </c>
    </row>
    <row r="409" spans="1:4" x14ac:dyDescent="0.2">
      <c r="A409" s="3" t="s">
        <v>666</v>
      </c>
      <c r="B409" s="71" t="s">
        <v>603</v>
      </c>
      <c r="C409" s="3" t="s">
        <v>635</v>
      </c>
      <c r="D409" s="3">
        <v>20</v>
      </c>
    </row>
    <row r="410" spans="1:4" x14ac:dyDescent="0.2">
      <c r="A410" s="3" t="s">
        <v>666</v>
      </c>
      <c r="B410" s="71" t="str">
        <f t="shared" ref="B410:B411" si="108">B409</f>
        <v>油气生产单位副主任师</v>
      </c>
      <c r="C410" s="3" t="s">
        <v>636</v>
      </c>
      <c r="D410" s="3">
        <v>16</v>
      </c>
    </row>
    <row r="411" spans="1:4" x14ac:dyDescent="0.2">
      <c r="A411" s="3" t="s">
        <v>666</v>
      </c>
      <c r="B411" s="71" t="str">
        <f t="shared" si="108"/>
        <v>油气生产单位副主任师</v>
      </c>
      <c r="C411" s="3" t="s">
        <v>637</v>
      </c>
      <c r="D411" s="3">
        <v>12</v>
      </c>
    </row>
    <row r="412" spans="1:4" x14ac:dyDescent="0.2">
      <c r="A412" s="3" t="s">
        <v>666</v>
      </c>
      <c r="B412" s="71" t="s">
        <v>592</v>
      </c>
      <c r="C412" s="3" t="s">
        <v>635</v>
      </c>
      <c r="D412" s="3">
        <v>20</v>
      </c>
    </row>
    <row r="413" spans="1:4" x14ac:dyDescent="0.2">
      <c r="A413" s="3" t="s">
        <v>666</v>
      </c>
      <c r="B413" s="71" t="str">
        <f t="shared" ref="B413:B414" si="109">B412</f>
        <v>科研生产单位基层副职</v>
      </c>
      <c r="C413" s="3" t="s">
        <v>636</v>
      </c>
      <c r="D413" s="72">
        <v>15</v>
      </c>
    </row>
    <row r="414" spans="1:4" x14ac:dyDescent="0.2">
      <c r="A414" s="3" t="s">
        <v>666</v>
      </c>
      <c r="B414" s="71" t="str">
        <f t="shared" si="109"/>
        <v>科研生产单位基层副职</v>
      </c>
      <c r="C414" s="3" t="s">
        <v>637</v>
      </c>
      <c r="D414" s="72">
        <v>10</v>
      </c>
    </row>
    <row r="415" spans="1:4" x14ac:dyDescent="0.2">
      <c r="A415" s="3" t="s">
        <v>666</v>
      </c>
      <c r="B415" s="71" t="s">
        <v>604</v>
      </c>
      <c r="C415" s="3" t="s">
        <v>635</v>
      </c>
      <c r="D415" s="3">
        <v>16</v>
      </c>
    </row>
    <row r="416" spans="1:4" x14ac:dyDescent="0.2">
      <c r="A416" s="3" t="s">
        <v>666</v>
      </c>
      <c r="B416" s="71" t="str">
        <f t="shared" ref="B416:B417" si="110">B415</f>
        <v>科研生产单位副主任师</v>
      </c>
      <c r="C416" s="3" t="s">
        <v>636</v>
      </c>
      <c r="D416" s="3">
        <v>12</v>
      </c>
    </row>
    <row r="417" spans="1:4" x14ac:dyDescent="0.2">
      <c r="A417" s="3" t="s">
        <v>666</v>
      </c>
      <c r="B417" s="71" t="str">
        <f t="shared" si="110"/>
        <v>科研生产单位副主任师</v>
      </c>
      <c r="C417" s="3" t="s">
        <v>637</v>
      </c>
      <c r="D417" s="3">
        <v>8</v>
      </c>
    </row>
    <row r="418" spans="1:4" x14ac:dyDescent="0.2">
      <c r="A418" s="3" t="s">
        <v>666</v>
      </c>
      <c r="B418" s="71" t="s">
        <v>597</v>
      </c>
      <c r="C418" s="3" t="s">
        <v>635</v>
      </c>
      <c r="D418" s="3">
        <v>16</v>
      </c>
    </row>
    <row r="419" spans="1:4" x14ac:dyDescent="0.2">
      <c r="A419" s="3" t="s">
        <v>666</v>
      </c>
      <c r="B419" s="71" t="str">
        <f t="shared" ref="B419:B420" si="111">B418</f>
        <v>管理机关（专业管理）高级主管</v>
      </c>
      <c r="C419" s="3" t="s">
        <v>636</v>
      </c>
      <c r="D419" s="72" t="s">
        <v>617</v>
      </c>
    </row>
    <row r="420" spans="1:4" x14ac:dyDescent="0.2">
      <c r="A420" s="3" t="s">
        <v>666</v>
      </c>
      <c r="B420" s="71" t="str">
        <f t="shared" si="111"/>
        <v>管理机关（专业管理）高级主管</v>
      </c>
      <c r="C420" s="3" t="s">
        <v>637</v>
      </c>
      <c r="D420" s="72" t="s">
        <v>673</v>
      </c>
    </row>
    <row r="421" spans="1:4" x14ac:dyDescent="0.2">
      <c r="A421" s="3" t="s">
        <v>666</v>
      </c>
      <c r="B421" s="71" t="s">
        <v>669</v>
      </c>
      <c r="C421" s="3" t="s">
        <v>635</v>
      </c>
      <c r="D421" s="3">
        <v>25</v>
      </c>
    </row>
    <row r="422" spans="1:4" x14ac:dyDescent="0.2">
      <c r="A422" s="3" t="s">
        <v>666</v>
      </c>
      <c r="B422" s="71" t="str">
        <f t="shared" ref="B422:B423" si="112">B421</f>
        <v>油气生产单位基层正职</v>
      </c>
      <c r="C422" s="3" t="s">
        <v>636</v>
      </c>
      <c r="D422" s="3">
        <v>20</v>
      </c>
    </row>
    <row r="423" spans="1:4" x14ac:dyDescent="0.2">
      <c r="A423" s="3" t="s">
        <v>666</v>
      </c>
      <c r="B423" s="71" t="str">
        <f t="shared" si="112"/>
        <v>油气生产单位基层正职</v>
      </c>
      <c r="C423" s="3" t="s">
        <v>637</v>
      </c>
      <c r="D423" s="72">
        <v>15</v>
      </c>
    </row>
    <row r="424" spans="1:4" x14ac:dyDescent="0.2">
      <c r="A424" s="3" t="s">
        <v>666</v>
      </c>
      <c r="B424" s="71" t="s">
        <v>671</v>
      </c>
      <c r="C424" s="3" t="s">
        <v>635</v>
      </c>
      <c r="D424" s="3">
        <v>20</v>
      </c>
    </row>
    <row r="425" spans="1:4" x14ac:dyDescent="0.2">
      <c r="A425" s="3" t="s">
        <v>666</v>
      </c>
      <c r="B425" s="71" t="str">
        <f t="shared" ref="B425:B426" si="113">B424</f>
        <v>油气生产单位主任师</v>
      </c>
      <c r="C425" s="3" t="s">
        <v>636</v>
      </c>
      <c r="D425" s="3">
        <v>16</v>
      </c>
    </row>
    <row r="426" spans="1:4" x14ac:dyDescent="0.2">
      <c r="A426" s="3" t="s">
        <v>666</v>
      </c>
      <c r="B426" s="71" t="str">
        <f t="shared" si="113"/>
        <v>油气生产单位主任师</v>
      </c>
      <c r="C426" s="3" t="s">
        <v>637</v>
      </c>
      <c r="D426" s="3">
        <v>12</v>
      </c>
    </row>
    <row r="427" spans="1:4" x14ac:dyDescent="0.2">
      <c r="A427" s="3" t="s">
        <v>666</v>
      </c>
      <c r="B427" s="71" t="s">
        <v>670</v>
      </c>
      <c r="C427" s="3" t="s">
        <v>635</v>
      </c>
      <c r="D427" s="3">
        <v>20</v>
      </c>
    </row>
    <row r="428" spans="1:4" x14ac:dyDescent="0.2">
      <c r="A428" s="3" t="s">
        <v>666</v>
      </c>
      <c r="B428" s="71" t="str">
        <f t="shared" ref="B428:B429" si="114">B427</f>
        <v>科研生产单位基层正职</v>
      </c>
      <c r="C428" s="3" t="s">
        <v>636</v>
      </c>
      <c r="D428" s="72">
        <v>15</v>
      </c>
    </row>
    <row r="429" spans="1:4" x14ac:dyDescent="0.2">
      <c r="A429" s="3" t="s">
        <v>666</v>
      </c>
      <c r="B429" s="71" t="str">
        <f t="shared" si="114"/>
        <v>科研生产单位基层正职</v>
      </c>
      <c r="C429" s="3" t="s">
        <v>637</v>
      </c>
      <c r="D429" s="72">
        <v>10</v>
      </c>
    </row>
    <row r="430" spans="1:4" x14ac:dyDescent="0.2">
      <c r="A430" s="3" t="s">
        <v>666</v>
      </c>
      <c r="B430" s="71" t="s">
        <v>672</v>
      </c>
      <c r="C430" s="3" t="s">
        <v>635</v>
      </c>
      <c r="D430" s="3">
        <v>16</v>
      </c>
    </row>
    <row r="431" spans="1:4" x14ac:dyDescent="0.2">
      <c r="A431" s="3" t="s">
        <v>666</v>
      </c>
      <c r="B431" s="71" t="str">
        <f t="shared" ref="B431:B432" si="115">B430</f>
        <v>科研生产单位主任师</v>
      </c>
      <c r="C431" s="3" t="s">
        <v>636</v>
      </c>
      <c r="D431" s="3">
        <v>12</v>
      </c>
    </row>
    <row r="432" spans="1:4" x14ac:dyDescent="0.2">
      <c r="A432" s="3" t="s">
        <v>666</v>
      </c>
      <c r="B432" s="71" t="str">
        <f t="shared" si="115"/>
        <v>科研生产单位主任师</v>
      </c>
      <c r="C432" s="3" t="s">
        <v>637</v>
      </c>
      <c r="D432" s="3">
        <v>8</v>
      </c>
    </row>
    <row r="433" spans="1:4" x14ac:dyDescent="0.2">
      <c r="A433" s="3" t="s">
        <v>666</v>
      </c>
      <c r="B433" s="71" t="s">
        <v>600</v>
      </c>
      <c r="C433" s="3" t="s">
        <v>638</v>
      </c>
      <c r="D433" s="3">
        <v>25</v>
      </c>
    </row>
    <row r="434" spans="1:4" x14ac:dyDescent="0.2">
      <c r="A434" s="3" t="s">
        <v>666</v>
      </c>
      <c r="B434" s="71" t="str">
        <f t="shared" ref="B434:B435" si="116">B433</f>
        <v>管理机关（专业管理）中层副职</v>
      </c>
      <c r="C434" s="3" t="s">
        <v>639</v>
      </c>
      <c r="D434" s="3">
        <v>20</v>
      </c>
    </row>
    <row r="435" spans="1:4" x14ac:dyDescent="0.2">
      <c r="A435" s="3" t="s">
        <v>666</v>
      </c>
      <c r="B435" s="71" t="str">
        <f t="shared" si="116"/>
        <v>管理机关（专业管理）中层副职</v>
      </c>
      <c r="C435" s="3" t="s">
        <v>637</v>
      </c>
      <c r="D435" s="72">
        <v>15</v>
      </c>
    </row>
    <row r="436" spans="1:4" x14ac:dyDescent="0.2">
      <c r="A436" s="3" t="s">
        <v>666</v>
      </c>
      <c r="B436" s="71" t="s">
        <v>613</v>
      </c>
      <c r="C436" s="3" t="s">
        <v>638</v>
      </c>
      <c r="D436" s="3">
        <v>20</v>
      </c>
    </row>
    <row r="437" spans="1:4" x14ac:dyDescent="0.2">
      <c r="A437" s="3" t="s">
        <v>666</v>
      </c>
      <c r="B437" s="71" t="str">
        <f t="shared" ref="B437:B438" si="117">B436</f>
        <v>管理机关（专业管理）专家</v>
      </c>
      <c r="C437" s="3" t="s">
        <v>639</v>
      </c>
      <c r="D437" s="3">
        <v>16</v>
      </c>
    </row>
    <row r="438" spans="1:4" x14ac:dyDescent="0.2">
      <c r="A438" s="3" t="s">
        <v>666</v>
      </c>
      <c r="B438" s="71" t="str">
        <f t="shared" si="117"/>
        <v>管理机关（专业管理）专家</v>
      </c>
      <c r="C438" s="3" t="s">
        <v>637</v>
      </c>
      <c r="D438" s="3">
        <v>12</v>
      </c>
    </row>
    <row r="439" spans="1:4" x14ac:dyDescent="0.2">
      <c r="A439" s="3" t="s">
        <v>666</v>
      </c>
      <c r="B439" s="71" t="s">
        <v>630</v>
      </c>
      <c r="C439" s="3" t="s">
        <v>638</v>
      </c>
      <c r="D439" s="3">
        <v>30</v>
      </c>
    </row>
    <row r="440" spans="1:4" x14ac:dyDescent="0.2">
      <c r="A440" s="3" t="s">
        <v>666</v>
      </c>
      <c r="B440" s="71" t="str">
        <f t="shared" ref="B440:B441" si="118">B439</f>
        <v>油气生产单位中层副职</v>
      </c>
      <c r="C440" s="3" t="s">
        <v>639</v>
      </c>
      <c r="D440" s="3">
        <v>25</v>
      </c>
    </row>
    <row r="441" spans="1:4" x14ac:dyDescent="0.2">
      <c r="A441" s="3" t="s">
        <v>666</v>
      </c>
      <c r="B441" s="71" t="str">
        <f t="shared" si="118"/>
        <v>油气生产单位中层副职</v>
      </c>
      <c r="C441" s="3" t="s">
        <v>637</v>
      </c>
      <c r="D441" s="3">
        <v>20</v>
      </c>
    </row>
    <row r="442" spans="1:4" x14ac:dyDescent="0.2">
      <c r="A442" s="3" t="s">
        <v>666</v>
      </c>
      <c r="B442" s="71" t="s">
        <v>632</v>
      </c>
      <c r="C442" s="3" t="s">
        <v>638</v>
      </c>
      <c r="D442" s="3">
        <v>24</v>
      </c>
    </row>
    <row r="443" spans="1:4" x14ac:dyDescent="0.2">
      <c r="A443" s="3" t="s">
        <v>666</v>
      </c>
      <c r="B443" s="71" t="str">
        <f t="shared" ref="B443:B444" si="119">B442</f>
        <v>油气生产单位专家</v>
      </c>
      <c r="C443" s="3" t="s">
        <v>639</v>
      </c>
      <c r="D443" s="3">
        <v>20</v>
      </c>
    </row>
    <row r="444" spans="1:4" x14ac:dyDescent="0.2">
      <c r="A444" s="3" t="s">
        <v>666</v>
      </c>
      <c r="B444" s="71" t="str">
        <f t="shared" si="119"/>
        <v>油气生产单位专家</v>
      </c>
      <c r="C444" s="3" t="s">
        <v>637</v>
      </c>
      <c r="D444" s="3">
        <v>16</v>
      </c>
    </row>
    <row r="445" spans="1:4" x14ac:dyDescent="0.2">
      <c r="A445" s="3" t="s">
        <v>666</v>
      </c>
      <c r="B445" s="71" t="s">
        <v>631</v>
      </c>
      <c r="C445" s="3" t="s">
        <v>638</v>
      </c>
      <c r="D445" s="3">
        <v>25</v>
      </c>
    </row>
    <row r="446" spans="1:4" x14ac:dyDescent="0.2">
      <c r="A446" s="3" t="s">
        <v>666</v>
      </c>
      <c r="B446" s="71" t="str">
        <f t="shared" ref="B446:B447" si="120">B445</f>
        <v>科研生产单位中层副职</v>
      </c>
      <c r="C446" s="3" t="s">
        <v>639</v>
      </c>
      <c r="D446" s="3">
        <v>20</v>
      </c>
    </row>
    <row r="447" spans="1:4" x14ac:dyDescent="0.2">
      <c r="A447" s="3" t="s">
        <v>666</v>
      </c>
      <c r="B447" s="71" t="str">
        <f t="shared" si="120"/>
        <v>科研生产单位中层副职</v>
      </c>
      <c r="C447" s="3" t="s">
        <v>637</v>
      </c>
      <c r="D447" s="72">
        <v>15</v>
      </c>
    </row>
    <row r="448" spans="1:4" x14ac:dyDescent="0.2">
      <c r="A448" s="3" t="s">
        <v>666</v>
      </c>
      <c r="B448" s="71" t="s">
        <v>633</v>
      </c>
      <c r="C448" s="3" t="s">
        <v>638</v>
      </c>
      <c r="D448" s="3">
        <v>20</v>
      </c>
    </row>
    <row r="449" spans="1:4" x14ac:dyDescent="0.2">
      <c r="A449" s="3" t="s">
        <v>666</v>
      </c>
      <c r="B449" s="71" t="str">
        <f t="shared" ref="B449:B450" si="121">B448</f>
        <v>科研生产单位专家</v>
      </c>
      <c r="C449" s="3" t="s">
        <v>639</v>
      </c>
      <c r="D449" s="3">
        <v>16</v>
      </c>
    </row>
    <row r="450" spans="1:4" x14ac:dyDescent="0.2">
      <c r="A450" s="3" t="s">
        <v>666</v>
      </c>
      <c r="B450" s="71" t="str">
        <f t="shared" si="121"/>
        <v>科研生产单位专家</v>
      </c>
      <c r="C450" s="3" t="s">
        <v>637</v>
      </c>
      <c r="D450" s="3">
        <v>12</v>
      </c>
    </row>
  </sheetData>
  <phoneticPr fontId="3" type="noConversion"/>
  <hyperlinks>
    <hyperlink ref="A1" location="'0-使用说明'!D1" display="'0-使用说明'!D1" xr:uid="{99CDDC1F-247B-426B-8EAA-362244C3720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1AB6F-F135-4A30-9EE5-E155EF2C023B}">
  <sheetPr codeName="Sheet10"/>
  <dimension ref="A1:J118"/>
  <sheetViews>
    <sheetView tabSelected="1" workbookViewId="0">
      <selection activeCell="H11" sqref="H11"/>
    </sheetView>
  </sheetViews>
  <sheetFormatPr defaultRowHeight="16.5" x14ac:dyDescent="0.35"/>
  <cols>
    <col min="1" max="1" width="9" style="78"/>
    <col min="2" max="3" width="15.75" style="78" bestFit="1" customWidth="1"/>
    <col min="4" max="5" width="9" style="78"/>
    <col min="6" max="6" width="13.125" style="78" bestFit="1" customWidth="1"/>
    <col min="7" max="8" width="9" style="78"/>
    <col min="9" max="9" width="18.625" style="78" bestFit="1" customWidth="1"/>
    <col min="10" max="10" width="9" style="78"/>
  </cols>
  <sheetData>
    <row r="1" spans="1:10" ht="36" x14ac:dyDescent="0.35">
      <c r="A1" s="116" t="s">
        <v>897</v>
      </c>
      <c r="B1" s="12" t="s">
        <v>884</v>
      </c>
    </row>
    <row r="2" spans="1:10" x14ac:dyDescent="0.2">
      <c r="A2" s="1" t="s">
        <v>1</v>
      </c>
      <c r="B2" s="1" t="s">
        <v>4</v>
      </c>
      <c r="C2" s="1" t="s">
        <v>5</v>
      </c>
      <c r="D2" s="2" t="s">
        <v>891</v>
      </c>
      <c r="E2" s="112" t="s">
        <v>6</v>
      </c>
      <c r="F2" s="1" t="s">
        <v>7</v>
      </c>
      <c r="G2" s="113" t="s">
        <v>8</v>
      </c>
      <c r="H2" s="1" t="s">
        <v>9</v>
      </c>
      <c r="I2" s="1" t="s">
        <v>10</v>
      </c>
      <c r="J2" s="1" t="s">
        <v>11</v>
      </c>
    </row>
    <row r="3" spans="1:10" x14ac:dyDescent="0.35">
      <c r="A3" s="78" t="s">
        <v>674</v>
      </c>
      <c r="B3" s="98">
        <v>32387</v>
      </c>
      <c r="C3" s="98">
        <v>33756</v>
      </c>
      <c r="D3" s="78">
        <v>18</v>
      </c>
      <c r="E3" s="78" t="s">
        <v>666</v>
      </c>
      <c r="F3" s="78" t="s">
        <v>910</v>
      </c>
      <c r="G3" s="79">
        <v>3.75</v>
      </c>
      <c r="H3" s="77"/>
    </row>
    <row r="4" spans="1:10" x14ac:dyDescent="0.35">
      <c r="A4" s="78" t="s">
        <v>674</v>
      </c>
      <c r="B4" s="98">
        <v>33786</v>
      </c>
      <c r="C4" s="98">
        <v>35278</v>
      </c>
      <c r="D4" s="78">
        <v>22</v>
      </c>
      <c r="E4" s="78" t="s">
        <v>666</v>
      </c>
      <c r="F4" s="78" t="s">
        <v>911</v>
      </c>
      <c r="G4" s="79">
        <v>4.083333333333333</v>
      </c>
      <c r="H4" s="77" t="s">
        <v>912</v>
      </c>
      <c r="I4" s="80" t="s">
        <v>675</v>
      </c>
      <c r="J4" s="33">
        <v>5</v>
      </c>
    </row>
    <row r="5" spans="1:10" x14ac:dyDescent="0.35">
      <c r="A5" s="78" t="s">
        <v>674</v>
      </c>
      <c r="B5" s="98">
        <v>35309</v>
      </c>
      <c r="C5" s="98">
        <v>36281</v>
      </c>
      <c r="D5" s="78">
        <v>26</v>
      </c>
      <c r="E5" s="78" t="s">
        <v>666</v>
      </c>
      <c r="F5" s="78" t="s">
        <v>913</v>
      </c>
      <c r="G5" s="79">
        <v>2.5833333333333335</v>
      </c>
      <c r="H5" s="77" t="s">
        <v>914</v>
      </c>
      <c r="I5" s="80" t="s">
        <v>616</v>
      </c>
      <c r="J5" s="126">
        <v>20</v>
      </c>
    </row>
    <row r="6" spans="1:10" x14ac:dyDescent="0.35">
      <c r="A6" s="78" t="s">
        <v>674</v>
      </c>
      <c r="B6" s="98">
        <v>36039</v>
      </c>
      <c r="C6" s="98">
        <v>36281</v>
      </c>
      <c r="D6" s="78">
        <v>28</v>
      </c>
      <c r="E6" s="78" t="s">
        <v>666</v>
      </c>
      <c r="F6" s="78" t="s">
        <v>915</v>
      </c>
      <c r="G6" s="79">
        <v>0.66666666666666663</v>
      </c>
      <c r="H6" s="77" t="s">
        <v>914</v>
      </c>
      <c r="I6" s="80" t="s">
        <v>616</v>
      </c>
      <c r="J6" s="127"/>
    </row>
    <row r="7" spans="1:10" x14ac:dyDescent="0.35">
      <c r="A7" s="78" t="s">
        <v>674</v>
      </c>
      <c r="B7" s="98">
        <v>36312</v>
      </c>
      <c r="C7" s="98">
        <v>37347</v>
      </c>
      <c r="D7" s="78">
        <v>29</v>
      </c>
      <c r="E7" s="78" t="s">
        <v>666</v>
      </c>
      <c r="F7" s="78" t="s">
        <v>916</v>
      </c>
      <c r="G7" s="79">
        <v>2.8333333333333335</v>
      </c>
      <c r="H7" s="77" t="s">
        <v>917</v>
      </c>
      <c r="I7" s="76" t="s">
        <v>918</v>
      </c>
      <c r="J7" s="33">
        <v>15</v>
      </c>
    </row>
    <row r="8" spans="1:10" x14ac:dyDescent="0.35">
      <c r="A8" s="78" t="s">
        <v>674</v>
      </c>
      <c r="B8" s="98">
        <v>37377</v>
      </c>
      <c r="C8" s="98">
        <v>38384</v>
      </c>
      <c r="D8" s="78">
        <v>32</v>
      </c>
      <c r="E8" s="78" t="s">
        <v>666</v>
      </c>
      <c r="F8" s="78" t="s">
        <v>919</v>
      </c>
      <c r="G8" s="79">
        <v>2.75</v>
      </c>
      <c r="H8" s="77" t="s">
        <v>920</v>
      </c>
      <c r="I8" s="76" t="s">
        <v>608</v>
      </c>
      <c r="J8" s="126">
        <v>20</v>
      </c>
    </row>
    <row r="9" spans="1:10" x14ac:dyDescent="0.35">
      <c r="A9" s="78" t="s">
        <v>674</v>
      </c>
      <c r="B9" s="98">
        <v>38412</v>
      </c>
      <c r="C9" s="98">
        <v>38657</v>
      </c>
      <c r="D9" s="78">
        <v>35</v>
      </c>
      <c r="E9" s="78" t="s">
        <v>666</v>
      </c>
      <c r="F9" s="78" t="s">
        <v>921</v>
      </c>
      <c r="G9" s="79">
        <v>0.66666666666666663</v>
      </c>
      <c r="H9" s="77" t="s">
        <v>920</v>
      </c>
      <c r="I9" s="76" t="s">
        <v>922</v>
      </c>
      <c r="J9" s="128"/>
    </row>
    <row r="10" spans="1:10" x14ac:dyDescent="0.35">
      <c r="A10" s="78" t="s">
        <v>674</v>
      </c>
      <c r="B10" s="98">
        <v>38687</v>
      </c>
      <c r="C10" s="98">
        <v>39753</v>
      </c>
      <c r="D10" s="78">
        <v>35</v>
      </c>
      <c r="E10" s="78" t="s">
        <v>666</v>
      </c>
      <c r="F10" s="78" t="s">
        <v>923</v>
      </c>
      <c r="G10" s="79">
        <v>2.9166666666666665</v>
      </c>
      <c r="H10" s="77" t="s">
        <v>920</v>
      </c>
      <c r="I10" s="76" t="s">
        <v>608</v>
      </c>
      <c r="J10" s="127"/>
    </row>
    <row r="11" spans="1:10" x14ac:dyDescent="0.35">
      <c r="A11" s="78" t="s">
        <v>674</v>
      </c>
      <c r="B11" s="98">
        <v>39783</v>
      </c>
      <c r="C11" s="98">
        <v>39845</v>
      </c>
      <c r="D11" s="78">
        <v>38</v>
      </c>
      <c r="E11" s="78" t="s">
        <v>666</v>
      </c>
      <c r="F11" s="78" t="s">
        <v>924</v>
      </c>
      <c r="G11" s="79">
        <v>0.16666666666666666</v>
      </c>
      <c r="H11" s="77" t="s">
        <v>920</v>
      </c>
      <c r="I11" s="76"/>
      <c r="J11" s="33"/>
    </row>
    <row r="12" spans="1:10" x14ac:dyDescent="0.35">
      <c r="A12" s="78" t="s">
        <v>674</v>
      </c>
      <c r="B12" s="98">
        <v>39873</v>
      </c>
      <c r="C12" s="98">
        <v>40513</v>
      </c>
      <c r="D12" s="78">
        <v>39</v>
      </c>
      <c r="E12" s="78" t="s">
        <v>666</v>
      </c>
      <c r="F12" s="78" t="s">
        <v>925</v>
      </c>
      <c r="G12" s="79">
        <v>1.6666666666666665</v>
      </c>
      <c r="H12" s="77" t="s">
        <v>565</v>
      </c>
      <c r="I12" s="76" t="s">
        <v>676</v>
      </c>
      <c r="J12" s="126">
        <v>20</v>
      </c>
    </row>
    <row r="13" spans="1:10" x14ac:dyDescent="0.35">
      <c r="A13" s="78" t="s">
        <v>674</v>
      </c>
      <c r="B13" s="98">
        <v>40238</v>
      </c>
      <c r="C13" s="98">
        <v>40513</v>
      </c>
      <c r="D13" s="78">
        <v>40</v>
      </c>
      <c r="E13" s="78" t="s">
        <v>666</v>
      </c>
      <c r="F13" s="78" t="s">
        <v>926</v>
      </c>
      <c r="G13" s="79">
        <v>0.75</v>
      </c>
      <c r="H13" s="77" t="s">
        <v>565</v>
      </c>
      <c r="I13" s="76" t="s">
        <v>676</v>
      </c>
      <c r="J13" s="127"/>
    </row>
    <row r="14" spans="1:10" x14ac:dyDescent="0.35">
      <c r="A14" s="78" t="s">
        <v>703</v>
      </c>
      <c r="B14" s="99">
        <v>33117</v>
      </c>
      <c r="C14" s="100">
        <v>34486</v>
      </c>
      <c r="D14" s="78">
        <v>18</v>
      </c>
      <c r="E14" s="78" t="s">
        <v>927</v>
      </c>
      <c r="F14" s="78" t="s">
        <v>910</v>
      </c>
      <c r="G14" s="79">
        <v>3.75</v>
      </c>
      <c r="H14" s="33"/>
      <c r="I14" s="76"/>
    </row>
    <row r="15" spans="1:10" x14ac:dyDescent="0.35">
      <c r="A15" s="78" t="s">
        <v>703</v>
      </c>
      <c r="B15" s="99">
        <v>34516</v>
      </c>
      <c r="C15" s="100">
        <v>35156</v>
      </c>
      <c r="D15" s="78">
        <v>22</v>
      </c>
      <c r="E15" s="78" t="s">
        <v>927</v>
      </c>
      <c r="F15" s="78" t="s">
        <v>928</v>
      </c>
      <c r="G15" s="79">
        <v>1.75</v>
      </c>
      <c r="H15" s="33" t="s">
        <v>912</v>
      </c>
      <c r="I15" s="76"/>
      <c r="J15" s="33">
        <v>5</v>
      </c>
    </row>
    <row r="16" spans="1:10" x14ac:dyDescent="0.35">
      <c r="A16" s="78" t="s">
        <v>703</v>
      </c>
      <c r="B16" s="99">
        <v>35186</v>
      </c>
      <c r="C16" s="100">
        <v>35582</v>
      </c>
      <c r="D16" s="78">
        <v>24</v>
      </c>
      <c r="E16" s="78" t="s">
        <v>927</v>
      </c>
      <c r="F16" s="78" t="s">
        <v>929</v>
      </c>
      <c r="G16" s="79">
        <v>1.0833333333333333</v>
      </c>
      <c r="H16" s="33" t="s">
        <v>914</v>
      </c>
      <c r="I16" s="76"/>
      <c r="J16" s="33">
        <v>5</v>
      </c>
    </row>
    <row r="17" spans="1:10" x14ac:dyDescent="0.35">
      <c r="A17" s="78" t="s">
        <v>703</v>
      </c>
      <c r="B17" s="99">
        <v>35612</v>
      </c>
      <c r="C17" s="100">
        <v>36831</v>
      </c>
      <c r="D17" s="78">
        <v>25</v>
      </c>
      <c r="E17" s="78" t="s">
        <v>927</v>
      </c>
      <c r="F17" s="78" t="s">
        <v>930</v>
      </c>
      <c r="G17" s="79">
        <v>3.3333333333333335</v>
      </c>
      <c r="H17" s="33" t="s">
        <v>917</v>
      </c>
      <c r="I17" s="76" t="s">
        <v>931</v>
      </c>
      <c r="J17" s="33">
        <v>25</v>
      </c>
    </row>
    <row r="18" spans="1:10" x14ac:dyDescent="0.35">
      <c r="A18" s="78" t="s">
        <v>703</v>
      </c>
      <c r="B18" s="99">
        <v>36861</v>
      </c>
      <c r="C18" s="100">
        <v>38443</v>
      </c>
      <c r="D18" s="78">
        <v>28</v>
      </c>
      <c r="E18" s="78" t="s">
        <v>927</v>
      </c>
      <c r="F18" s="78" t="s">
        <v>932</v>
      </c>
      <c r="G18" s="79">
        <v>4.25</v>
      </c>
      <c r="H18" s="33" t="s">
        <v>920</v>
      </c>
      <c r="I18" s="76" t="s">
        <v>933</v>
      </c>
      <c r="J18" s="126">
        <v>25</v>
      </c>
    </row>
    <row r="19" spans="1:10" x14ac:dyDescent="0.35">
      <c r="A19" s="78" t="s">
        <v>703</v>
      </c>
      <c r="B19" s="99">
        <v>37377</v>
      </c>
      <c r="C19" s="100">
        <v>38777</v>
      </c>
      <c r="D19" s="78">
        <v>30</v>
      </c>
      <c r="E19" s="78" t="s">
        <v>927</v>
      </c>
      <c r="F19" s="78" t="s">
        <v>934</v>
      </c>
      <c r="G19" s="79">
        <v>3.75</v>
      </c>
      <c r="H19" s="33" t="s">
        <v>920</v>
      </c>
      <c r="I19" s="76" t="s">
        <v>933</v>
      </c>
      <c r="J19" s="128"/>
    </row>
    <row r="20" spans="1:10" x14ac:dyDescent="0.35">
      <c r="A20" s="78" t="s">
        <v>703</v>
      </c>
      <c r="B20" s="99">
        <v>38473</v>
      </c>
      <c r="C20" s="100">
        <v>38777</v>
      </c>
      <c r="D20" s="78">
        <v>33</v>
      </c>
      <c r="E20" s="78" t="s">
        <v>927</v>
      </c>
      <c r="F20" s="78" t="s">
        <v>935</v>
      </c>
      <c r="G20" s="79">
        <v>0.83333333333333337</v>
      </c>
      <c r="H20" s="33" t="s">
        <v>920</v>
      </c>
      <c r="I20" s="76" t="s">
        <v>933</v>
      </c>
      <c r="J20" s="127"/>
    </row>
    <row r="21" spans="1:10" x14ac:dyDescent="0.35">
      <c r="A21" s="78" t="s">
        <v>703</v>
      </c>
      <c r="B21" s="99">
        <v>38808</v>
      </c>
      <c r="C21" s="100">
        <v>40878</v>
      </c>
      <c r="D21" s="78">
        <v>34</v>
      </c>
      <c r="E21" s="78" t="s">
        <v>927</v>
      </c>
      <c r="F21" s="78" t="s">
        <v>936</v>
      </c>
      <c r="G21" s="79">
        <v>5.5833333333333339</v>
      </c>
      <c r="H21" s="33" t="s">
        <v>565</v>
      </c>
      <c r="I21" s="76" t="s">
        <v>676</v>
      </c>
      <c r="J21" s="126">
        <v>30</v>
      </c>
    </row>
    <row r="22" spans="1:10" x14ac:dyDescent="0.35">
      <c r="A22" s="78" t="s">
        <v>703</v>
      </c>
      <c r="B22" s="99">
        <v>40725</v>
      </c>
      <c r="C22" s="100">
        <v>40878</v>
      </c>
      <c r="D22" s="78">
        <v>39</v>
      </c>
      <c r="E22" s="78" t="s">
        <v>927</v>
      </c>
      <c r="F22" s="78" t="s">
        <v>937</v>
      </c>
      <c r="G22" s="79">
        <v>0.41666666666666669</v>
      </c>
      <c r="H22" s="33" t="s">
        <v>565</v>
      </c>
      <c r="I22" s="76" t="s">
        <v>676</v>
      </c>
      <c r="J22" s="128"/>
    </row>
    <row r="23" spans="1:10" x14ac:dyDescent="0.35">
      <c r="A23" s="78" t="s">
        <v>703</v>
      </c>
      <c r="B23" s="99">
        <v>40909</v>
      </c>
      <c r="C23" s="100">
        <v>41334</v>
      </c>
      <c r="D23" s="78">
        <v>40</v>
      </c>
      <c r="E23" s="78" t="s">
        <v>927</v>
      </c>
      <c r="F23" s="78" t="s">
        <v>938</v>
      </c>
      <c r="G23" s="79">
        <v>1.1666666666666667</v>
      </c>
      <c r="H23" s="33" t="s">
        <v>565</v>
      </c>
      <c r="I23" s="76" t="s">
        <v>939</v>
      </c>
      <c r="J23" s="128"/>
    </row>
    <row r="24" spans="1:10" x14ac:dyDescent="0.35">
      <c r="A24" s="78" t="s">
        <v>703</v>
      </c>
      <c r="B24" s="99">
        <v>41365</v>
      </c>
      <c r="C24" s="100">
        <v>42125</v>
      </c>
      <c r="D24" s="78">
        <v>41</v>
      </c>
      <c r="E24" s="78" t="s">
        <v>927</v>
      </c>
      <c r="F24" s="78" t="s">
        <v>940</v>
      </c>
      <c r="G24" s="79">
        <v>2</v>
      </c>
      <c r="H24" s="33" t="s">
        <v>565</v>
      </c>
      <c r="I24" s="76" t="s">
        <v>676</v>
      </c>
      <c r="J24" s="128"/>
    </row>
    <row r="25" spans="1:10" x14ac:dyDescent="0.35">
      <c r="A25" s="78" t="s">
        <v>703</v>
      </c>
      <c r="B25" s="99">
        <v>42005</v>
      </c>
      <c r="C25" s="100">
        <v>42125</v>
      </c>
      <c r="D25" s="78">
        <v>43</v>
      </c>
      <c r="E25" s="78" t="s">
        <v>927</v>
      </c>
      <c r="F25" s="78" t="s">
        <v>940</v>
      </c>
      <c r="G25" s="79">
        <v>0.33333333333333331</v>
      </c>
      <c r="H25" s="33" t="s">
        <v>565</v>
      </c>
      <c r="I25" s="76" t="s">
        <v>676</v>
      </c>
      <c r="J25" s="127"/>
    </row>
    <row r="26" spans="1:10" x14ac:dyDescent="0.35">
      <c r="A26" s="76" t="s">
        <v>941</v>
      </c>
      <c r="B26" s="99">
        <v>34578</v>
      </c>
      <c r="C26" s="100">
        <v>35916</v>
      </c>
      <c r="D26" s="78">
        <v>21</v>
      </c>
      <c r="E26" s="78" t="s">
        <v>942</v>
      </c>
      <c r="F26" s="33" t="s">
        <v>910</v>
      </c>
      <c r="G26" s="79">
        <v>3.6666666666666665</v>
      </c>
      <c r="H26" s="33"/>
      <c r="I26" s="76"/>
    </row>
    <row r="27" spans="1:10" x14ac:dyDescent="0.35">
      <c r="A27" s="76" t="s">
        <v>941</v>
      </c>
      <c r="B27" s="99">
        <v>35947</v>
      </c>
      <c r="C27" s="100">
        <v>37926</v>
      </c>
      <c r="D27" s="78">
        <v>25</v>
      </c>
      <c r="E27" s="78" t="s">
        <v>942</v>
      </c>
      <c r="F27" s="33" t="s">
        <v>943</v>
      </c>
      <c r="G27" s="79">
        <v>5.3333333333333339</v>
      </c>
      <c r="H27" s="33" t="s">
        <v>912</v>
      </c>
      <c r="I27" s="76" t="s">
        <v>944</v>
      </c>
      <c r="J27" s="126">
        <v>5</v>
      </c>
    </row>
    <row r="28" spans="1:10" x14ac:dyDescent="0.35">
      <c r="A28" s="76" t="s">
        <v>941</v>
      </c>
      <c r="B28" s="99">
        <v>36617</v>
      </c>
      <c r="C28" s="100">
        <v>37926</v>
      </c>
      <c r="D28" s="78">
        <v>27</v>
      </c>
      <c r="E28" s="78" t="s">
        <v>942</v>
      </c>
      <c r="F28" s="33" t="s">
        <v>945</v>
      </c>
      <c r="G28" s="79">
        <v>3.5833333333333335</v>
      </c>
      <c r="H28" s="33" t="s">
        <v>912</v>
      </c>
      <c r="I28" s="76" t="s">
        <v>944</v>
      </c>
      <c r="J28" s="127"/>
    </row>
    <row r="29" spans="1:10" x14ac:dyDescent="0.35">
      <c r="A29" s="76" t="s">
        <v>941</v>
      </c>
      <c r="B29" s="99">
        <v>37956</v>
      </c>
      <c r="C29" s="100">
        <v>39873</v>
      </c>
      <c r="D29" s="78">
        <v>30</v>
      </c>
      <c r="E29" s="78" t="s">
        <v>942</v>
      </c>
      <c r="F29" s="33" t="s">
        <v>913</v>
      </c>
      <c r="G29" s="79">
        <v>5.1666666666666661</v>
      </c>
      <c r="H29" s="33" t="s">
        <v>914</v>
      </c>
      <c r="I29" s="76" t="s">
        <v>946</v>
      </c>
      <c r="J29" s="126">
        <v>15</v>
      </c>
    </row>
    <row r="30" spans="1:10" x14ac:dyDescent="0.35">
      <c r="A30" s="76" t="s">
        <v>941</v>
      </c>
      <c r="B30" s="99">
        <v>39052</v>
      </c>
      <c r="C30" s="100">
        <v>39873</v>
      </c>
      <c r="D30" s="78">
        <v>33</v>
      </c>
      <c r="E30" s="78" t="s">
        <v>942</v>
      </c>
      <c r="F30" s="33" t="s">
        <v>915</v>
      </c>
      <c r="G30" s="79">
        <v>2.25</v>
      </c>
      <c r="H30" s="33" t="s">
        <v>914</v>
      </c>
      <c r="I30" s="76" t="s">
        <v>946</v>
      </c>
      <c r="J30" s="127"/>
    </row>
    <row r="31" spans="1:10" x14ac:dyDescent="0.35">
      <c r="A31" s="76" t="s">
        <v>941</v>
      </c>
      <c r="B31" s="99">
        <v>39904</v>
      </c>
      <c r="C31" s="100">
        <v>40603</v>
      </c>
      <c r="D31" s="78">
        <v>36</v>
      </c>
      <c r="E31" s="78" t="s">
        <v>942</v>
      </c>
      <c r="F31" s="33" t="s">
        <v>916</v>
      </c>
      <c r="G31" s="79">
        <v>1.9166666666666667</v>
      </c>
      <c r="H31" s="33" t="s">
        <v>917</v>
      </c>
      <c r="I31" s="76" t="s">
        <v>947</v>
      </c>
      <c r="J31" s="33">
        <v>25</v>
      </c>
    </row>
    <row r="32" spans="1:10" x14ac:dyDescent="0.35">
      <c r="A32" s="76" t="s">
        <v>941</v>
      </c>
      <c r="B32" s="99">
        <v>40603</v>
      </c>
      <c r="C32" s="100">
        <v>40969</v>
      </c>
      <c r="D32" s="78">
        <v>38</v>
      </c>
      <c r="E32" s="78" t="s">
        <v>942</v>
      </c>
      <c r="F32" s="33" t="s">
        <v>948</v>
      </c>
      <c r="G32" s="79">
        <v>1</v>
      </c>
      <c r="H32" s="33" t="s">
        <v>920</v>
      </c>
      <c r="I32" s="76" t="s">
        <v>949</v>
      </c>
      <c r="J32" s="33"/>
    </row>
    <row r="33" spans="1:10" x14ac:dyDescent="0.35">
      <c r="A33" s="76" t="s">
        <v>941</v>
      </c>
      <c r="B33" s="99">
        <v>41000</v>
      </c>
      <c r="C33" s="100">
        <v>41913</v>
      </c>
      <c r="D33" s="78">
        <v>39</v>
      </c>
      <c r="E33" s="78" t="s">
        <v>942</v>
      </c>
      <c r="F33" s="33" t="s">
        <v>950</v>
      </c>
      <c r="G33" s="79">
        <v>2.416666666666667</v>
      </c>
      <c r="H33" s="33" t="s">
        <v>920</v>
      </c>
      <c r="I33" s="76" t="s">
        <v>933</v>
      </c>
      <c r="J33" s="126">
        <v>30</v>
      </c>
    </row>
    <row r="34" spans="1:10" x14ac:dyDescent="0.35">
      <c r="A34" s="76" t="s">
        <v>941</v>
      </c>
      <c r="B34" s="99">
        <v>41456</v>
      </c>
      <c r="C34" s="100">
        <v>41913</v>
      </c>
      <c r="D34" s="78">
        <v>40</v>
      </c>
      <c r="E34" s="78" t="s">
        <v>942</v>
      </c>
      <c r="F34" s="33" t="s">
        <v>951</v>
      </c>
      <c r="G34" s="79">
        <v>1.25</v>
      </c>
      <c r="H34" s="33" t="s">
        <v>920</v>
      </c>
      <c r="I34" s="76" t="s">
        <v>933</v>
      </c>
      <c r="J34" s="127"/>
    </row>
    <row r="35" spans="1:10" x14ac:dyDescent="0.35">
      <c r="A35" s="76" t="s">
        <v>941</v>
      </c>
      <c r="B35" s="99">
        <v>41944</v>
      </c>
      <c r="C35" s="100">
        <v>43070</v>
      </c>
      <c r="D35" s="78">
        <v>41</v>
      </c>
      <c r="E35" s="78" t="s">
        <v>942</v>
      </c>
      <c r="F35" s="33" t="s">
        <v>952</v>
      </c>
      <c r="G35" s="79">
        <v>3</v>
      </c>
      <c r="H35" s="33" t="s">
        <v>565</v>
      </c>
      <c r="I35" s="76" t="s">
        <v>953</v>
      </c>
    </row>
    <row r="36" spans="1:10" x14ac:dyDescent="0.35">
      <c r="A36" s="76" t="s">
        <v>941</v>
      </c>
      <c r="B36" s="99">
        <v>42005</v>
      </c>
      <c r="C36" s="100">
        <v>43070</v>
      </c>
      <c r="D36" s="78">
        <v>42</v>
      </c>
      <c r="E36" s="78" t="s">
        <v>942</v>
      </c>
      <c r="F36" s="33" t="s">
        <v>952</v>
      </c>
      <c r="G36" s="79">
        <v>2.9166666666666665</v>
      </c>
      <c r="H36" s="33" t="s">
        <v>565</v>
      </c>
      <c r="I36" s="76" t="s">
        <v>953</v>
      </c>
    </row>
    <row r="37" spans="1:10" x14ac:dyDescent="0.35">
      <c r="A37" s="76" t="s">
        <v>941</v>
      </c>
      <c r="B37" s="99">
        <v>43101</v>
      </c>
      <c r="C37" s="100">
        <v>44543</v>
      </c>
      <c r="D37" s="78">
        <v>45</v>
      </c>
      <c r="E37" s="78" t="s">
        <v>942</v>
      </c>
      <c r="F37" s="33" t="s">
        <v>954</v>
      </c>
      <c r="G37" s="79">
        <v>3.9166666666666665</v>
      </c>
      <c r="H37" s="33" t="s">
        <v>565</v>
      </c>
      <c r="I37" s="76" t="s">
        <v>955</v>
      </c>
    </row>
    <row r="38" spans="1:10" x14ac:dyDescent="0.35">
      <c r="A38" s="76" t="s">
        <v>956</v>
      </c>
      <c r="B38" s="99">
        <v>36039</v>
      </c>
      <c r="C38" s="100">
        <v>37438</v>
      </c>
      <c r="D38" s="78">
        <v>18</v>
      </c>
      <c r="E38" s="78" t="s">
        <v>927</v>
      </c>
      <c r="F38" s="33" t="s">
        <v>910</v>
      </c>
      <c r="G38" s="79">
        <v>3.8333333333333335</v>
      </c>
      <c r="H38" s="33"/>
      <c r="I38" s="76"/>
    </row>
    <row r="39" spans="1:10" x14ac:dyDescent="0.35">
      <c r="A39" s="78" t="s">
        <v>956</v>
      </c>
      <c r="B39" s="99">
        <v>37438</v>
      </c>
      <c r="C39" s="100">
        <v>38534</v>
      </c>
      <c r="D39" s="78">
        <v>22</v>
      </c>
      <c r="E39" s="78" t="s">
        <v>927</v>
      </c>
      <c r="F39" s="33" t="s">
        <v>945</v>
      </c>
      <c r="G39" s="79">
        <v>3</v>
      </c>
      <c r="H39" s="33" t="s">
        <v>912</v>
      </c>
      <c r="I39" s="76" t="s">
        <v>944</v>
      </c>
      <c r="J39" s="33">
        <v>10</v>
      </c>
    </row>
    <row r="40" spans="1:10" x14ac:dyDescent="0.35">
      <c r="A40" s="78" t="s">
        <v>956</v>
      </c>
      <c r="B40" s="99">
        <v>38534</v>
      </c>
      <c r="C40" s="100">
        <v>39965</v>
      </c>
      <c r="D40" s="78">
        <v>25</v>
      </c>
      <c r="E40" s="78" t="s">
        <v>927</v>
      </c>
      <c r="F40" s="33" t="s">
        <v>957</v>
      </c>
      <c r="G40" s="79">
        <v>3.833333333333333</v>
      </c>
      <c r="H40" s="33"/>
      <c r="I40" s="76"/>
      <c r="J40" s="33"/>
    </row>
    <row r="41" spans="1:10" x14ac:dyDescent="0.35">
      <c r="A41" s="78" t="s">
        <v>956</v>
      </c>
      <c r="B41" s="99">
        <v>38961</v>
      </c>
      <c r="C41" s="100">
        <v>39965</v>
      </c>
      <c r="D41" s="78">
        <v>26</v>
      </c>
      <c r="E41" s="78" t="s">
        <v>927</v>
      </c>
      <c r="F41" s="33" t="s">
        <v>910</v>
      </c>
      <c r="G41" s="79">
        <v>2.75</v>
      </c>
      <c r="H41" s="33"/>
      <c r="I41" s="76"/>
      <c r="J41" s="33"/>
    </row>
    <row r="42" spans="1:10" x14ac:dyDescent="0.35">
      <c r="A42" s="78" t="s">
        <v>956</v>
      </c>
      <c r="B42" s="99">
        <v>39995</v>
      </c>
      <c r="C42" s="100">
        <v>41030</v>
      </c>
      <c r="D42" s="78">
        <v>29</v>
      </c>
      <c r="E42" s="78" t="s">
        <v>927</v>
      </c>
      <c r="F42" s="33" t="s">
        <v>958</v>
      </c>
      <c r="G42" s="79">
        <v>2.8333333333333335</v>
      </c>
      <c r="H42" s="33" t="s">
        <v>914</v>
      </c>
      <c r="I42" s="76" t="s">
        <v>946</v>
      </c>
      <c r="J42" s="33">
        <v>20</v>
      </c>
    </row>
    <row r="43" spans="1:10" x14ac:dyDescent="0.35">
      <c r="A43" s="78" t="s">
        <v>956</v>
      </c>
      <c r="B43" s="99">
        <v>41030</v>
      </c>
      <c r="C43" s="100">
        <v>42856</v>
      </c>
      <c r="D43" s="78">
        <v>32</v>
      </c>
      <c r="E43" s="78" t="s">
        <v>927</v>
      </c>
      <c r="F43" s="33" t="s">
        <v>916</v>
      </c>
      <c r="G43" s="79">
        <v>5</v>
      </c>
      <c r="H43" s="33" t="s">
        <v>917</v>
      </c>
      <c r="I43" s="76" t="s">
        <v>947</v>
      </c>
      <c r="J43" s="33">
        <v>20</v>
      </c>
    </row>
    <row r="44" spans="1:10" x14ac:dyDescent="0.35">
      <c r="A44" s="78" t="s">
        <v>956</v>
      </c>
      <c r="B44" s="99">
        <v>42856</v>
      </c>
      <c r="C44" s="100">
        <v>43009</v>
      </c>
      <c r="D44" s="78">
        <v>37</v>
      </c>
      <c r="E44" s="78" t="s">
        <v>927</v>
      </c>
      <c r="F44" s="33" t="s">
        <v>959</v>
      </c>
      <c r="G44" s="79">
        <v>0.41666666666666669</v>
      </c>
      <c r="H44" s="33" t="s">
        <v>920</v>
      </c>
      <c r="I44" s="76" t="s">
        <v>949</v>
      </c>
      <c r="J44" s="126">
        <v>20</v>
      </c>
    </row>
    <row r="45" spans="1:10" x14ac:dyDescent="0.35">
      <c r="A45" s="78" t="s">
        <v>956</v>
      </c>
      <c r="B45" s="99">
        <v>43009</v>
      </c>
      <c r="C45" s="100">
        <v>43160</v>
      </c>
      <c r="D45" s="78">
        <v>37</v>
      </c>
      <c r="E45" s="78" t="s">
        <v>927</v>
      </c>
      <c r="F45" s="33" t="s">
        <v>960</v>
      </c>
      <c r="G45" s="79">
        <v>0.41666666666666669</v>
      </c>
      <c r="H45" s="33" t="s">
        <v>920</v>
      </c>
      <c r="I45" s="76" t="s">
        <v>949</v>
      </c>
      <c r="J45" s="128"/>
    </row>
    <row r="46" spans="1:10" x14ac:dyDescent="0.35">
      <c r="A46" s="78" t="s">
        <v>956</v>
      </c>
      <c r="B46" s="99">
        <v>43160</v>
      </c>
      <c r="C46" s="100">
        <v>43678</v>
      </c>
      <c r="D46" s="78">
        <v>38</v>
      </c>
      <c r="E46" s="78" t="s">
        <v>927</v>
      </c>
      <c r="F46" s="33" t="s">
        <v>961</v>
      </c>
      <c r="G46" s="79">
        <v>1.4166666666666667</v>
      </c>
      <c r="H46" s="33" t="s">
        <v>920</v>
      </c>
      <c r="I46" s="76" t="s">
        <v>949</v>
      </c>
      <c r="J46" s="127"/>
    </row>
    <row r="47" spans="1:10" x14ac:dyDescent="0.35">
      <c r="A47" s="78" t="s">
        <v>956</v>
      </c>
      <c r="B47" s="99">
        <v>43678</v>
      </c>
      <c r="C47" s="100">
        <v>44543</v>
      </c>
      <c r="D47" s="78">
        <v>39</v>
      </c>
      <c r="E47" s="78" t="s">
        <v>927</v>
      </c>
      <c r="F47" s="33" t="s">
        <v>954</v>
      </c>
      <c r="G47" s="79">
        <v>2.3333333333333335</v>
      </c>
      <c r="H47" s="33" t="s">
        <v>565</v>
      </c>
      <c r="I47" s="76" t="s">
        <v>955</v>
      </c>
    </row>
    <row r="48" spans="1:10" x14ac:dyDescent="0.35">
      <c r="A48" s="76" t="s">
        <v>962</v>
      </c>
      <c r="B48" s="99">
        <v>37865</v>
      </c>
      <c r="C48" s="100">
        <v>39234</v>
      </c>
      <c r="D48" s="78">
        <v>20</v>
      </c>
      <c r="E48" s="78" t="s">
        <v>927</v>
      </c>
      <c r="F48" s="33" t="s">
        <v>910</v>
      </c>
      <c r="G48" s="79">
        <v>3.75</v>
      </c>
      <c r="H48" s="33"/>
      <c r="I48" s="76"/>
    </row>
    <row r="49" spans="1:10" x14ac:dyDescent="0.35">
      <c r="A49" s="78" t="s">
        <v>962</v>
      </c>
      <c r="B49" s="99">
        <v>39264</v>
      </c>
      <c r="C49" s="100">
        <v>39661</v>
      </c>
      <c r="D49" s="78">
        <v>24</v>
      </c>
      <c r="E49" s="78" t="s">
        <v>927</v>
      </c>
      <c r="F49" s="33" t="s">
        <v>945</v>
      </c>
      <c r="G49" s="79">
        <v>1.0833333333333333</v>
      </c>
      <c r="H49" s="33" t="s">
        <v>912</v>
      </c>
      <c r="I49" s="76" t="s">
        <v>944</v>
      </c>
      <c r="J49" s="33">
        <v>15</v>
      </c>
    </row>
    <row r="50" spans="1:10" x14ac:dyDescent="0.35">
      <c r="A50" s="78" t="s">
        <v>962</v>
      </c>
      <c r="B50" s="99">
        <v>39692</v>
      </c>
      <c r="C50" s="100">
        <v>40695</v>
      </c>
      <c r="D50" s="78">
        <v>25</v>
      </c>
      <c r="E50" s="78" t="s">
        <v>927</v>
      </c>
      <c r="F50" s="33" t="s">
        <v>910</v>
      </c>
      <c r="G50" s="79">
        <v>2.75</v>
      </c>
      <c r="H50" s="33"/>
      <c r="I50" s="76"/>
      <c r="J50" s="33"/>
    </row>
    <row r="51" spans="1:10" x14ac:dyDescent="0.35">
      <c r="A51" s="78" t="s">
        <v>962</v>
      </c>
      <c r="B51" s="99">
        <v>40725</v>
      </c>
      <c r="C51" s="100">
        <v>41791</v>
      </c>
      <c r="D51" s="78">
        <v>28</v>
      </c>
      <c r="E51" s="78" t="s">
        <v>927</v>
      </c>
      <c r="F51" s="33" t="s">
        <v>945</v>
      </c>
      <c r="G51" s="79">
        <v>2.9166666666666665</v>
      </c>
      <c r="H51" s="33" t="s">
        <v>914</v>
      </c>
      <c r="I51" s="76" t="s">
        <v>946</v>
      </c>
      <c r="J51" s="33">
        <v>20</v>
      </c>
    </row>
    <row r="52" spans="1:10" x14ac:dyDescent="0.35">
      <c r="A52" s="78" t="s">
        <v>962</v>
      </c>
      <c r="B52" s="99">
        <v>41791</v>
      </c>
      <c r="C52" s="100">
        <v>42856</v>
      </c>
      <c r="D52" s="78">
        <v>31</v>
      </c>
      <c r="E52" s="78" t="s">
        <v>927</v>
      </c>
      <c r="F52" s="33" t="s">
        <v>916</v>
      </c>
      <c r="G52" s="79">
        <v>2.9166666666666665</v>
      </c>
      <c r="H52" s="33" t="s">
        <v>917</v>
      </c>
      <c r="I52" s="76" t="s">
        <v>947</v>
      </c>
      <c r="J52" s="33">
        <v>20</v>
      </c>
    </row>
    <row r="53" spans="1:10" x14ac:dyDescent="0.35">
      <c r="A53" s="78" t="s">
        <v>962</v>
      </c>
      <c r="B53" s="99">
        <v>42856</v>
      </c>
      <c r="C53" s="100">
        <v>43009</v>
      </c>
      <c r="D53" s="78">
        <v>34</v>
      </c>
      <c r="E53" s="78" t="s">
        <v>927</v>
      </c>
      <c r="F53" s="33" t="s">
        <v>963</v>
      </c>
      <c r="G53" s="79">
        <v>0.41666666666666669</v>
      </c>
      <c r="H53" s="33" t="s">
        <v>920</v>
      </c>
      <c r="I53" s="76" t="s">
        <v>949</v>
      </c>
      <c r="J53" s="126">
        <v>20</v>
      </c>
    </row>
    <row r="54" spans="1:10" x14ac:dyDescent="0.35">
      <c r="A54" s="78" t="s">
        <v>962</v>
      </c>
      <c r="B54" s="99">
        <v>43009</v>
      </c>
      <c r="C54" s="100">
        <v>43160</v>
      </c>
      <c r="D54" s="78">
        <v>34</v>
      </c>
      <c r="E54" s="78" t="s">
        <v>927</v>
      </c>
      <c r="F54" s="33" t="s">
        <v>964</v>
      </c>
      <c r="G54" s="79">
        <v>0.41666666666666669</v>
      </c>
      <c r="H54" s="33" t="s">
        <v>920</v>
      </c>
      <c r="I54" s="76" t="s">
        <v>949</v>
      </c>
      <c r="J54" s="128"/>
    </row>
    <row r="55" spans="1:10" x14ac:dyDescent="0.35">
      <c r="B55" s="99"/>
      <c r="C55" s="99"/>
      <c r="G55" s="79"/>
      <c r="H55" s="77"/>
      <c r="I55" s="77"/>
    </row>
    <row r="56" spans="1:10" x14ac:dyDescent="0.35">
      <c r="B56" s="99"/>
      <c r="C56" s="99"/>
      <c r="G56" s="79"/>
      <c r="H56" s="77"/>
      <c r="I56" s="77"/>
    </row>
    <row r="57" spans="1:10" x14ac:dyDescent="0.35">
      <c r="B57" s="99"/>
      <c r="C57" s="99"/>
      <c r="G57" s="79"/>
      <c r="H57" s="77"/>
      <c r="I57" s="77"/>
    </row>
    <row r="58" spans="1:10" x14ac:dyDescent="0.35">
      <c r="B58" s="99"/>
      <c r="C58" s="99"/>
      <c r="G58" s="79"/>
      <c r="H58" s="77"/>
      <c r="I58" s="77"/>
    </row>
    <row r="59" spans="1:10" x14ac:dyDescent="0.35">
      <c r="B59" s="99"/>
      <c r="C59" s="99"/>
      <c r="G59" s="79"/>
      <c r="H59" s="77"/>
      <c r="I59" s="77"/>
    </row>
    <row r="60" spans="1:10" x14ac:dyDescent="0.35">
      <c r="B60" s="99"/>
      <c r="C60" s="99"/>
      <c r="G60" s="79"/>
      <c r="H60" s="77"/>
      <c r="I60" s="77"/>
    </row>
    <row r="61" spans="1:10" x14ac:dyDescent="0.35">
      <c r="B61" s="99"/>
      <c r="C61" s="99"/>
      <c r="G61" s="79"/>
      <c r="H61" s="77"/>
      <c r="I61" s="77"/>
    </row>
    <row r="62" spans="1:10" x14ac:dyDescent="0.35">
      <c r="A62" s="76"/>
      <c r="B62" s="99"/>
      <c r="C62" s="99"/>
      <c r="E62" s="33"/>
      <c r="F62" s="33"/>
      <c r="G62" s="79"/>
      <c r="H62" s="77"/>
      <c r="I62" s="77"/>
    </row>
    <row r="63" spans="1:10" x14ac:dyDescent="0.35">
      <c r="B63" s="99"/>
      <c r="C63" s="99"/>
      <c r="E63" s="33"/>
      <c r="F63" s="33"/>
      <c r="G63" s="79"/>
      <c r="H63" s="77"/>
      <c r="I63" s="77"/>
    </row>
    <row r="64" spans="1:10" x14ac:dyDescent="0.35">
      <c r="B64" s="99"/>
      <c r="C64" s="99"/>
      <c r="E64" s="33"/>
      <c r="F64" s="33"/>
      <c r="G64" s="79"/>
      <c r="H64" s="77"/>
      <c r="I64" s="77"/>
    </row>
    <row r="65" spans="1:9" x14ac:dyDescent="0.35">
      <c r="B65" s="99"/>
      <c r="C65" s="99"/>
      <c r="E65" s="33"/>
      <c r="F65" s="33"/>
      <c r="G65" s="79"/>
      <c r="H65" s="77"/>
      <c r="I65" s="77"/>
    </row>
    <row r="66" spans="1:9" x14ac:dyDescent="0.35">
      <c r="B66" s="99"/>
      <c r="C66" s="99"/>
      <c r="E66" s="33"/>
      <c r="F66" s="33"/>
      <c r="G66" s="79"/>
      <c r="H66" s="77"/>
      <c r="I66" s="77"/>
    </row>
    <row r="67" spans="1:9" x14ac:dyDescent="0.35">
      <c r="A67" s="76"/>
      <c r="B67" s="99"/>
      <c r="C67" s="99"/>
      <c r="G67" s="79"/>
      <c r="H67" s="77"/>
      <c r="I67" s="77"/>
    </row>
    <row r="68" spans="1:9" x14ac:dyDescent="0.35">
      <c r="B68" s="99"/>
      <c r="C68" s="99"/>
      <c r="G68" s="79"/>
      <c r="H68" s="77"/>
      <c r="I68" s="77"/>
    </row>
    <row r="69" spans="1:9" x14ac:dyDescent="0.35">
      <c r="B69" s="99"/>
      <c r="C69" s="99"/>
      <c r="G69" s="79"/>
      <c r="H69" s="77"/>
      <c r="I69" s="77"/>
    </row>
    <row r="70" spans="1:9" x14ac:dyDescent="0.35">
      <c r="B70" s="99"/>
      <c r="C70" s="99"/>
      <c r="G70" s="79"/>
      <c r="H70" s="77"/>
      <c r="I70" s="77"/>
    </row>
    <row r="71" spans="1:9" x14ac:dyDescent="0.35">
      <c r="B71" s="99"/>
      <c r="C71" s="99"/>
      <c r="G71" s="79"/>
      <c r="H71" s="77"/>
      <c r="I71" s="77"/>
    </row>
    <row r="72" spans="1:9" x14ac:dyDescent="0.35">
      <c r="B72" s="99"/>
      <c r="C72" s="99"/>
      <c r="G72" s="79"/>
      <c r="H72" s="77"/>
      <c r="I72" s="77"/>
    </row>
    <row r="73" spans="1:9" x14ac:dyDescent="0.35">
      <c r="B73" s="99"/>
      <c r="C73" s="99"/>
      <c r="G73" s="79"/>
      <c r="H73" s="77"/>
      <c r="I73" s="77"/>
    </row>
    <row r="74" spans="1:9" x14ac:dyDescent="0.35">
      <c r="B74" s="99"/>
      <c r="C74" s="99"/>
      <c r="G74" s="79"/>
      <c r="H74" s="77"/>
      <c r="I74" s="77"/>
    </row>
    <row r="75" spans="1:9" x14ac:dyDescent="0.35">
      <c r="B75" s="99"/>
      <c r="C75" s="99"/>
      <c r="G75" s="79"/>
      <c r="H75" s="77"/>
      <c r="I75" s="77"/>
    </row>
    <row r="76" spans="1:9" x14ac:dyDescent="0.35">
      <c r="B76" s="99"/>
      <c r="C76" s="99"/>
      <c r="G76" s="79"/>
      <c r="H76" s="77"/>
      <c r="I76" s="77"/>
    </row>
    <row r="77" spans="1:9" x14ac:dyDescent="0.35">
      <c r="B77" s="99"/>
      <c r="C77" s="99"/>
      <c r="G77" s="79"/>
      <c r="H77" s="77"/>
      <c r="I77" s="77"/>
    </row>
    <row r="78" spans="1:9" x14ac:dyDescent="0.35">
      <c r="B78" s="99"/>
      <c r="C78" s="99"/>
      <c r="G78" s="79"/>
      <c r="H78" s="77"/>
      <c r="I78" s="77"/>
    </row>
    <row r="79" spans="1:9" x14ac:dyDescent="0.35">
      <c r="A79" s="76"/>
      <c r="B79" s="99"/>
      <c r="C79" s="99"/>
      <c r="G79" s="79"/>
      <c r="H79" s="77"/>
      <c r="I79" s="97"/>
    </row>
    <row r="80" spans="1:9" x14ac:dyDescent="0.35">
      <c r="B80" s="99"/>
      <c r="C80" s="99"/>
      <c r="G80" s="79"/>
      <c r="H80" s="77"/>
      <c r="I80" s="77"/>
    </row>
    <row r="81" spans="2:9" x14ac:dyDescent="0.35">
      <c r="B81" s="99"/>
      <c r="C81" s="99"/>
      <c r="G81" s="79"/>
      <c r="H81" s="77"/>
      <c r="I81" s="77"/>
    </row>
    <row r="82" spans="2:9" x14ac:dyDescent="0.35">
      <c r="B82" s="99"/>
      <c r="C82" s="99"/>
      <c r="G82" s="79"/>
      <c r="H82" s="77"/>
      <c r="I82" s="77"/>
    </row>
    <row r="83" spans="2:9" x14ac:dyDescent="0.35">
      <c r="B83" s="99"/>
      <c r="C83" s="99"/>
      <c r="G83" s="79"/>
      <c r="H83" s="77"/>
      <c r="I83" s="77"/>
    </row>
    <row r="84" spans="2:9" x14ac:dyDescent="0.35">
      <c r="B84" s="99"/>
      <c r="C84" s="99"/>
      <c r="G84" s="79"/>
      <c r="H84" s="77"/>
      <c r="I84" s="77"/>
    </row>
    <row r="85" spans="2:9" x14ac:dyDescent="0.35">
      <c r="B85" s="99"/>
      <c r="C85" s="99"/>
      <c r="G85" s="79"/>
      <c r="H85" s="77"/>
      <c r="I85" s="77"/>
    </row>
    <row r="86" spans="2:9" x14ac:dyDescent="0.35">
      <c r="B86" s="99"/>
      <c r="C86" s="99"/>
      <c r="G86" s="79"/>
      <c r="H86" s="77"/>
      <c r="I86" s="77"/>
    </row>
    <row r="87" spans="2:9" x14ac:dyDescent="0.35">
      <c r="B87" s="99"/>
      <c r="C87" s="99"/>
      <c r="G87" s="79"/>
      <c r="H87" s="77"/>
      <c r="I87" s="77"/>
    </row>
    <row r="88" spans="2:9" x14ac:dyDescent="0.35">
      <c r="B88" s="99"/>
      <c r="C88" s="99"/>
      <c r="G88" s="79"/>
      <c r="H88" s="77"/>
      <c r="I88" s="77"/>
    </row>
    <row r="89" spans="2:9" x14ac:dyDescent="0.35">
      <c r="B89" s="99"/>
      <c r="C89" s="99"/>
      <c r="G89" s="79"/>
      <c r="H89" s="77"/>
      <c r="I89" s="77"/>
    </row>
    <row r="90" spans="2:9" x14ac:dyDescent="0.35">
      <c r="B90" s="99"/>
      <c r="C90" s="99"/>
      <c r="G90" s="79"/>
      <c r="H90" s="77"/>
      <c r="I90" s="77"/>
    </row>
    <row r="91" spans="2:9" x14ac:dyDescent="0.35">
      <c r="B91" s="99"/>
      <c r="C91" s="99"/>
      <c r="G91" s="79"/>
      <c r="H91" s="77"/>
      <c r="I91" s="77"/>
    </row>
    <row r="92" spans="2:9" x14ac:dyDescent="0.35">
      <c r="B92" s="99"/>
      <c r="C92" s="99"/>
      <c r="G92" s="79"/>
      <c r="H92" s="77"/>
      <c r="I92" s="77"/>
    </row>
    <row r="93" spans="2:9" x14ac:dyDescent="0.35">
      <c r="B93" s="99"/>
      <c r="C93" s="99"/>
      <c r="G93" s="79"/>
      <c r="H93" s="77"/>
      <c r="I93" s="77"/>
    </row>
    <row r="94" spans="2:9" x14ac:dyDescent="0.35">
      <c r="B94" s="99"/>
      <c r="C94" s="99"/>
      <c r="G94" s="79"/>
      <c r="H94" s="77"/>
      <c r="I94" s="77"/>
    </row>
    <row r="95" spans="2:9" x14ac:dyDescent="0.35">
      <c r="B95" s="99"/>
      <c r="C95" s="99"/>
      <c r="G95" s="79"/>
      <c r="H95" s="77"/>
      <c r="I95" s="77"/>
    </row>
    <row r="96" spans="2:9" x14ac:dyDescent="0.35">
      <c r="B96" s="99"/>
      <c r="C96" s="99"/>
      <c r="G96" s="79"/>
      <c r="H96" s="77"/>
      <c r="I96" s="77"/>
    </row>
    <row r="97" spans="2:9" x14ac:dyDescent="0.35">
      <c r="B97" s="99"/>
      <c r="C97" s="99"/>
      <c r="G97" s="79"/>
      <c r="H97" s="77"/>
      <c r="I97" s="77"/>
    </row>
    <row r="98" spans="2:9" x14ac:dyDescent="0.35">
      <c r="B98" s="99"/>
      <c r="C98" s="99"/>
      <c r="G98" s="79"/>
      <c r="H98" s="77"/>
      <c r="I98" s="77"/>
    </row>
    <row r="99" spans="2:9" x14ac:dyDescent="0.35">
      <c r="B99" s="99"/>
      <c r="C99" s="99"/>
      <c r="G99" s="79"/>
      <c r="H99" s="77"/>
      <c r="I99" s="77"/>
    </row>
    <row r="100" spans="2:9" x14ac:dyDescent="0.35">
      <c r="B100" s="99"/>
      <c r="C100" s="99"/>
      <c r="G100" s="79"/>
      <c r="H100" s="77"/>
      <c r="I100" s="77"/>
    </row>
    <row r="101" spans="2:9" x14ac:dyDescent="0.35">
      <c r="B101" s="99"/>
      <c r="C101" s="99"/>
      <c r="G101" s="79"/>
      <c r="H101" s="77"/>
      <c r="I101" s="77"/>
    </row>
    <row r="102" spans="2:9" x14ac:dyDescent="0.35">
      <c r="B102" s="99"/>
      <c r="C102" s="99"/>
      <c r="G102" s="79"/>
      <c r="H102" s="77"/>
      <c r="I102" s="77"/>
    </row>
    <row r="103" spans="2:9" x14ac:dyDescent="0.35">
      <c r="B103" s="99"/>
      <c r="C103" s="99"/>
      <c r="G103" s="79"/>
      <c r="H103" s="77"/>
      <c r="I103" s="77"/>
    </row>
    <row r="104" spans="2:9" x14ac:dyDescent="0.35">
      <c r="B104" s="99"/>
      <c r="C104" s="99"/>
      <c r="G104" s="79"/>
      <c r="H104" s="77"/>
      <c r="I104" s="77"/>
    </row>
    <row r="105" spans="2:9" x14ac:dyDescent="0.35">
      <c r="B105" s="99"/>
      <c r="C105" s="99"/>
      <c r="G105" s="79"/>
      <c r="H105" s="77"/>
      <c r="I105" s="77"/>
    </row>
    <row r="106" spans="2:9" x14ac:dyDescent="0.35">
      <c r="B106" s="99"/>
      <c r="C106" s="99"/>
      <c r="G106" s="79"/>
      <c r="H106" s="77"/>
      <c r="I106" s="77"/>
    </row>
    <row r="107" spans="2:9" x14ac:dyDescent="0.35">
      <c r="B107" s="99"/>
      <c r="C107" s="99"/>
      <c r="G107" s="79"/>
      <c r="H107" s="77"/>
      <c r="I107" s="77"/>
    </row>
    <row r="108" spans="2:9" x14ac:dyDescent="0.35">
      <c r="B108" s="99"/>
      <c r="C108" s="99"/>
      <c r="G108" s="79"/>
      <c r="H108" s="77"/>
      <c r="I108" s="77"/>
    </row>
    <row r="109" spans="2:9" x14ac:dyDescent="0.35">
      <c r="B109" s="99"/>
      <c r="C109" s="99"/>
      <c r="G109" s="79"/>
      <c r="H109" s="77"/>
      <c r="I109" s="77"/>
    </row>
    <row r="110" spans="2:9" x14ac:dyDescent="0.35">
      <c r="B110" s="99"/>
      <c r="C110" s="99"/>
      <c r="G110" s="79"/>
      <c r="H110" s="77"/>
      <c r="I110" s="77"/>
    </row>
    <row r="111" spans="2:9" x14ac:dyDescent="0.35">
      <c r="B111" s="99"/>
      <c r="C111" s="99"/>
      <c r="G111" s="79"/>
      <c r="H111" s="77"/>
      <c r="I111" s="77"/>
    </row>
    <row r="112" spans="2:9" x14ac:dyDescent="0.35">
      <c r="B112" s="99"/>
      <c r="C112" s="99"/>
      <c r="G112" s="79"/>
      <c r="H112" s="77"/>
      <c r="I112" s="77"/>
    </row>
    <row r="113" spans="2:9" x14ac:dyDescent="0.35">
      <c r="B113" s="99"/>
      <c r="C113" s="99"/>
      <c r="G113" s="79"/>
      <c r="H113" s="77"/>
      <c r="I113" s="77"/>
    </row>
    <row r="114" spans="2:9" x14ac:dyDescent="0.35">
      <c r="B114" s="99"/>
      <c r="C114" s="99"/>
      <c r="G114" s="79"/>
      <c r="H114" s="77"/>
      <c r="I114" s="77"/>
    </row>
    <row r="115" spans="2:9" x14ac:dyDescent="0.35">
      <c r="B115" s="99"/>
      <c r="C115" s="99"/>
      <c r="G115" s="79"/>
      <c r="H115" s="77"/>
      <c r="I115" s="77"/>
    </row>
    <row r="116" spans="2:9" x14ac:dyDescent="0.35">
      <c r="B116" s="99"/>
      <c r="C116" s="99"/>
      <c r="G116" s="79"/>
      <c r="H116" s="77"/>
      <c r="I116" s="77"/>
    </row>
    <row r="117" spans="2:9" x14ac:dyDescent="0.35">
      <c r="B117" s="99"/>
      <c r="C117" s="99"/>
      <c r="G117" s="79"/>
      <c r="H117" s="77"/>
      <c r="I117" s="77"/>
    </row>
    <row r="118" spans="2:9" x14ac:dyDescent="0.35">
      <c r="B118" s="99"/>
      <c r="C118" s="99"/>
      <c r="G118" s="79"/>
      <c r="H118" s="77"/>
      <c r="I118" s="77"/>
    </row>
  </sheetData>
  <mergeCells count="10">
    <mergeCell ref="J29:J30"/>
    <mergeCell ref="J33:J34"/>
    <mergeCell ref="J44:J46"/>
    <mergeCell ref="J53:J54"/>
    <mergeCell ref="J5:J6"/>
    <mergeCell ref="J8:J10"/>
    <mergeCell ref="J12:J13"/>
    <mergeCell ref="J18:J20"/>
    <mergeCell ref="J21:J25"/>
    <mergeCell ref="J27:J28"/>
  </mergeCells>
  <phoneticPr fontId="3" type="noConversion"/>
  <hyperlinks>
    <hyperlink ref="A1" location="'0-使用说明'!D1" display="'0-使用说明'!D1" xr:uid="{C7E59044-5499-4289-A693-0991BDE8891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BED2A-1A0D-477C-9635-28154163C1C3}">
  <sheetPr codeName="Sheet11"/>
  <dimension ref="A1:J490"/>
  <sheetViews>
    <sheetView workbookViewId="0">
      <selection activeCell="I8" sqref="I8"/>
    </sheetView>
  </sheetViews>
  <sheetFormatPr defaultRowHeight="16.5" x14ac:dyDescent="0.3"/>
  <cols>
    <col min="1" max="3" width="9" style="52"/>
    <col min="4" max="5" width="19.625" style="52" hidden="1" customWidth="1"/>
    <col min="6" max="10" width="9" style="52"/>
    <col min="11" max="16384" width="9" style="38"/>
  </cols>
  <sheetData>
    <row r="1" spans="1:10" ht="36" x14ac:dyDescent="0.3">
      <c r="A1" s="116" t="s">
        <v>897</v>
      </c>
      <c r="B1" s="12" t="s">
        <v>879</v>
      </c>
    </row>
    <row r="2" spans="1:10" x14ac:dyDescent="0.3">
      <c r="A2" s="25" t="s">
        <v>176</v>
      </c>
      <c r="B2" s="17" t="s">
        <v>698</v>
      </c>
      <c r="C2" s="17" t="s">
        <v>699</v>
      </c>
      <c r="D2" s="25" t="s">
        <v>892</v>
      </c>
      <c r="E2" s="25" t="s">
        <v>702</v>
      </c>
      <c r="F2" s="25" t="s">
        <v>22</v>
      </c>
      <c r="G2" s="25" t="s">
        <v>23</v>
      </c>
      <c r="H2" s="25" t="s">
        <v>24</v>
      </c>
      <c r="I2" s="25" t="s">
        <v>25</v>
      </c>
      <c r="J2" s="25" t="s">
        <v>26</v>
      </c>
    </row>
    <row r="3" spans="1:10" x14ac:dyDescent="0.3">
      <c r="A3" s="3" t="s">
        <v>41</v>
      </c>
      <c r="B3" s="3" t="str">
        <f>IFERROR(VLOOKUP($A3,'1-1 基本信息'!$A:$K,11,0),"")</f>
        <v>采气二厂</v>
      </c>
      <c r="C3" s="3" t="str">
        <f>IFERROR(VLOOKUP($A3,'1-1 基本信息'!$A:$K,8,0),"")</f>
        <v>党委书记</v>
      </c>
      <c r="D3" s="3" t="str">
        <f>B3&amp;C3</f>
        <v>采气二厂党委书记</v>
      </c>
      <c r="E3" s="3" t="str">
        <f>IF(D3="","",IF(COUNTIF($D$3:$D3,$D3)=1,D3&amp;"1",IF(COUNTIF($D$3:$D3,$D3)=2,D3&amp;"2",IF(COUNTIF($D$3:$D3,$D3)=3,D3&amp;"3",IF(COUNTIF($D$3:$D3,$D3)=4,D3&amp;"4",IF(COUNTIF($D$3:$D3,$D3)=5,D3&amp;"5",IF(COUNTIF($D$3:$D3,$D3)=6,D3&amp;"6",IF(COUNTIF($D$3:$D3,$D3)=7,D3&amp;"7",IF(COUNTIF($D$3:$D3,$D3)=8,D3&amp;"8",D3)))))))))</f>
        <v>采气二厂党委书记1</v>
      </c>
      <c r="F3" s="3">
        <v>2</v>
      </c>
      <c r="G3" s="3">
        <v>3</v>
      </c>
      <c r="H3" s="3">
        <v>4.0999999999999996</v>
      </c>
      <c r="I3" s="3">
        <v>3.2</v>
      </c>
      <c r="J3" s="3">
        <v>4</v>
      </c>
    </row>
    <row r="4" spans="1:10" x14ac:dyDescent="0.3">
      <c r="A4" s="3" t="s">
        <v>43</v>
      </c>
      <c r="B4" s="3" t="str">
        <f>IFERROR(VLOOKUP($A4,'1-1 基本信息'!$A:$K,11,0),"")</f>
        <v>物资供应中心</v>
      </c>
      <c r="C4" s="3" t="str">
        <f>IFERROR(VLOOKUP($A4,'1-1 基本信息'!$A:$K,8,0),"")</f>
        <v>中层副职</v>
      </c>
      <c r="D4" s="3" t="str">
        <f t="shared" ref="D4:D67" si="0">B4&amp;C4</f>
        <v>物资供应中心中层副职</v>
      </c>
      <c r="E4" s="3" t="str">
        <f>IF(D4="","",IF(COUNTIF($D$3:$D4,$D4)=1,D4&amp;"1",IF(COUNTIF($D$3:$D4,$D4)=2,D4&amp;"2",IF(COUNTIF($D$3:$D4,$D4)=3,D4&amp;"3",IF(COUNTIF($D$3:$D4,$D4)=4,D4&amp;"4",IF(COUNTIF($D$3:$D4,$D4)=5,D4&amp;"5",IF(COUNTIF($D$3:$D4,$D4)=6,D4&amp;"6",IF(COUNTIF($D$3:$D4,$D4)=7,D4&amp;"7",IF(COUNTIF($D$3:$D4,$D4)=8,D4&amp;"8",D4)))))))))</f>
        <v>物资供应中心中层副职1</v>
      </c>
      <c r="F4" s="3">
        <v>4.4000000000000004</v>
      </c>
      <c r="G4" s="3">
        <v>7.9</v>
      </c>
      <c r="H4" s="3">
        <v>6.3</v>
      </c>
      <c r="I4" s="3">
        <v>4.5</v>
      </c>
      <c r="J4" s="3">
        <v>5.9</v>
      </c>
    </row>
    <row r="5" spans="1:10" x14ac:dyDescent="0.3">
      <c r="A5" s="3" t="s">
        <v>44</v>
      </c>
      <c r="B5" s="3" t="str">
        <f>IFERROR(VLOOKUP($A5,'1-1 基本信息'!$A:$K,11,0),"")</f>
        <v/>
      </c>
      <c r="C5" s="3" t="str">
        <f>IFERROR(VLOOKUP($A5,'1-1 基本信息'!$A:$K,8,0),"")</f>
        <v/>
      </c>
      <c r="D5" s="3" t="str">
        <f t="shared" si="0"/>
        <v/>
      </c>
      <c r="E5" s="3" t="str">
        <f>IF(D5="","",IF(COUNTIF($D$3:$D5,$D5)=1,D5&amp;"1",IF(COUNTIF($D$3:$D5,$D5)=2,D5&amp;"2",IF(COUNTIF($D$3:$D5,$D5)=3,D5&amp;"3",IF(COUNTIF($D$3:$D5,$D5)=4,D5&amp;"4",IF(COUNTIF($D$3:$D5,$D5)=5,D5&amp;"5",IF(COUNTIF($D$3:$D5,$D5)=6,D5&amp;"6",IF(COUNTIF($D$3:$D5,$D5)=7,D5&amp;"7",IF(COUNTIF($D$3:$D5,$D5)=8,D5&amp;"8",D5)))))))))</f>
        <v/>
      </c>
      <c r="F5" s="3">
        <v>4.4000000000000004</v>
      </c>
      <c r="G5" s="3">
        <v>6</v>
      </c>
      <c r="H5" s="3">
        <v>4.0999999999999996</v>
      </c>
      <c r="I5" s="3">
        <v>2.6</v>
      </c>
      <c r="J5" s="3">
        <v>3.4</v>
      </c>
    </row>
    <row r="6" spans="1:10" x14ac:dyDescent="0.3">
      <c r="A6" s="3" t="s">
        <v>45</v>
      </c>
      <c r="B6" s="3" t="str">
        <f>IFERROR(VLOOKUP($A6,'1-1 基本信息'!$A:$K,11,0),"")</f>
        <v>采气二厂</v>
      </c>
      <c r="C6" s="3" t="str">
        <f>IFERROR(VLOOKUP($A6,'1-1 基本信息'!$A:$K,8,0),"")</f>
        <v>中层副职</v>
      </c>
      <c r="D6" s="3" t="str">
        <f t="shared" si="0"/>
        <v>采气二厂中层副职</v>
      </c>
      <c r="E6" s="3" t="str">
        <f>IF(D6="","",IF(COUNTIF($D$3:$D6,$D6)=1,D6&amp;"1",IF(COUNTIF($D$3:$D6,$D6)=2,D6&amp;"2",IF(COUNTIF($D$3:$D6,$D6)=3,D6&amp;"3",IF(COUNTIF($D$3:$D6,$D6)=4,D6&amp;"4",IF(COUNTIF($D$3:$D6,$D6)=5,D6&amp;"5",IF(COUNTIF($D$3:$D6,$D6)=6,D6&amp;"6",IF(COUNTIF($D$3:$D6,$D6)=7,D6&amp;"7",IF(COUNTIF($D$3:$D6,$D6)=8,D6&amp;"8",D6)))))))))</f>
        <v>采气二厂中层副职1</v>
      </c>
      <c r="F6" s="3">
        <v>6.8</v>
      </c>
      <c r="G6" s="3">
        <v>5.4</v>
      </c>
      <c r="H6" s="3">
        <v>5.2</v>
      </c>
      <c r="I6" s="3">
        <v>6.9</v>
      </c>
      <c r="J6" s="3">
        <v>4.5999999999999996</v>
      </c>
    </row>
    <row r="7" spans="1:10" x14ac:dyDescent="0.3">
      <c r="A7" s="3" t="s">
        <v>46</v>
      </c>
      <c r="B7" s="3" t="str">
        <f>IFERROR(VLOOKUP($A7,'1-1 基本信息'!$A:$K,11,0),"")</f>
        <v>党委办公室</v>
      </c>
      <c r="C7" s="3" t="str">
        <f>IFERROR(VLOOKUP($A7,'1-1 基本信息'!$A:$K,8,0),"")</f>
        <v>中层副职</v>
      </c>
      <c r="D7" s="3" t="str">
        <f t="shared" si="0"/>
        <v>党委办公室中层副职</v>
      </c>
      <c r="E7" s="3" t="str">
        <f>IF(D7="","",IF(COUNTIF($D$3:$D7,$D7)=1,D7&amp;"1",IF(COUNTIF($D$3:$D7,$D7)=2,D7&amp;"2",IF(COUNTIF($D$3:$D7,$D7)=3,D7&amp;"3",IF(COUNTIF($D$3:$D7,$D7)=4,D7&amp;"4",IF(COUNTIF($D$3:$D7,$D7)=5,D7&amp;"5",IF(COUNTIF($D$3:$D7,$D7)=6,D7&amp;"6",IF(COUNTIF($D$3:$D7,$D7)=7,D7&amp;"7",IF(COUNTIF($D$3:$D7,$D7)=8,D7&amp;"8",D7)))))))))</f>
        <v>党委办公室中层副职1</v>
      </c>
      <c r="F7" s="3">
        <v>8</v>
      </c>
      <c r="G7" s="3">
        <v>6.7</v>
      </c>
      <c r="H7" s="3">
        <v>4.5999999999999996</v>
      </c>
      <c r="I7" s="3">
        <v>6.3</v>
      </c>
      <c r="J7" s="3">
        <v>6.5</v>
      </c>
    </row>
    <row r="8" spans="1:10" x14ac:dyDescent="0.3">
      <c r="A8" s="3" t="s">
        <v>47</v>
      </c>
      <c r="B8" s="3" t="str">
        <f>IFERROR(VLOOKUP($A8,'1-1 基本信息'!$A:$K,11,0),"")</f>
        <v>工会</v>
      </c>
      <c r="C8" s="3" t="str">
        <f>IFERROR(VLOOKUP($A8,'1-1 基本信息'!$A:$K,8,0),"")</f>
        <v>中层正职</v>
      </c>
      <c r="D8" s="3" t="str">
        <f t="shared" si="0"/>
        <v>工会中层正职</v>
      </c>
      <c r="E8" s="3" t="str">
        <f>IF(D8="","",IF(COUNTIF($D$3:$D8,$D8)=1,D8&amp;"1",IF(COUNTIF($D$3:$D8,$D8)=2,D8&amp;"2",IF(COUNTIF($D$3:$D8,$D8)=3,D8&amp;"3",IF(COUNTIF($D$3:$D8,$D8)=4,D8&amp;"4",IF(COUNTIF($D$3:$D8,$D8)=5,D8&amp;"5",IF(COUNTIF($D$3:$D8,$D8)=6,D8&amp;"6",IF(COUNTIF($D$3:$D8,$D8)=7,D8&amp;"7",IF(COUNTIF($D$3:$D8,$D8)=8,D8&amp;"8",D8)))))))))</f>
        <v>工会中层正职1</v>
      </c>
      <c r="F8" s="3">
        <v>8</v>
      </c>
      <c r="G8" s="3">
        <v>6</v>
      </c>
      <c r="H8" s="3">
        <v>4.0999999999999996</v>
      </c>
      <c r="I8" s="3">
        <v>9.4</v>
      </c>
      <c r="J8" s="3">
        <v>6.5</v>
      </c>
    </row>
    <row r="9" spans="1:10" x14ac:dyDescent="0.3">
      <c r="A9" s="3" t="s">
        <v>48</v>
      </c>
      <c r="B9" s="3" t="str">
        <f>IFERROR(VLOOKUP($A9,'1-1 基本信息'!$A:$K,11,0),"")</f>
        <v/>
      </c>
      <c r="C9" s="3" t="str">
        <f>IFERROR(VLOOKUP($A9,'1-1 基本信息'!$A:$K,8,0),"")</f>
        <v/>
      </c>
      <c r="D9" s="3" t="str">
        <f t="shared" si="0"/>
        <v/>
      </c>
      <c r="E9" s="3" t="str">
        <f>IF(D9="","",IF(COUNTIF($D$3:$D9,$D9)=1,D9&amp;"1",IF(COUNTIF($D$3:$D9,$D9)=2,D9&amp;"2",IF(COUNTIF($D$3:$D9,$D9)=3,D9&amp;"3",IF(COUNTIF($D$3:$D9,$D9)=4,D9&amp;"4",IF(COUNTIF($D$3:$D9,$D9)=5,D9&amp;"5",IF(COUNTIF($D$3:$D9,$D9)=6,D9&amp;"6",IF(COUNTIF($D$3:$D9,$D9)=7,D9&amp;"7",IF(COUNTIF($D$3:$D9,$D9)=8,D9&amp;"8",D9)))))))))</f>
        <v/>
      </c>
      <c r="F9" s="3">
        <v>3.8</v>
      </c>
      <c r="G9" s="3">
        <v>6</v>
      </c>
      <c r="H9" s="3">
        <v>4.5999999999999996</v>
      </c>
      <c r="I9" s="3">
        <v>2.6</v>
      </c>
      <c r="J9" s="3">
        <v>5.9</v>
      </c>
    </row>
    <row r="10" spans="1:10" x14ac:dyDescent="0.3">
      <c r="A10" s="3" t="s">
        <v>49</v>
      </c>
      <c r="B10" s="3" t="str">
        <f>IFERROR(VLOOKUP($A10,'1-1 基本信息'!$A:$K,11,0),"")</f>
        <v>生产运行管理部</v>
      </c>
      <c r="C10" s="3" t="str">
        <f>IFERROR(VLOOKUP($A10,'1-1 基本信息'!$A:$K,8,0),"")</f>
        <v>中层副职</v>
      </c>
      <c r="D10" s="3" t="str">
        <f t="shared" si="0"/>
        <v>生产运行管理部中层副职</v>
      </c>
      <c r="E10" s="3" t="str">
        <f>IF(D10="","",IF(COUNTIF($D$3:$D10,$D10)=1,D10&amp;"1",IF(COUNTIF($D$3:$D10,$D10)=2,D10&amp;"2",IF(COUNTIF($D$3:$D10,$D10)=3,D10&amp;"3",IF(COUNTIF($D$3:$D10,$D10)=4,D10&amp;"4",IF(COUNTIF($D$3:$D10,$D10)=5,D10&amp;"5",IF(COUNTIF($D$3:$D10,$D10)=6,D10&amp;"6",IF(COUNTIF($D$3:$D10,$D10)=7,D10&amp;"7",IF(COUNTIF($D$3:$D10,$D10)=8,D10&amp;"8",D10)))))))))</f>
        <v>生产运行管理部中层副职1</v>
      </c>
      <c r="F10" s="3">
        <v>6.8</v>
      </c>
      <c r="G10" s="3">
        <v>7.9</v>
      </c>
      <c r="H10" s="3">
        <v>5.2</v>
      </c>
      <c r="I10" s="3">
        <v>7.6</v>
      </c>
      <c r="J10" s="3">
        <v>5.9</v>
      </c>
    </row>
    <row r="11" spans="1:10" x14ac:dyDescent="0.3">
      <c r="A11" s="3" t="s">
        <v>50</v>
      </c>
      <c r="B11" s="3" t="str">
        <f>IFERROR(VLOOKUP($A11,'1-1 基本信息'!$A:$K,11,0),"")</f>
        <v>物资供应中心</v>
      </c>
      <c r="C11" s="3" t="str">
        <f>IFERROR(VLOOKUP($A11,'1-1 基本信息'!$A:$K,8,0),"")</f>
        <v>中层正职</v>
      </c>
      <c r="D11" s="3" t="str">
        <f t="shared" si="0"/>
        <v>物资供应中心中层正职</v>
      </c>
      <c r="E11" s="3" t="str">
        <f>IF(D11="","",IF(COUNTIF($D$3:$D11,$D11)=1,D11&amp;"1",IF(COUNTIF($D$3:$D11,$D11)=2,D11&amp;"2",IF(COUNTIF($D$3:$D11,$D11)=3,D11&amp;"3",IF(COUNTIF($D$3:$D11,$D11)=4,D11&amp;"4",IF(COUNTIF($D$3:$D11,$D11)=5,D11&amp;"5",IF(COUNTIF($D$3:$D11,$D11)=6,D11&amp;"6",IF(COUNTIF($D$3:$D11,$D11)=7,D11&amp;"7",IF(COUNTIF($D$3:$D11,$D11)=8,D11&amp;"8",D11)))))))))</f>
        <v>物资供应中心中层正职1</v>
      </c>
      <c r="F11" s="3">
        <v>6.8</v>
      </c>
      <c r="G11" s="3">
        <v>6</v>
      </c>
      <c r="H11" s="3">
        <v>3.6</v>
      </c>
      <c r="I11" s="3">
        <v>5.0999999999999996</v>
      </c>
      <c r="J11" s="3">
        <v>2.2000000000000002</v>
      </c>
    </row>
    <row r="12" spans="1:10" x14ac:dyDescent="0.3">
      <c r="A12" s="3" t="s">
        <v>51</v>
      </c>
      <c r="B12" s="3" t="str">
        <f>IFERROR(VLOOKUP($A12,'1-1 基本信息'!$A:$K,11,0),"")</f>
        <v>地面工程与设备管理部</v>
      </c>
      <c r="C12" s="3" t="str">
        <f>IFERROR(VLOOKUP($A12,'1-1 基本信息'!$A:$K,8,0),"")</f>
        <v>中层副职</v>
      </c>
      <c r="D12" s="3" t="str">
        <f t="shared" si="0"/>
        <v>地面工程与设备管理部中层副职</v>
      </c>
      <c r="E12" s="3" t="str">
        <f>IF(D12="","",IF(COUNTIF($D$3:$D12,$D12)=1,D12&amp;"1",IF(COUNTIF($D$3:$D12,$D12)=2,D12&amp;"2",IF(COUNTIF($D$3:$D12,$D12)=3,D12&amp;"3",IF(COUNTIF($D$3:$D12,$D12)=4,D12&amp;"4",IF(COUNTIF($D$3:$D12,$D12)=5,D12&amp;"5",IF(COUNTIF($D$3:$D12,$D12)=6,D12&amp;"6",IF(COUNTIF($D$3:$D12,$D12)=7,D12&amp;"7",IF(COUNTIF($D$3:$D12,$D12)=8,D12&amp;"8",D12)))))))))</f>
        <v>地面工程与设备管理部中层副职1</v>
      </c>
      <c r="F12" s="3">
        <v>3.8</v>
      </c>
      <c r="G12" s="3">
        <v>2.4</v>
      </c>
      <c r="H12" s="3">
        <v>7.9</v>
      </c>
      <c r="I12" s="3">
        <v>3.8</v>
      </c>
      <c r="J12" s="3">
        <v>3.4</v>
      </c>
    </row>
    <row r="13" spans="1:10" x14ac:dyDescent="0.3">
      <c r="A13" s="3" t="s">
        <v>52</v>
      </c>
      <c r="B13" s="3" t="str">
        <f>IFERROR(VLOOKUP($A13,'1-1 基本信息'!$A:$K,11,0),"")</f>
        <v>采气一厂</v>
      </c>
      <c r="C13" s="3" t="str">
        <f>IFERROR(VLOOKUP($A13,'1-1 基本信息'!$A:$K,8,0),"")</f>
        <v>中层副职</v>
      </c>
      <c r="D13" s="3" t="str">
        <f t="shared" si="0"/>
        <v>采气一厂中层副职</v>
      </c>
      <c r="E13" s="3" t="str">
        <f>IF(D13="","",IF(COUNTIF($D$3:$D13,$D13)=1,D13&amp;"1",IF(COUNTIF($D$3:$D13,$D13)=2,D13&amp;"2",IF(COUNTIF($D$3:$D13,$D13)=3,D13&amp;"3",IF(COUNTIF($D$3:$D13,$D13)=4,D13&amp;"4",IF(COUNTIF($D$3:$D13,$D13)=5,D13&amp;"5",IF(COUNTIF($D$3:$D13,$D13)=6,D13&amp;"6",IF(COUNTIF($D$3:$D13,$D13)=7,D13&amp;"7",IF(COUNTIF($D$3:$D13,$D13)=8,D13&amp;"8",D13)))))))))</f>
        <v>采气一厂中层副职1</v>
      </c>
      <c r="F13" s="3">
        <v>6.2</v>
      </c>
      <c r="G13" s="3">
        <v>6.7</v>
      </c>
      <c r="H13" s="3">
        <v>3.6</v>
      </c>
      <c r="I13" s="3">
        <v>5.0999999999999996</v>
      </c>
      <c r="J13" s="3">
        <v>2.8</v>
      </c>
    </row>
    <row r="14" spans="1:10" x14ac:dyDescent="0.3">
      <c r="A14" s="3" t="s">
        <v>53</v>
      </c>
      <c r="B14" s="3" t="str">
        <f>IFERROR(VLOOKUP($A14,'1-1 基本信息'!$A:$K,11,0),"")</f>
        <v>石油工程监督中心</v>
      </c>
      <c r="C14" s="3" t="str">
        <f>IFERROR(VLOOKUP($A14,'1-1 基本信息'!$A:$K,8,0),"")</f>
        <v>党委书记</v>
      </c>
      <c r="D14" s="3" t="str">
        <f t="shared" si="0"/>
        <v>石油工程监督中心党委书记</v>
      </c>
      <c r="E14" s="3" t="str">
        <f>IF(D14="","",IF(COUNTIF($D$3:$D14,$D14)=1,D14&amp;"1",IF(COUNTIF($D$3:$D14,$D14)=2,D14&amp;"2",IF(COUNTIF($D$3:$D14,$D14)=3,D14&amp;"3",IF(COUNTIF($D$3:$D14,$D14)=4,D14&amp;"4",IF(COUNTIF($D$3:$D14,$D14)=5,D14&amp;"5",IF(COUNTIF($D$3:$D14,$D14)=6,D14&amp;"6",IF(COUNTIF($D$3:$D14,$D14)=7,D14&amp;"7",IF(COUNTIF($D$3:$D14,$D14)=8,D14&amp;"8",D14)))))))))</f>
        <v>石油工程监督中心党委书记1</v>
      </c>
      <c r="F14" s="3">
        <v>5</v>
      </c>
      <c r="G14" s="3">
        <v>6.7</v>
      </c>
      <c r="H14" s="3">
        <v>4.0999999999999996</v>
      </c>
      <c r="I14" s="3">
        <v>5.0999999999999996</v>
      </c>
      <c r="J14" s="3">
        <v>4</v>
      </c>
    </row>
    <row r="15" spans="1:10" x14ac:dyDescent="0.3">
      <c r="A15" s="3" t="s">
        <v>54</v>
      </c>
      <c r="B15" s="3" t="str">
        <f>IFERROR(VLOOKUP($A15,'1-1 基本信息'!$A:$K,11,0),"")</f>
        <v>采气二厂</v>
      </c>
      <c r="C15" s="3" t="str">
        <f>IFERROR(VLOOKUP($A15,'1-1 基本信息'!$A:$K,8,0),"")</f>
        <v>中层副职</v>
      </c>
      <c r="D15" s="3" t="str">
        <f t="shared" si="0"/>
        <v>采气二厂中层副职</v>
      </c>
      <c r="E15" s="3" t="str">
        <f>IF(D15="","",IF(COUNTIF($D$3:$D15,$D15)=1,D15&amp;"1",IF(COUNTIF($D$3:$D15,$D15)=2,D15&amp;"2",IF(COUNTIF($D$3:$D15,$D15)=3,D15&amp;"3",IF(COUNTIF($D$3:$D15,$D15)=4,D15&amp;"4",IF(COUNTIF($D$3:$D15,$D15)=5,D15&amp;"5",IF(COUNTIF($D$3:$D15,$D15)=6,D15&amp;"6",IF(COUNTIF($D$3:$D15,$D15)=7,D15&amp;"7",IF(COUNTIF($D$3:$D15,$D15)=8,D15&amp;"8",D15)))))))))</f>
        <v>采气二厂中层副职2</v>
      </c>
      <c r="F15" s="3">
        <v>6.2</v>
      </c>
      <c r="G15" s="3">
        <v>6.7</v>
      </c>
      <c r="H15" s="3">
        <v>8.4</v>
      </c>
      <c r="I15" s="3">
        <v>6.9</v>
      </c>
      <c r="J15" s="3">
        <v>3.4</v>
      </c>
    </row>
    <row r="16" spans="1:10" x14ac:dyDescent="0.3">
      <c r="A16" s="3" t="s">
        <v>55</v>
      </c>
      <c r="B16" s="3" t="str">
        <f>IFERROR(VLOOKUP($A16,'1-1 基本信息'!$A:$K,11,0),"")</f>
        <v>勘探开发研究院</v>
      </c>
      <c r="C16" s="3" t="str">
        <f>IFERROR(VLOOKUP($A16,'1-1 基本信息'!$A:$K,8,0),"")</f>
        <v>中层副职</v>
      </c>
      <c r="D16" s="3" t="str">
        <f t="shared" si="0"/>
        <v>勘探开发研究院中层副职</v>
      </c>
      <c r="E16" s="3" t="str">
        <f>IF(D16="","",IF(COUNTIF($D$3:$D16,$D16)=1,D16&amp;"1",IF(COUNTIF($D$3:$D16,$D16)=2,D16&amp;"2",IF(COUNTIF($D$3:$D16,$D16)=3,D16&amp;"3",IF(COUNTIF($D$3:$D16,$D16)=4,D16&amp;"4",IF(COUNTIF($D$3:$D16,$D16)=5,D16&amp;"5",IF(COUNTIF($D$3:$D16,$D16)=6,D16&amp;"6",IF(COUNTIF($D$3:$D16,$D16)=7,D16&amp;"7",IF(COUNTIF($D$3:$D16,$D16)=8,D16&amp;"8",D16)))))))))</f>
        <v>勘探开发研究院中层副职1</v>
      </c>
      <c r="F16" s="3">
        <v>6.2</v>
      </c>
      <c r="G16" s="3">
        <v>9.1</v>
      </c>
      <c r="H16" s="3">
        <v>3.6</v>
      </c>
      <c r="I16" s="3">
        <v>2</v>
      </c>
      <c r="J16" s="3">
        <v>5.9</v>
      </c>
    </row>
    <row r="17" spans="1:10" x14ac:dyDescent="0.3">
      <c r="A17" s="3" t="s">
        <v>56</v>
      </c>
      <c r="B17" s="3" t="str">
        <f>IFERROR(VLOOKUP($A17,'1-1 基本信息'!$A:$K,11,0),"")</f>
        <v>地面工程与设备管理部</v>
      </c>
      <c r="C17" s="3" t="str">
        <f>IFERROR(VLOOKUP($A17,'1-1 基本信息'!$A:$K,8,0),"")</f>
        <v>中层正职</v>
      </c>
      <c r="D17" s="3" t="str">
        <f t="shared" si="0"/>
        <v>地面工程与设备管理部中层正职</v>
      </c>
      <c r="E17" s="3" t="str">
        <f>IF(D17="","",IF(COUNTIF($D$3:$D17,$D17)=1,D17&amp;"1",IF(COUNTIF($D$3:$D17,$D17)=2,D17&amp;"2",IF(COUNTIF($D$3:$D17,$D17)=3,D17&amp;"3",IF(COUNTIF($D$3:$D17,$D17)=4,D17&amp;"4",IF(COUNTIF($D$3:$D17,$D17)=5,D17&amp;"5",IF(COUNTIF($D$3:$D17,$D17)=6,D17&amp;"6",IF(COUNTIF($D$3:$D17,$D17)=7,D17&amp;"7",IF(COUNTIF($D$3:$D17,$D17)=8,D17&amp;"8",D17)))))))))</f>
        <v>地面工程与设备管理部中层正职1</v>
      </c>
      <c r="F17" s="3">
        <v>8.6</v>
      </c>
      <c r="G17" s="3">
        <v>7.3</v>
      </c>
      <c r="H17" s="3">
        <v>5.7</v>
      </c>
      <c r="I17" s="3">
        <v>9.4</v>
      </c>
      <c r="J17" s="3">
        <v>4.5999999999999996</v>
      </c>
    </row>
    <row r="18" spans="1:10" x14ac:dyDescent="0.3">
      <c r="A18" s="3" t="s">
        <v>57</v>
      </c>
      <c r="B18" s="3" t="str">
        <f>IFERROR(VLOOKUP($A18,'1-1 基本信息'!$A:$K,11,0),"")</f>
        <v>概预算中心</v>
      </c>
      <c r="C18" s="3" t="str">
        <f>IFERROR(VLOOKUP($A18,'1-1 基本信息'!$A:$K,8,0),"")</f>
        <v>中层正职</v>
      </c>
      <c r="D18" s="3" t="str">
        <f t="shared" si="0"/>
        <v>概预算中心中层正职</v>
      </c>
      <c r="E18" s="3" t="str">
        <f>IF(D18="","",IF(COUNTIF($D$3:$D18,$D18)=1,D18&amp;"1",IF(COUNTIF($D$3:$D18,$D18)=2,D18&amp;"2",IF(COUNTIF($D$3:$D18,$D18)=3,D18&amp;"3",IF(COUNTIF($D$3:$D18,$D18)=4,D18&amp;"4",IF(COUNTIF($D$3:$D18,$D18)=5,D18&amp;"5",IF(COUNTIF($D$3:$D18,$D18)=6,D18&amp;"6",IF(COUNTIF($D$3:$D18,$D18)=7,D18&amp;"7",IF(COUNTIF($D$3:$D18,$D18)=8,D18&amp;"8",D18)))))))))</f>
        <v>概预算中心中层正职1</v>
      </c>
      <c r="F18" s="3">
        <v>5.6</v>
      </c>
      <c r="G18" s="3">
        <v>6.7</v>
      </c>
      <c r="H18" s="3">
        <v>4.0999999999999996</v>
      </c>
      <c r="I18" s="3">
        <v>6.9</v>
      </c>
      <c r="J18" s="3">
        <v>3.4</v>
      </c>
    </row>
    <row r="19" spans="1:10" x14ac:dyDescent="0.3">
      <c r="A19" s="3" t="s">
        <v>58</v>
      </c>
      <c r="B19" s="3" t="str">
        <f>IFERROR(VLOOKUP($A19,'1-1 基本信息'!$A:$K,11,0),"")</f>
        <v>党委组织部（人力资源部）</v>
      </c>
      <c r="C19" s="3" t="str">
        <f>IFERROR(VLOOKUP($A19,'1-1 基本信息'!$A:$K,8,0),"")</f>
        <v>中层副职</v>
      </c>
      <c r="D19" s="3" t="str">
        <f t="shared" si="0"/>
        <v>党委组织部（人力资源部）中层副职</v>
      </c>
      <c r="E19" s="3" t="str">
        <f>IF(D19="","",IF(COUNTIF($D$3:$D19,$D19)=1,D19&amp;"1",IF(COUNTIF($D$3:$D19,$D19)=2,D19&amp;"2",IF(COUNTIF($D$3:$D19,$D19)=3,D19&amp;"3",IF(COUNTIF($D$3:$D19,$D19)=4,D19&amp;"4",IF(COUNTIF($D$3:$D19,$D19)=5,D19&amp;"5",IF(COUNTIF($D$3:$D19,$D19)=6,D19&amp;"6",IF(COUNTIF($D$3:$D19,$D19)=7,D19&amp;"7",IF(COUNTIF($D$3:$D19,$D19)=8,D19&amp;"8",D19)))))))))</f>
        <v>党委组织部（人力资源部）中层副职1</v>
      </c>
      <c r="F19" s="3">
        <v>4.4000000000000004</v>
      </c>
      <c r="G19" s="3">
        <v>2.4</v>
      </c>
      <c r="H19" s="3">
        <v>2</v>
      </c>
      <c r="I19" s="3">
        <v>3.2</v>
      </c>
      <c r="J19" s="3">
        <v>4</v>
      </c>
    </row>
    <row r="20" spans="1:10" x14ac:dyDescent="0.3">
      <c r="A20" s="3" t="s">
        <v>59</v>
      </c>
      <c r="B20" s="3" t="str">
        <f>IFERROR(VLOOKUP($A20,'1-1 基本信息'!$A:$K,11,0),"")</f>
        <v>采气二厂</v>
      </c>
      <c r="C20" s="3" t="str">
        <f>IFERROR(VLOOKUP($A20,'1-1 基本信息'!$A:$K,8,0),"")</f>
        <v>中层副职</v>
      </c>
      <c r="D20" s="3" t="str">
        <f t="shared" si="0"/>
        <v>采气二厂中层副职</v>
      </c>
      <c r="E20" s="3" t="str">
        <f>IF(D20="","",IF(COUNTIF($D$3:$D20,$D20)=1,D20&amp;"1",IF(COUNTIF($D$3:$D20,$D20)=2,D20&amp;"2",IF(COUNTIF($D$3:$D20,$D20)=3,D20&amp;"3",IF(COUNTIF($D$3:$D20,$D20)=4,D20&amp;"4",IF(COUNTIF($D$3:$D20,$D20)=5,D20&amp;"5",IF(COUNTIF($D$3:$D20,$D20)=6,D20&amp;"6",IF(COUNTIF($D$3:$D20,$D20)=7,D20&amp;"7",IF(COUNTIF($D$3:$D20,$D20)=8,D20&amp;"8",D20)))))))))</f>
        <v>采气二厂中层副职3</v>
      </c>
      <c r="F20" s="3">
        <v>4.4000000000000004</v>
      </c>
      <c r="G20" s="3">
        <v>7.3</v>
      </c>
      <c r="H20" s="3">
        <v>6.8</v>
      </c>
      <c r="I20" s="3">
        <v>5.7</v>
      </c>
      <c r="J20" s="3">
        <v>5.3</v>
      </c>
    </row>
    <row r="21" spans="1:10" x14ac:dyDescent="0.3">
      <c r="A21" s="3" t="s">
        <v>60</v>
      </c>
      <c r="B21" s="3" t="str">
        <f>IFERROR(VLOOKUP($A21,'1-1 基本信息'!$A:$K,11,0),"")</f>
        <v>安全环保部</v>
      </c>
      <c r="C21" s="3" t="str">
        <f>IFERROR(VLOOKUP($A21,'1-1 基本信息'!$A:$K,8,0),"")</f>
        <v>中层副职</v>
      </c>
      <c r="D21" s="3" t="str">
        <f t="shared" si="0"/>
        <v>安全环保部中层副职</v>
      </c>
      <c r="E21" s="3" t="str">
        <f>IF(D21="","",IF(COUNTIF($D$3:$D21,$D21)=1,D21&amp;"1",IF(COUNTIF($D$3:$D21,$D21)=2,D21&amp;"2",IF(COUNTIF($D$3:$D21,$D21)=3,D21&amp;"3",IF(COUNTIF($D$3:$D21,$D21)=4,D21&amp;"4",IF(COUNTIF($D$3:$D21,$D21)=5,D21&amp;"5",IF(COUNTIF($D$3:$D21,$D21)=6,D21&amp;"6",IF(COUNTIF($D$3:$D21,$D21)=7,D21&amp;"7",IF(COUNTIF($D$3:$D21,$D21)=8,D21&amp;"8",D21)))))))))</f>
        <v>安全环保部中层副职1</v>
      </c>
      <c r="F21" s="3">
        <v>6.8</v>
      </c>
      <c r="G21" s="3">
        <v>7.9</v>
      </c>
      <c r="H21" s="3">
        <v>5.7</v>
      </c>
      <c r="I21" s="3">
        <v>8.8000000000000007</v>
      </c>
      <c r="J21" s="3">
        <v>6.5</v>
      </c>
    </row>
    <row r="22" spans="1:10" x14ac:dyDescent="0.3">
      <c r="A22" s="3" t="s">
        <v>61</v>
      </c>
      <c r="B22" s="3" t="str">
        <f>IFERROR(VLOOKUP($A22,'1-1 基本信息'!$A:$K,11,0),"")</f>
        <v>生产运行管理部</v>
      </c>
      <c r="C22" s="3" t="str">
        <f>IFERROR(VLOOKUP($A22,'1-1 基本信息'!$A:$K,8,0),"")</f>
        <v>中层副职</v>
      </c>
      <c r="D22" s="3" t="str">
        <f t="shared" si="0"/>
        <v>生产运行管理部中层副职</v>
      </c>
      <c r="E22" s="3" t="str">
        <f>IF(D22="","",IF(COUNTIF($D$3:$D22,$D22)=1,D22&amp;"1",IF(COUNTIF($D$3:$D22,$D22)=2,D22&amp;"2",IF(COUNTIF($D$3:$D22,$D22)=3,D22&amp;"3",IF(COUNTIF($D$3:$D22,$D22)=4,D22&amp;"4",IF(COUNTIF($D$3:$D22,$D22)=5,D22&amp;"5",IF(COUNTIF($D$3:$D22,$D22)=6,D22&amp;"6",IF(COUNTIF($D$3:$D22,$D22)=7,D22&amp;"7",IF(COUNTIF($D$3:$D22,$D22)=8,D22&amp;"8",D22)))))))))</f>
        <v>生产运行管理部中层副职2</v>
      </c>
      <c r="F22" s="3">
        <v>6.2</v>
      </c>
      <c r="G22" s="3">
        <v>6.7</v>
      </c>
      <c r="H22" s="3">
        <v>6.8</v>
      </c>
      <c r="I22" s="3">
        <v>5.0999999999999996</v>
      </c>
      <c r="J22" s="3">
        <v>5.3</v>
      </c>
    </row>
    <row r="23" spans="1:10" x14ac:dyDescent="0.3">
      <c r="A23" s="3" t="s">
        <v>62</v>
      </c>
      <c r="B23" s="3" t="str">
        <f>IFERROR(VLOOKUP($A23,'1-1 基本信息'!$A:$K,11,0),"")</f>
        <v>油气销售中心</v>
      </c>
      <c r="C23" s="3" t="str">
        <f>IFERROR(VLOOKUP($A23,'1-1 基本信息'!$A:$K,8,0),"")</f>
        <v>中层副职</v>
      </c>
      <c r="D23" s="3" t="str">
        <f t="shared" si="0"/>
        <v>油气销售中心中层副职</v>
      </c>
      <c r="E23" s="3" t="str">
        <f>IF(D23="","",IF(COUNTIF($D$3:$D23,$D23)=1,D23&amp;"1",IF(COUNTIF($D$3:$D23,$D23)=2,D23&amp;"2",IF(COUNTIF($D$3:$D23,$D23)=3,D23&amp;"3",IF(COUNTIF($D$3:$D23,$D23)=4,D23&amp;"4",IF(COUNTIF($D$3:$D23,$D23)=5,D23&amp;"5",IF(COUNTIF($D$3:$D23,$D23)=6,D23&amp;"6",IF(COUNTIF($D$3:$D23,$D23)=7,D23&amp;"7",IF(COUNTIF($D$3:$D23,$D23)=8,D23&amp;"8",D23)))))))))</f>
        <v>油气销售中心中层副职1</v>
      </c>
      <c r="F23" s="3">
        <v>8</v>
      </c>
      <c r="G23" s="3">
        <v>5.4</v>
      </c>
      <c r="H23" s="3">
        <v>3.6</v>
      </c>
      <c r="I23" s="3">
        <v>5.7</v>
      </c>
      <c r="J23" s="3">
        <v>2.2000000000000002</v>
      </c>
    </row>
    <row r="24" spans="1:10" x14ac:dyDescent="0.3">
      <c r="A24" s="3" t="s">
        <v>63</v>
      </c>
      <c r="B24" s="3" t="str">
        <f>IFERROR(VLOOKUP($A24,'1-1 基本信息'!$A:$K,11,0),"")</f>
        <v/>
      </c>
      <c r="C24" s="3" t="str">
        <f>IFERROR(VLOOKUP($A24,'1-1 基本信息'!$A:$K,8,0),"")</f>
        <v/>
      </c>
      <c r="D24" s="3" t="str">
        <f t="shared" si="0"/>
        <v/>
      </c>
      <c r="E24" s="3" t="str">
        <f>IF(D24="","",IF(COUNTIF($D$3:$D24,$D24)=1,D24&amp;"1",IF(COUNTIF($D$3:$D24,$D24)=2,D24&amp;"2",IF(COUNTIF($D$3:$D24,$D24)=3,D24&amp;"3",IF(COUNTIF($D$3:$D24,$D24)=4,D24&amp;"4",IF(COUNTIF($D$3:$D24,$D24)=5,D24&amp;"5",IF(COUNTIF($D$3:$D24,$D24)=6,D24&amp;"6",IF(COUNTIF($D$3:$D24,$D24)=7,D24&amp;"7",IF(COUNTIF($D$3:$D24,$D24)=8,D24&amp;"8",D24)))))))))</f>
        <v/>
      </c>
      <c r="F24" s="3">
        <v>4.4000000000000004</v>
      </c>
      <c r="G24" s="3">
        <v>4.2</v>
      </c>
      <c r="H24" s="3">
        <v>4.0999999999999996</v>
      </c>
      <c r="I24" s="3">
        <v>6.9</v>
      </c>
      <c r="J24" s="3">
        <v>1.5</v>
      </c>
    </row>
    <row r="25" spans="1:10" x14ac:dyDescent="0.3">
      <c r="A25" s="3" t="s">
        <v>64</v>
      </c>
      <c r="B25" s="3" t="str">
        <f>IFERROR(VLOOKUP($A25,'1-1 基本信息'!$A:$K,11,0),"")</f>
        <v>采气一厂</v>
      </c>
      <c r="C25" s="3" t="str">
        <f>IFERROR(VLOOKUP($A25,'1-1 基本信息'!$A:$K,8,0),"")</f>
        <v>中层正职</v>
      </c>
      <c r="D25" s="3" t="str">
        <f t="shared" si="0"/>
        <v>采气一厂中层正职</v>
      </c>
      <c r="E25" s="3" t="str">
        <f>IF(D25="","",IF(COUNTIF($D$3:$D25,$D25)=1,D25&amp;"1",IF(COUNTIF($D$3:$D25,$D25)=2,D25&amp;"2",IF(COUNTIF($D$3:$D25,$D25)=3,D25&amp;"3",IF(COUNTIF($D$3:$D25,$D25)=4,D25&amp;"4",IF(COUNTIF($D$3:$D25,$D25)=5,D25&amp;"5",IF(COUNTIF($D$3:$D25,$D25)=6,D25&amp;"6",IF(COUNTIF($D$3:$D25,$D25)=7,D25&amp;"7",IF(COUNTIF($D$3:$D25,$D25)=8,D25&amp;"8",D25)))))))))</f>
        <v>采气一厂中层正职1</v>
      </c>
      <c r="F25" s="3">
        <v>6.2</v>
      </c>
      <c r="G25" s="3">
        <v>7.9</v>
      </c>
      <c r="H25" s="3">
        <v>7.9</v>
      </c>
      <c r="I25" s="3">
        <v>6.3</v>
      </c>
      <c r="J25" s="3">
        <v>4</v>
      </c>
    </row>
    <row r="26" spans="1:10" x14ac:dyDescent="0.3">
      <c r="A26" s="3" t="s">
        <v>65</v>
      </c>
      <c r="B26" s="3" t="str">
        <f>IFERROR(VLOOKUP($A26,'1-1 基本信息'!$A:$K,11,0),"")</f>
        <v>采气一厂</v>
      </c>
      <c r="C26" s="3" t="str">
        <f>IFERROR(VLOOKUP($A26,'1-1 基本信息'!$A:$K,8,0),"")</f>
        <v>中层副职</v>
      </c>
      <c r="D26" s="3" t="str">
        <f t="shared" si="0"/>
        <v>采气一厂中层副职</v>
      </c>
      <c r="E26" s="3" t="str">
        <f>IF(D26="","",IF(COUNTIF($D$3:$D26,$D26)=1,D26&amp;"1",IF(COUNTIF($D$3:$D26,$D26)=2,D26&amp;"2",IF(COUNTIF($D$3:$D26,$D26)=3,D26&amp;"3",IF(COUNTIF($D$3:$D26,$D26)=4,D26&amp;"4",IF(COUNTIF($D$3:$D26,$D26)=5,D26&amp;"5",IF(COUNTIF($D$3:$D26,$D26)=6,D26&amp;"6",IF(COUNTIF($D$3:$D26,$D26)=7,D26&amp;"7",IF(COUNTIF($D$3:$D26,$D26)=8,D26&amp;"8",D26)))))))))</f>
        <v>采气一厂中层副职2</v>
      </c>
      <c r="F26" s="3">
        <v>4.4000000000000004</v>
      </c>
      <c r="G26" s="3">
        <v>3.6</v>
      </c>
      <c r="H26" s="3">
        <v>4.0999999999999996</v>
      </c>
      <c r="I26" s="3">
        <v>3.8</v>
      </c>
      <c r="J26" s="3">
        <v>4</v>
      </c>
    </row>
    <row r="27" spans="1:10" x14ac:dyDescent="0.3">
      <c r="A27" s="3" t="s">
        <v>66</v>
      </c>
      <c r="B27" s="3" t="str">
        <f>IFERROR(VLOOKUP($A27,'1-1 基本信息'!$A:$K,11,0),"")</f>
        <v>信息化管理中心</v>
      </c>
      <c r="C27" s="3" t="str">
        <f>IFERROR(VLOOKUP($A27,'1-1 基本信息'!$A:$K,8,0),"")</f>
        <v>中层副职</v>
      </c>
      <c r="D27" s="3" t="str">
        <f t="shared" si="0"/>
        <v>信息化管理中心中层副职</v>
      </c>
      <c r="E27" s="3" t="str">
        <f>IF(D27="","",IF(COUNTIF($D$3:$D27,$D27)=1,D27&amp;"1",IF(COUNTIF($D$3:$D27,$D27)=2,D27&amp;"2",IF(COUNTIF($D$3:$D27,$D27)=3,D27&amp;"3",IF(COUNTIF($D$3:$D27,$D27)=4,D27&amp;"4",IF(COUNTIF($D$3:$D27,$D27)=5,D27&amp;"5",IF(COUNTIF($D$3:$D27,$D27)=6,D27&amp;"6",IF(COUNTIF($D$3:$D27,$D27)=7,D27&amp;"7",IF(COUNTIF($D$3:$D27,$D27)=8,D27&amp;"8",D27)))))))))</f>
        <v>信息化管理中心中层副职1</v>
      </c>
      <c r="F27" s="3">
        <v>6.2</v>
      </c>
      <c r="G27" s="3">
        <v>5.4</v>
      </c>
      <c r="H27" s="3">
        <v>2</v>
      </c>
      <c r="I27" s="3">
        <v>6.3</v>
      </c>
      <c r="J27" s="3">
        <v>4</v>
      </c>
    </row>
    <row r="28" spans="1:10" x14ac:dyDescent="0.3">
      <c r="A28" s="3" t="s">
        <v>67</v>
      </c>
      <c r="B28" s="3" t="str">
        <f>IFERROR(VLOOKUP($A28,'1-1 基本信息'!$A:$K,11,0),"")</f>
        <v>勘探开发研究院</v>
      </c>
      <c r="C28" s="3" t="str">
        <f>IFERROR(VLOOKUP($A28,'1-1 基本信息'!$A:$K,8,0),"")</f>
        <v>中层正职</v>
      </c>
      <c r="D28" s="3" t="str">
        <f t="shared" si="0"/>
        <v>勘探开发研究院中层正职</v>
      </c>
      <c r="E28" s="3" t="str">
        <f>IF(D28="","",IF(COUNTIF($D$3:$D28,$D28)=1,D28&amp;"1",IF(COUNTIF($D$3:$D28,$D28)=2,D28&amp;"2",IF(COUNTIF($D$3:$D28,$D28)=3,D28&amp;"3",IF(COUNTIF($D$3:$D28,$D28)=4,D28&amp;"4",IF(COUNTIF($D$3:$D28,$D28)=5,D28&amp;"5",IF(COUNTIF($D$3:$D28,$D28)=6,D28&amp;"6",IF(COUNTIF($D$3:$D28,$D28)=7,D28&amp;"7",IF(COUNTIF($D$3:$D28,$D28)=8,D28&amp;"8",D28)))))))))</f>
        <v>勘探开发研究院中层正职1</v>
      </c>
      <c r="F28" s="3">
        <v>3.8</v>
      </c>
      <c r="G28" s="3">
        <v>4.2</v>
      </c>
      <c r="H28" s="3">
        <v>4.0999999999999996</v>
      </c>
      <c r="I28" s="3">
        <v>3.8</v>
      </c>
      <c r="J28" s="3">
        <v>5.9</v>
      </c>
    </row>
    <row r="29" spans="1:10" x14ac:dyDescent="0.3">
      <c r="A29" s="3" t="s">
        <v>68</v>
      </c>
      <c r="B29" s="3" t="str">
        <f>IFERROR(VLOOKUP($A29,'1-1 基本信息'!$A:$K,11,0),"")</f>
        <v>郑州社区管理服务中心</v>
      </c>
      <c r="C29" s="3" t="str">
        <f>IFERROR(VLOOKUP($A29,'1-1 基本信息'!$A:$K,8,0),"")</f>
        <v>中层正职</v>
      </c>
      <c r="D29" s="3" t="str">
        <f t="shared" si="0"/>
        <v>郑州社区管理服务中心中层正职</v>
      </c>
      <c r="E29" s="3" t="str">
        <f>IF(D29="","",IF(COUNTIF($D$3:$D29,$D29)=1,D29&amp;"1",IF(COUNTIF($D$3:$D29,$D29)=2,D29&amp;"2",IF(COUNTIF($D$3:$D29,$D29)=3,D29&amp;"3",IF(COUNTIF($D$3:$D29,$D29)=4,D29&amp;"4",IF(COUNTIF($D$3:$D29,$D29)=5,D29&amp;"5",IF(COUNTIF($D$3:$D29,$D29)=6,D29&amp;"6",IF(COUNTIF($D$3:$D29,$D29)=7,D29&amp;"7",IF(COUNTIF($D$3:$D29,$D29)=8,D29&amp;"8",D29)))))))))</f>
        <v>郑州社区管理服务中心中层正职1</v>
      </c>
      <c r="F29" s="3">
        <v>7.4</v>
      </c>
      <c r="G29" s="3">
        <v>3.6</v>
      </c>
      <c r="H29" s="3">
        <v>4.0999999999999996</v>
      </c>
      <c r="I29" s="3">
        <v>6.3</v>
      </c>
      <c r="J29" s="3">
        <v>5.3</v>
      </c>
    </row>
    <row r="30" spans="1:10" x14ac:dyDescent="0.3">
      <c r="A30" s="3" t="s">
        <v>69</v>
      </c>
      <c r="B30" s="3" t="str">
        <f>IFERROR(VLOOKUP($A30,'1-1 基本信息'!$A:$K,11,0),"")</f>
        <v>石油工程技术研究院</v>
      </c>
      <c r="C30" s="3" t="str">
        <f>IFERROR(VLOOKUP($A30,'1-1 基本信息'!$A:$K,8,0),"")</f>
        <v>中层正职</v>
      </c>
      <c r="D30" s="3" t="str">
        <f t="shared" si="0"/>
        <v>石油工程技术研究院中层正职</v>
      </c>
      <c r="E30" s="3" t="str">
        <f>IF(D30="","",IF(COUNTIF($D$3:$D30,$D30)=1,D30&amp;"1",IF(COUNTIF($D$3:$D30,$D30)=2,D30&amp;"2",IF(COUNTIF($D$3:$D30,$D30)=3,D30&amp;"3",IF(COUNTIF($D$3:$D30,$D30)=4,D30&amp;"4",IF(COUNTIF($D$3:$D30,$D30)=5,D30&amp;"5",IF(COUNTIF($D$3:$D30,$D30)=6,D30&amp;"6",IF(COUNTIF($D$3:$D30,$D30)=7,D30&amp;"7",IF(COUNTIF($D$3:$D30,$D30)=8,D30&amp;"8",D30)))))))))</f>
        <v>石油工程技术研究院中层正职1</v>
      </c>
      <c r="F30" s="3">
        <v>3.8</v>
      </c>
      <c r="G30" s="3">
        <v>3.6</v>
      </c>
      <c r="H30" s="3">
        <v>5.2</v>
      </c>
      <c r="I30" s="3">
        <v>3.2</v>
      </c>
      <c r="J30" s="3">
        <v>6.5</v>
      </c>
    </row>
    <row r="31" spans="1:10" x14ac:dyDescent="0.3">
      <c r="A31" s="3" t="s">
        <v>70</v>
      </c>
      <c r="B31" s="3" t="str">
        <f>IFERROR(VLOOKUP($A31,'1-1 基本信息'!$A:$K,11,0),"")</f>
        <v>财务资产部</v>
      </c>
      <c r="C31" s="3" t="str">
        <f>IFERROR(VLOOKUP($A31,'1-1 基本信息'!$A:$K,8,0),"")</f>
        <v>中层副职</v>
      </c>
      <c r="D31" s="3" t="str">
        <f t="shared" si="0"/>
        <v>财务资产部中层副职</v>
      </c>
      <c r="E31" s="3" t="str">
        <f>IF(D31="","",IF(COUNTIF($D$3:$D31,$D31)=1,D31&amp;"1",IF(COUNTIF($D$3:$D31,$D31)=2,D31&amp;"2",IF(COUNTIF($D$3:$D31,$D31)=3,D31&amp;"3",IF(COUNTIF($D$3:$D31,$D31)=4,D31&amp;"4",IF(COUNTIF($D$3:$D31,$D31)=5,D31&amp;"5",IF(COUNTIF($D$3:$D31,$D31)=6,D31&amp;"6",IF(COUNTIF($D$3:$D31,$D31)=7,D31&amp;"7",IF(COUNTIF($D$3:$D31,$D31)=8,D31&amp;"8",D31)))))))))</f>
        <v>财务资产部中层副职1</v>
      </c>
      <c r="F31" s="3">
        <v>6.2</v>
      </c>
      <c r="G31" s="3">
        <v>5.4</v>
      </c>
      <c r="H31" s="3">
        <v>5.7</v>
      </c>
      <c r="I31" s="3">
        <v>6.3</v>
      </c>
      <c r="J31" s="3">
        <v>6.5</v>
      </c>
    </row>
    <row r="32" spans="1:10" x14ac:dyDescent="0.3">
      <c r="A32" s="3" t="s">
        <v>71</v>
      </c>
      <c r="B32" s="3" t="str">
        <f>IFERROR(VLOOKUP($A32,'1-1 基本信息'!$A:$K,11,0),"")</f>
        <v>科技管理部</v>
      </c>
      <c r="C32" s="3" t="str">
        <f>IFERROR(VLOOKUP($A32,'1-1 基本信息'!$A:$K,8,0),"")</f>
        <v>中层正职</v>
      </c>
      <c r="D32" s="3" t="str">
        <f t="shared" si="0"/>
        <v>科技管理部中层正职</v>
      </c>
      <c r="E32" s="3" t="str">
        <f>IF(D32="","",IF(COUNTIF($D$3:$D32,$D32)=1,D32&amp;"1",IF(COUNTIF($D$3:$D32,$D32)=2,D32&amp;"2",IF(COUNTIF($D$3:$D32,$D32)=3,D32&amp;"3",IF(COUNTIF($D$3:$D32,$D32)=4,D32&amp;"4",IF(COUNTIF($D$3:$D32,$D32)=5,D32&amp;"5",IF(COUNTIF($D$3:$D32,$D32)=6,D32&amp;"6",IF(COUNTIF($D$3:$D32,$D32)=7,D32&amp;"7",IF(COUNTIF($D$3:$D32,$D32)=8,D32&amp;"8",D32)))))))))</f>
        <v>科技管理部中层正职1</v>
      </c>
      <c r="F32" s="3">
        <v>8.6</v>
      </c>
      <c r="G32" s="3">
        <v>7.9</v>
      </c>
      <c r="H32" s="3">
        <v>5.2</v>
      </c>
      <c r="I32" s="3">
        <v>5.0999999999999996</v>
      </c>
      <c r="J32" s="3">
        <v>4.5999999999999996</v>
      </c>
    </row>
    <row r="33" spans="1:10" x14ac:dyDescent="0.3">
      <c r="A33" s="3" t="s">
        <v>72</v>
      </c>
      <c r="B33" s="3" t="str">
        <f>IFERROR(VLOOKUP($A33,'1-1 基本信息'!$A:$K,11,0),"")</f>
        <v/>
      </c>
      <c r="C33" s="3" t="str">
        <f>IFERROR(VLOOKUP($A33,'1-1 基本信息'!$A:$K,8,0),"")</f>
        <v/>
      </c>
      <c r="D33" s="3" t="str">
        <f t="shared" si="0"/>
        <v/>
      </c>
      <c r="E33" s="3" t="str">
        <f>IF(D33="","",IF(COUNTIF($D$3:$D33,$D33)=1,D33&amp;"1",IF(COUNTIF($D$3:$D33,$D33)=2,D33&amp;"2",IF(COUNTIF($D$3:$D33,$D33)=3,D33&amp;"3",IF(COUNTIF($D$3:$D33,$D33)=4,D33&amp;"4",IF(COUNTIF($D$3:$D33,$D33)=5,D33&amp;"5",IF(COUNTIF($D$3:$D33,$D33)=6,D33&amp;"6",IF(COUNTIF($D$3:$D33,$D33)=7,D33&amp;"7",IF(COUNTIF($D$3:$D33,$D33)=8,D33&amp;"8",D33)))))))))</f>
        <v/>
      </c>
      <c r="F33" s="3">
        <v>8</v>
      </c>
      <c r="G33" s="3">
        <v>6</v>
      </c>
      <c r="H33" s="3">
        <v>7.9</v>
      </c>
      <c r="I33" s="3">
        <v>6.9</v>
      </c>
      <c r="J33" s="3">
        <v>3.4</v>
      </c>
    </row>
    <row r="34" spans="1:10" x14ac:dyDescent="0.3">
      <c r="A34" s="3" t="s">
        <v>73</v>
      </c>
      <c r="B34" s="3" t="str">
        <f>IFERROR(VLOOKUP($A34,'1-1 基本信息'!$A:$K,11,0),"")</f>
        <v/>
      </c>
      <c r="C34" s="3" t="str">
        <f>IFERROR(VLOOKUP($A34,'1-1 基本信息'!$A:$K,8,0),"")</f>
        <v/>
      </c>
      <c r="D34" s="3" t="str">
        <f t="shared" si="0"/>
        <v/>
      </c>
      <c r="E34" s="3" t="str">
        <f>IF(D34="","",IF(COUNTIF($D$3:$D34,$D34)=1,D34&amp;"1",IF(COUNTIF($D$3:$D34,$D34)=2,D34&amp;"2",IF(COUNTIF($D$3:$D34,$D34)=3,D34&amp;"3",IF(COUNTIF($D$3:$D34,$D34)=4,D34&amp;"4",IF(COUNTIF($D$3:$D34,$D34)=5,D34&amp;"5",IF(COUNTIF($D$3:$D34,$D34)=6,D34&amp;"6",IF(COUNTIF($D$3:$D34,$D34)=7,D34&amp;"7",IF(COUNTIF($D$3:$D34,$D34)=8,D34&amp;"8",D34)))))))))</f>
        <v/>
      </c>
      <c r="F34" s="3">
        <v>8.6</v>
      </c>
      <c r="G34" s="3">
        <v>6</v>
      </c>
      <c r="H34" s="3">
        <v>6.3</v>
      </c>
      <c r="I34" s="3">
        <v>8.8000000000000007</v>
      </c>
      <c r="J34" s="3">
        <v>4</v>
      </c>
    </row>
    <row r="35" spans="1:10" x14ac:dyDescent="0.3">
      <c r="A35" s="3" t="s">
        <v>74</v>
      </c>
      <c r="B35" s="3" t="str">
        <f>IFERROR(VLOOKUP($A35,'1-1 基本信息'!$A:$K,11,0),"")</f>
        <v>党委办公室</v>
      </c>
      <c r="C35" s="3" t="str">
        <f>IFERROR(VLOOKUP($A35,'1-1 基本信息'!$A:$K,8,0),"")</f>
        <v>中层副职</v>
      </c>
      <c r="D35" s="3" t="str">
        <f t="shared" si="0"/>
        <v>党委办公室中层副职</v>
      </c>
      <c r="E35" s="3" t="str">
        <f>IF(D35="","",IF(COUNTIF($D$3:$D35,$D35)=1,D35&amp;"1",IF(COUNTIF($D$3:$D35,$D35)=2,D35&amp;"2",IF(COUNTIF($D$3:$D35,$D35)=3,D35&amp;"3",IF(COUNTIF($D$3:$D35,$D35)=4,D35&amp;"4",IF(COUNTIF($D$3:$D35,$D35)=5,D35&amp;"5",IF(COUNTIF($D$3:$D35,$D35)=6,D35&amp;"6",IF(COUNTIF($D$3:$D35,$D35)=7,D35&amp;"7",IF(COUNTIF($D$3:$D35,$D35)=8,D35&amp;"8",D35)))))))))</f>
        <v>党委办公室中层副职2</v>
      </c>
      <c r="F35" s="3">
        <v>7.4</v>
      </c>
      <c r="G35" s="3">
        <v>9.6999999999999993</v>
      </c>
      <c r="H35" s="3">
        <v>5.2</v>
      </c>
      <c r="I35" s="3">
        <v>5.7</v>
      </c>
      <c r="J35" s="3">
        <v>5.3</v>
      </c>
    </row>
    <row r="36" spans="1:10" x14ac:dyDescent="0.3">
      <c r="A36" s="3" t="s">
        <v>75</v>
      </c>
      <c r="B36" s="3" t="str">
        <f>IFERROR(VLOOKUP($A36,'1-1 基本信息'!$A:$K,11,0),"")</f>
        <v>鄂南原油创新项目组</v>
      </c>
      <c r="C36" s="3" t="str">
        <f>IFERROR(VLOOKUP($A36,'1-1 基本信息'!$A:$K,8,0),"")</f>
        <v>中层副职</v>
      </c>
      <c r="D36" s="3" t="str">
        <f t="shared" si="0"/>
        <v>鄂南原油创新项目组中层副职</v>
      </c>
      <c r="E36" s="3" t="str">
        <f>IF(D36="","",IF(COUNTIF($D$3:$D36,$D36)=1,D36&amp;"1",IF(COUNTIF($D$3:$D36,$D36)=2,D36&amp;"2",IF(COUNTIF($D$3:$D36,$D36)=3,D36&amp;"3",IF(COUNTIF($D$3:$D36,$D36)=4,D36&amp;"4",IF(COUNTIF($D$3:$D36,$D36)=5,D36&amp;"5",IF(COUNTIF($D$3:$D36,$D36)=6,D36&amp;"6",IF(COUNTIF($D$3:$D36,$D36)=7,D36&amp;"7",IF(COUNTIF($D$3:$D36,$D36)=8,D36&amp;"8",D36)))))))))</f>
        <v>鄂南原油创新项目组中层副职1</v>
      </c>
      <c r="F36" s="3">
        <v>6.2</v>
      </c>
      <c r="G36" s="3">
        <v>4.8</v>
      </c>
      <c r="H36" s="3">
        <v>6.3</v>
      </c>
      <c r="I36" s="3">
        <v>8.8000000000000007</v>
      </c>
      <c r="J36" s="3">
        <v>4.5999999999999996</v>
      </c>
    </row>
    <row r="37" spans="1:10" x14ac:dyDescent="0.3">
      <c r="A37" s="3" t="s">
        <v>76</v>
      </c>
      <c r="B37" s="3" t="str">
        <f>IFERROR(VLOOKUP($A37,'1-1 基本信息'!$A:$K,11,0),"")</f>
        <v>油气勘探管理部</v>
      </c>
      <c r="C37" s="3" t="str">
        <f>IFERROR(VLOOKUP($A37,'1-1 基本信息'!$A:$K,8,0),"")</f>
        <v>中层正职</v>
      </c>
      <c r="D37" s="3" t="str">
        <f t="shared" si="0"/>
        <v>油气勘探管理部中层正职</v>
      </c>
      <c r="E37" s="3" t="str">
        <f>IF(D37="","",IF(COUNTIF($D$3:$D37,$D37)=1,D37&amp;"1",IF(COUNTIF($D$3:$D37,$D37)=2,D37&amp;"2",IF(COUNTIF($D$3:$D37,$D37)=3,D37&amp;"3",IF(COUNTIF($D$3:$D37,$D37)=4,D37&amp;"4",IF(COUNTIF($D$3:$D37,$D37)=5,D37&amp;"5",IF(COUNTIF($D$3:$D37,$D37)=6,D37&amp;"6",IF(COUNTIF($D$3:$D37,$D37)=7,D37&amp;"7",IF(COUNTIF($D$3:$D37,$D37)=8,D37&amp;"8",D37)))))))))</f>
        <v>油气勘探管理部中层正职1</v>
      </c>
      <c r="F37" s="3">
        <v>5</v>
      </c>
      <c r="G37" s="3">
        <v>3</v>
      </c>
      <c r="H37" s="3">
        <v>2</v>
      </c>
      <c r="I37" s="3">
        <v>4.5</v>
      </c>
      <c r="J37" s="3">
        <v>5.3</v>
      </c>
    </row>
    <row r="38" spans="1:10" x14ac:dyDescent="0.3">
      <c r="A38" s="3" t="s">
        <v>77</v>
      </c>
      <c r="B38" s="3" t="str">
        <f>IFERROR(VLOOKUP($A38,'1-1 基本信息'!$A:$K,11,0),"")</f>
        <v/>
      </c>
      <c r="C38" s="3" t="str">
        <f>IFERROR(VLOOKUP($A38,'1-1 基本信息'!$A:$K,8,0),"")</f>
        <v/>
      </c>
      <c r="D38" s="3" t="str">
        <f t="shared" si="0"/>
        <v/>
      </c>
      <c r="E38" s="3" t="str">
        <f>IF(D38="","",IF(COUNTIF($D$3:$D38,$D38)=1,D38&amp;"1",IF(COUNTIF($D$3:$D38,$D38)=2,D38&amp;"2",IF(COUNTIF($D$3:$D38,$D38)=3,D38&amp;"3",IF(COUNTIF($D$3:$D38,$D38)=4,D38&amp;"4",IF(COUNTIF($D$3:$D38,$D38)=5,D38&amp;"5",IF(COUNTIF($D$3:$D38,$D38)=6,D38&amp;"6",IF(COUNTIF($D$3:$D38,$D38)=7,D38&amp;"7",IF(COUNTIF($D$3:$D38,$D38)=8,D38&amp;"8",D38)))))))))</f>
        <v/>
      </c>
      <c r="F38" s="3">
        <v>7.4</v>
      </c>
      <c r="G38" s="3">
        <v>5.4</v>
      </c>
      <c r="H38" s="3">
        <v>5.2</v>
      </c>
      <c r="I38" s="3">
        <v>6.9</v>
      </c>
      <c r="J38" s="3">
        <v>4</v>
      </c>
    </row>
    <row r="39" spans="1:10" x14ac:dyDescent="0.3">
      <c r="A39" s="3" t="s">
        <v>78</v>
      </c>
      <c r="B39" s="3" t="str">
        <f>IFERROR(VLOOKUP($A39,'1-1 基本信息'!$A:$K,11,0),"")</f>
        <v/>
      </c>
      <c r="C39" s="3" t="str">
        <f>IFERROR(VLOOKUP($A39,'1-1 基本信息'!$A:$K,8,0),"")</f>
        <v/>
      </c>
      <c r="D39" s="3" t="str">
        <f t="shared" si="0"/>
        <v/>
      </c>
      <c r="E39" s="3" t="str">
        <f>IF(D39="","",IF(COUNTIF($D$3:$D39,$D39)=1,D39&amp;"1",IF(COUNTIF($D$3:$D39,$D39)=2,D39&amp;"2",IF(COUNTIF($D$3:$D39,$D39)=3,D39&amp;"3",IF(COUNTIF($D$3:$D39,$D39)=4,D39&amp;"4",IF(COUNTIF($D$3:$D39,$D39)=5,D39&amp;"5",IF(COUNTIF($D$3:$D39,$D39)=6,D39&amp;"6",IF(COUNTIF($D$3:$D39,$D39)=7,D39&amp;"7",IF(COUNTIF($D$3:$D39,$D39)=8,D39&amp;"8",D39)))))))))</f>
        <v/>
      </c>
      <c r="F39" s="3">
        <v>4.4000000000000004</v>
      </c>
      <c r="G39" s="3">
        <v>6</v>
      </c>
      <c r="H39" s="3">
        <v>4.0999999999999996</v>
      </c>
      <c r="I39" s="3">
        <v>4.5</v>
      </c>
      <c r="J39" s="3">
        <v>5.9</v>
      </c>
    </row>
    <row r="40" spans="1:10" x14ac:dyDescent="0.3">
      <c r="A40" s="3" t="s">
        <v>79</v>
      </c>
      <c r="B40" s="3" t="str">
        <f>IFERROR(VLOOKUP($A40,'1-1 基本信息'!$A:$K,11,0),"")</f>
        <v/>
      </c>
      <c r="C40" s="3" t="str">
        <f>IFERROR(VLOOKUP($A40,'1-1 基本信息'!$A:$K,8,0),"")</f>
        <v/>
      </c>
      <c r="D40" s="3" t="str">
        <f t="shared" si="0"/>
        <v/>
      </c>
      <c r="E40" s="3" t="str">
        <f>IF(D40="","",IF(COUNTIF($D$3:$D40,$D40)=1,D40&amp;"1",IF(COUNTIF($D$3:$D40,$D40)=2,D40&amp;"2",IF(COUNTIF($D$3:$D40,$D40)=3,D40&amp;"3",IF(COUNTIF($D$3:$D40,$D40)=4,D40&amp;"4",IF(COUNTIF($D$3:$D40,$D40)=5,D40&amp;"5",IF(COUNTIF($D$3:$D40,$D40)=6,D40&amp;"6",IF(COUNTIF($D$3:$D40,$D40)=7,D40&amp;"7",IF(COUNTIF($D$3:$D40,$D40)=8,D40&amp;"8",D40)))))))))</f>
        <v/>
      </c>
      <c r="F40" s="3">
        <v>3.8</v>
      </c>
      <c r="G40" s="3">
        <v>4.8</v>
      </c>
      <c r="H40" s="3">
        <v>4.5999999999999996</v>
      </c>
      <c r="I40" s="3">
        <v>6.9</v>
      </c>
      <c r="J40" s="3">
        <v>5.3</v>
      </c>
    </row>
    <row r="41" spans="1:10" x14ac:dyDescent="0.3">
      <c r="A41" s="3" t="s">
        <v>80</v>
      </c>
      <c r="B41" s="3" t="str">
        <f>IFERROR(VLOOKUP($A41,'1-1 基本信息'!$A:$K,11,0),"")</f>
        <v>采油气工程服务中心</v>
      </c>
      <c r="C41" s="3" t="str">
        <f>IFERROR(VLOOKUP($A41,'1-1 基本信息'!$A:$K,8,0),"")</f>
        <v>中层正职</v>
      </c>
      <c r="D41" s="3" t="str">
        <f t="shared" si="0"/>
        <v>采油气工程服务中心中层正职</v>
      </c>
      <c r="E41" s="3" t="str">
        <f>IF(D41="","",IF(COUNTIF($D$3:$D41,$D41)=1,D41&amp;"1",IF(COUNTIF($D$3:$D41,$D41)=2,D41&amp;"2",IF(COUNTIF($D$3:$D41,$D41)=3,D41&amp;"3",IF(COUNTIF($D$3:$D41,$D41)=4,D41&amp;"4",IF(COUNTIF($D$3:$D41,$D41)=5,D41&amp;"5",IF(COUNTIF($D$3:$D41,$D41)=6,D41&amp;"6",IF(COUNTIF($D$3:$D41,$D41)=7,D41&amp;"7",IF(COUNTIF($D$3:$D41,$D41)=8,D41&amp;"8",D41)))))))))</f>
        <v>采油气工程服务中心中层正职1</v>
      </c>
      <c r="F41" s="3">
        <v>3.8</v>
      </c>
      <c r="G41" s="3">
        <v>3.6</v>
      </c>
      <c r="H41" s="3">
        <v>3.6</v>
      </c>
      <c r="I41" s="3">
        <v>6.3</v>
      </c>
      <c r="J41" s="3">
        <v>1.5</v>
      </c>
    </row>
    <row r="42" spans="1:10" x14ac:dyDescent="0.3">
      <c r="A42" s="3" t="s">
        <v>81</v>
      </c>
      <c r="B42" s="3" t="str">
        <f>IFERROR(VLOOKUP($A42,'1-1 基本信息'!$A:$K,11,0),"")</f>
        <v/>
      </c>
      <c r="C42" s="3" t="str">
        <f>IFERROR(VLOOKUP($A42,'1-1 基本信息'!$A:$K,8,0),"")</f>
        <v/>
      </c>
      <c r="D42" s="3" t="str">
        <f t="shared" si="0"/>
        <v/>
      </c>
      <c r="E42" s="3" t="str">
        <f>IF(D42="","",IF(COUNTIF($D$3:$D42,$D42)=1,D42&amp;"1",IF(COUNTIF($D$3:$D42,$D42)=2,D42&amp;"2",IF(COUNTIF($D$3:$D42,$D42)=3,D42&amp;"3",IF(COUNTIF($D$3:$D42,$D42)=4,D42&amp;"4",IF(COUNTIF($D$3:$D42,$D42)=5,D42&amp;"5",IF(COUNTIF($D$3:$D42,$D42)=6,D42&amp;"6",IF(COUNTIF($D$3:$D42,$D42)=7,D42&amp;"7",IF(COUNTIF($D$3:$D42,$D42)=8,D42&amp;"8",D42)))))))))</f>
        <v/>
      </c>
      <c r="F42" s="3">
        <v>3.8</v>
      </c>
      <c r="G42" s="3">
        <v>6</v>
      </c>
      <c r="H42" s="3">
        <v>3.6</v>
      </c>
      <c r="I42" s="3">
        <v>2.6</v>
      </c>
      <c r="J42" s="3">
        <v>3.4</v>
      </c>
    </row>
    <row r="43" spans="1:10" x14ac:dyDescent="0.3">
      <c r="A43" s="3" t="s">
        <v>82</v>
      </c>
      <c r="B43" s="3" t="str">
        <f>IFERROR(VLOOKUP($A43,'1-1 基本信息'!$A:$K,11,0),"")</f>
        <v>石油工程技术研究院</v>
      </c>
      <c r="C43" s="3" t="str">
        <f>IFERROR(VLOOKUP($A43,'1-1 基本信息'!$A:$K,8,0),"")</f>
        <v>党委书记</v>
      </c>
      <c r="D43" s="3" t="str">
        <f t="shared" si="0"/>
        <v>石油工程技术研究院党委书记</v>
      </c>
      <c r="E43" s="3" t="str">
        <f>IF(D43="","",IF(COUNTIF($D$3:$D43,$D43)=1,D43&amp;"1",IF(COUNTIF($D$3:$D43,$D43)=2,D43&amp;"2",IF(COUNTIF($D$3:$D43,$D43)=3,D43&amp;"3",IF(COUNTIF($D$3:$D43,$D43)=4,D43&amp;"4",IF(COUNTIF($D$3:$D43,$D43)=5,D43&amp;"5",IF(COUNTIF($D$3:$D43,$D43)=6,D43&amp;"6",IF(COUNTIF($D$3:$D43,$D43)=7,D43&amp;"7",IF(COUNTIF($D$3:$D43,$D43)=8,D43&amp;"8",D43)))))))))</f>
        <v>石油工程技术研究院党委书记1</v>
      </c>
      <c r="F43" s="3">
        <v>6.8</v>
      </c>
      <c r="G43" s="3">
        <v>7.3</v>
      </c>
      <c r="H43" s="3">
        <v>4.5999999999999996</v>
      </c>
      <c r="I43" s="3">
        <v>7.6</v>
      </c>
      <c r="J43" s="3">
        <v>4.5999999999999996</v>
      </c>
    </row>
    <row r="44" spans="1:10" x14ac:dyDescent="0.3">
      <c r="A44" s="3" t="s">
        <v>83</v>
      </c>
      <c r="B44" s="3" t="str">
        <f>IFERROR(VLOOKUP($A44,'1-1 基本信息'!$A:$K,11,0),"")</f>
        <v>采油一厂</v>
      </c>
      <c r="C44" s="3" t="str">
        <f>IFERROR(VLOOKUP($A44,'1-1 基本信息'!$A:$K,8,0),"")</f>
        <v>党委书记</v>
      </c>
      <c r="D44" s="3" t="str">
        <f t="shared" si="0"/>
        <v>采油一厂党委书记</v>
      </c>
      <c r="E44" s="3" t="str">
        <f>IF(D44="","",IF(COUNTIF($D$3:$D44,$D44)=1,D44&amp;"1",IF(COUNTIF($D$3:$D44,$D44)=2,D44&amp;"2",IF(COUNTIF($D$3:$D44,$D44)=3,D44&amp;"3",IF(COUNTIF($D$3:$D44,$D44)=4,D44&amp;"4",IF(COUNTIF($D$3:$D44,$D44)=5,D44&amp;"5",IF(COUNTIF($D$3:$D44,$D44)=6,D44&amp;"6",IF(COUNTIF($D$3:$D44,$D44)=7,D44&amp;"7",IF(COUNTIF($D$3:$D44,$D44)=8,D44&amp;"8",D44)))))))))</f>
        <v>采油一厂党委书记1</v>
      </c>
      <c r="F44" s="3">
        <v>2.6</v>
      </c>
      <c r="G44" s="3">
        <v>6</v>
      </c>
      <c r="H44" s="3">
        <v>6.3</v>
      </c>
      <c r="I44" s="3">
        <v>3.2</v>
      </c>
      <c r="J44" s="3">
        <v>5.3</v>
      </c>
    </row>
    <row r="45" spans="1:10" x14ac:dyDescent="0.3">
      <c r="A45" s="3" t="s">
        <v>84</v>
      </c>
      <c r="B45" s="3" t="str">
        <f>IFERROR(VLOOKUP($A45,'1-1 基本信息'!$A:$K,11,0),"")</f>
        <v>采气一厂</v>
      </c>
      <c r="C45" s="3" t="str">
        <f>IFERROR(VLOOKUP($A45,'1-1 基本信息'!$A:$K,8,0),"")</f>
        <v>党委书记</v>
      </c>
      <c r="D45" s="3" t="str">
        <f t="shared" si="0"/>
        <v>采气一厂党委书记</v>
      </c>
      <c r="E45" s="3" t="str">
        <f>IF(D45="","",IF(COUNTIF($D$3:$D45,$D45)=1,D45&amp;"1",IF(COUNTIF($D$3:$D45,$D45)=2,D45&amp;"2",IF(COUNTIF($D$3:$D45,$D45)=3,D45&amp;"3",IF(COUNTIF($D$3:$D45,$D45)=4,D45&amp;"4",IF(COUNTIF($D$3:$D45,$D45)=5,D45&amp;"5",IF(COUNTIF($D$3:$D45,$D45)=6,D45&amp;"6",IF(COUNTIF($D$3:$D45,$D45)=7,D45&amp;"7",IF(COUNTIF($D$3:$D45,$D45)=8,D45&amp;"8",D45)))))))))</f>
        <v>采气一厂党委书记1</v>
      </c>
      <c r="F45" s="3">
        <v>7.4</v>
      </c>
      <c r="G45" s="3">
        <v>7.3</v>
      </c>
      <c r="H45" s="3">
        <v>7.3</v>
      </c>
      <c r="I45" s="3">
        <v>6.9</v>
      </c>
      <c r="J45" s="3">
        <v>4.5999999999999996</v>
      </c>
    </row>
    <row r="46" spans="1:10" x14ac:dyDescent="0.3">
      <c r="A46" s="3" t="s">
        <v>85</v>
      </c>
      <c r="B46" s="3" t="str">
        <f>IFERROR(VLOOKUP($A46,'1-1 基本信息'!$A:$K,11,0),"")</f>
        <v>勘探开发研究院</v>
      </c>
      <c r="C46" s="3" t="str">
        <f>IFERROR(VLOOKUP($A46,'1-1 基本信息'!$A:$K,8,0),"")</f>
        <v>党委书记</v>
      </c>
      <c r="D46" s="3" t="str">
        <f t="shared" si="0"/>
        <v>勘探开发研究院党委书记</v>
      </c>
      <c r="E46" s="3" t="str">
        <f>IF(D46="","",IF(COUNTIF($D$3:$D46,$D46)=1,D46&amp;"1",IF(COUNTIF($D$3:$D46,$D46)=2,D46&amp;"2",IF(COUNTIF($D$3:$D46,$D46)=3,D46&amp;"3",IF(COUNTIF($D$3:$D46,$D46)=4,D46&amp;"4",IF(COUNTIF($D$3:$D46,$D46)=5,D46&amp;"5",IF(COUNTIF($D$3:$D46,$D46)=6,D46&amp;"6",IF(COUNTIF($D$3:$D46,$D46)=7,D46&amp;"7",IF(COUNTIF($D$3:$D46,$D46)=8,D46&amp;"8",D46)))))))))</f>
        <v>勘探开发研究院党委书记1</v>
      </c>
      <c r="F46" s="3">
        <v>4.4000000000000004</v>
      </c>
      <c r="G46" s="3">
        <v>5.4</v>
      </c>
      <c r="H46" s="3">
        <v>6.3</v>
      </c>
      <c r="I46" s="3">
        <v>6.9</v>
      </c>
      <c r="J46" s="3">
        <v>4</v>
      </c>
    </row>
    <row r="47" spans="1:10" x14ac:dyDescent="0.3">
      <c r="A47" s="3" t="s">
        <v>86</v>
      </c>
      <c r="B47" s="3" t="str">
        <f>IFERROR(VLOOKUP($A47,'1-1 基本信息'!$A:$K,11,0),"")</f>
        <v>油地工作保卫部</v>
      </c>
      <c r="C47" s="3" t="str">
        <f>IFERROR(VLOOKUP($A47,'1-1 基本信息'!$A:$K,8,0),"")</f>
        <v>中层副职</v>
      </c>
      <c r="D47" s="3" t="str">
        <f t="shared" si="0"/>
        <v>油地工作保卫部中层副职</v>
      </c>
      <c r="E47" s="3" t="str">
        <f>IF(D47="","",IF(COUNTIF($D$3:$D47,$D47)=1,D47&amp;"1",IF(COUNTIF($D$3:$D47,$D47)=2,D47&amp;"2",IF(COUNTIF($D$3:$D47,$D47)=3,D47&amp;"3",IF(COUNTIF($D$3:$D47,$D47)=4,D47&amp;"4",IF(COUNTIF($D$3:$D47,$D47)=5,D47&amp;"5",IF(COUNTIF($D$3:$D47,$D47)=6,D47&amp;"6",IF(COUNTIF($D$3:$D47,$D47)=7,D47&amp;"7",IF(COUNTIF($D$3:$D47,$D47)=8,D47&amp;"8",D47)))))))))</f>
        <v>油地工作保卫部中层副职1</v>
      </c>
      <c r="F47" s="3">
        <v>2.6</v>
      </c>
      <c r="G47" s="3">
        <v>1.5</v>
      </c>
      <c r="H47" s="3">
        <v>1.5</v>
      </c>
      <c r="I47" s="3">
        <v>6.3</v>
      </c>
      <c r="J47" s="3">
        <v>1.5</v>
      </c>
    </row>
    <row r="48" spans="1:10" x14ac:dyDescent="0.3">
      <c r="A48" s="3" t="s">
        <v>87</v>
      </c>
      <c r="B48" s="3" t="str">
        <f>IFERROR(VLOOKUP($A48,'1-1 基本信息'!$A:$K,11,0),"")</f>
        <v>石油工程监督中心</v>
      </c>
      <c r="C48" s="3" t="str">
        <f>IFERROR(VLOOKUP($A48,'1-1 基本信息'!$A:$K,8,0),"")</f>
        <v>中层正职</v>
      </c>
      <c r="D48" s="3" t="str">
        <f t="shared" si="0"/>
        <v>石油工程监督中心中层正职</v>
      </c>
      <c r="E48" s="3" t="str">
        <f>IF(D48="","",IF(COUNTIF($D$3:$D48,$D48)=1,D48&amp;"1",IF(COUNTIF($D$3:$D48,$D48)=2,D48&amp;"2",IF(COUNTIF($D$3:$D48,$D48)=3,D48&amp;"3",IF(COUNTIF($D$3:$D48,$D48)=4,D48&amp;"4",IF(COUNTIF($D$3:$D48,$D48)=5,D48&amp;"5",IF(COUNTIF($D$3:$D48,$D48)=6,D48&amp;"6",IF(COUNTIF($D$3:$D48,$D48)=7,D48&amp;"7",IF(COUNTIF($D$3:$D48,$D48)=8,D48&amp;"8",D48)))))))))</f>
        <v>石油工程监督中心中层正职1</v>
      </c>
      <c r="F48" s="3">
        <v>6.2</v>
      </c>
      <c r="G48" s="3">
        <v>4.2</v>
      </c>
      <c r="H48" s="3">
        <v>7.3</v>
      </c>
      <c r="I48" s="3">
        <v>7.6</v>
      </c>
      <c r="J48" s="3">
        <v>5.3</v>
      </c>
    </row>
    <row r="49" spans="1:10" x14ac:dyDescent="0.3">
      <c r="A49" s="3" t="s">
        <v>88</v>
      </c>
      <c r="B49" s="3" t="str">
        <f>IFERROR(VLOOKUP($A49,'1-1 基本信息'!$A:$K,11,0),"")</f>
        <v>审计部</v>
      </c>
      <c r="C49" s="3" t="str">
        <f>IFERROR(VLOOKUP($A49,'1-1 基本信息'!$A:$K,8,0),"")</f>
        <v>中层正职</v>
      </c>
      <c r="D49" s="3" t="str">
        <f t="shared" si="0"/>
        <v>审计部中层正职</v>
      </c>
      <c r="E49" s="3" t="str">
        <f>IF(D49="","",IF(COUNTIF($D$3:$D49,$D49)=1,D49&amp;"1",IF(COUNTIF($D$3:$D49,$D49)=2,D49&amp;"2",IF(COUNTIF($D$3:$D49,$D49)=3,D49&amp;"3",IF(COUNTIF($D$3:$D49,$D49)=4,D49&amp;"4",IF(COUNTIF($D$3:$D49,$D49)=5,D49&amp;"5",IF(COUNTIF($D$3:$D49,$D49)=6,D49&amp;"6",IF(COUNTIF($D$3:$D49,$D49)=7,D49&amp;"7",IF(COUNTIF($D$3:$D49,$D49)=8,D49&amp;"8",D49)))))))))</f>
        <v>审计部中层正职1</v>
      </c>
      <c r="F49" s="3">
        <v>8</v>
      </c>
      <c r="G49" s="3">
        <v>6</v>
      </c>
      <c r="H49" s="3">
        <v>5.7</v>
      </c>
      <c r="I49" s="3">
        <v>6.3</v>
      </c>
      <c r="J49" s="3">
        <v>6.5</v>
      </c>
    </row>
    <row r="50" spans="1:10" x14ac:dyDescent="0.3">
      <c r="A50" s="3" t="s">
        <v>89</v>
      </c>
      <c r="B50" s="3" t="str">
        <f>IFERROR(VLOOKUP($A50,'1-1 基本信息'!$A:$K,11,0),"")</f>
        <v>延安华延天然气有限公司</v>
      </c>
      <c r="C50" s="3" t="str">
        <f>IFERROR(VLOOKUP($A50,'1-1 基本信息'!$A:$K,8,0),"")</f>
        <v>中层正职</v>
      </c>
      <c r="D50" s="3" t="str">
        <f t="shared" si="0"/>
        <v>延安华延天然气有限公司中层正职</v>
      </c>
      <c r="E50" s="3" t="str">
        <f>IF(D50="","",IF(COUNTIF($D$3:$D50,$D50)=1,D50&amp;"1",IF(COUNTIF($D$3:$D50,$D50)=2,D50&amp;"2",IF(COUNTIF($D$3:$D50,$D50)=3,D50&amp;"3",IF(COUNTIF($D$3:$D50,$D50)=4,D50&amp;"4",IF(COUNTIF($D$3:$D50,$D50)=5,D50&amp;"5",IF(COUNTIF($D$3:$D50,$D50)=6,D50&amp;"6",IF(COUNTIF($D$3:$D50,$D50)=7,D50&amp;"7",IF(COUNTIF($D$3:$D50,$D50)=8,D50&amp;"8",D50)))))))))</f>
        <v>延安华延天然气有限公司中层正职1</v>
      </c>
      <c r="F50" s="3">
        <v>9.1999999999999993</v>
      </c>
      <c r="G50" s="3">
        <v>7.3</v>
      </c>
      <c r="H50" s="3">
        <v>7.3</v>
      </c>
      <c r="I50" s="3">
        <v>9.4</v>
      </c>
      <c r="J50" s="3">
        <v>5.9</v>
      </c>
    </row>
    <row r="51" spans="1:10" x14ac:dyDescent="0.3">
      <c r="A51" s="3" t="s">
        <v>90</v>
      </c>
      <c r="B51" s="3" t="str">
        <f>IFERROR(VLOOKUP($A51,'1-1 基本信息'!$A:$K,11,0),"")</f>
        <v>投资发展部</v>
      </c>
      <c r="C51" s="3" t="str">
        <f>IFERROR(VLOOKUP($A51,'1-1 基本信息'!$A:$K,8,0),"")</f>
        <v>中层副职</v>
      </c>
      <c r="D51" s="3" t="str">
        <f t="shared" si="0"/>
        <v>投资发展部中层副职</v>
      </c>
      <c r="E51" s="3" t="str">
        <f>IF(D51="","",IF(COUNTIF($D$3:$D51,$D51)=1,D51&amp;"1",IF(COUNTIF($D$3:$D51,$D51)=2,D51&amp;"2",IF(COUNTIF($D$3:$D51,$D51)=3,D51&amp;"3",IF(COUNTIF($D$3:$D51,$D51)=4,D51&amp;"4",IF(COUNTIF($D$3:$D51,$D51)=5,D51&amp;"5",IF(COUNTIF($D$3:$D51,$D51)=6,D51&amp;"6",IF(COUNTIF($D$3:$D51,$D51)=7,D51&amp;"7",IF(COUNTIF($D$3:$D51,$D51)=8,D51&amp;"8",D51)))))))))</f>
        <v>投资发展部中层副职1</v>
      </c>
      <c r="F51" s="3">
        <v>6.2</v>
      </c>
      <c r="G51" s="3">
        <v>6</v>
      </c>
      <c r="H51" s="3">
        <v>6.8</v>
      </c>
      <c r="I51" s="3">
        <v>5.0999999999999996</v>
      </c>
      <c r="J51" s="3">
        <v>5.3</v>
      </c>
    </row>
    <row r="52" spans="1:10" x14ac:dyDescent="0.3">
      <c r="A52" s="3" t="s">
        <v>91</v>
      </c>
      <c r="B52" s="3" t="str">
        <f>IFERROR(VLOOKUP($A52,'1-1 基本信息'!$A:$K,11,0),"")</f>
        <v>采气一厂</v>
      </c>
      <c r="C52" s="3" t="str">
        <f>IFERROR(VLOOKUP($A52,'1-1 基本信息'!$A:$K,8,0),"")</f>
        <v>中层副职</v>
      </c>
      <c r="D52" s="3" t="str">
        <f t="shared" si="0"/>
        <v>采气一厂中层副职</v>
      </c>
      <c r="E52" s="3" t="str">
        <f>IF(D52="","",IF(COUNTIF($D$3:$D52,$D52)=1,D52&amp;"1",IF(COUNTIF($D$3:$D52,$D52)=2,D52&amp;"2",IF(COUNTIF($D$3:$D52,$D52)=3,D52&amp;"3",IF(COUNTIF($D$3:$D52,$D52)=4,D52&amp;"4",IF(COUNTIF($D$3:$D52,$D52)=5,D52&amp;"5",IF(COUNTIF($D$3:$D52,$D52)=6,D52&amp;"6",IF(COUNTIF($D$3:$D52,$D52)=7,D52&amp;"7",IF(COUNTIF($D$3:$D52,$D52)=8,D52&amp;"8",D52)))))))))</f>
        <v>采气一厂中层副职3</v>
      </c>
      <c r="F52" s="3">
        <v>5</v>
      </c>
      <c r="G52" s="3">
        <v>5.4</v>
      </c>
      <c r="H52" s="3">
        <v>6.3</v>
      </c>
      <c r="I52" s="3">
        <v>6.3</v>
      </c>
      <c r="J52" s="3">
        <v>4</v>
      </c>
    </row>
    <row r="53" spans="1:10" x14ac:dyDescent="0.3">
      <c r="A53" s="3" t="s">
        <v>92</v>
      </c>
      <c r="B53" s="3" t="str">
        <f>IFERROR(VLOOKUP($A53,'1-1 基本信息'!$A:$K,11,0),"")</f>
        <v>油地工作保卫部</v>
      </c>
      <c r="C53" s="3" t="str">
        <f>IFERROR(VLOOKUP($A53,'1-1 基本信息'!$A:$K,8,0),"")</f>
        <v>中层正职</v>
      </c>
      <c r="D53" s="3" t="str">
        <f t="shared" si="0"/>
        <v>油地工作保卫部中层正职</v>
      </c>
      <c r="E53" s="3" t="str">
        <f>IF(D53="","",IF(COUNTIF($D$3:$D53,$D53)=1,D53&amp;"1",IF(COUNTIF($D$3:$D53,$D53)=2,D53&amp;"2",IF(COUNTIF($D$3:$D53,$D53)=3,D53&amp;"3",IF(COUNTIF($D$3:$D53,$D53)=4,D53&amp;"4",IF(COUNTIF($D$3:$D53,$D53)=5,D53&amp;"5",IF(COUNTIF($D$3:$D53,$D53)=6,D53&amp;"6",IF(COUNTIF($D$3:$D53,$D53)=7,D53&amp;"7",IF(COUNTIF($D$3:$D53,$D53)=8,D53&amp;"8",D53)))))))))</f>
        <v>油地工作保卫部中层正职1</v>
      </c>
      <c r="F53" s="3">
        <v>8</v>
      </c>
      <c r="G53" s="3">
        <v>6.7</v>
      </c>
      <c r="H53" s="3">
        <v>3</v>
      </c>
      <c r="I53" s="3">
        <v>5.0999999999999996</v>
      </c>
      <c r="J53" s="3">
        <v>5.3</v>
      </c>
    </row>
    <row r="54" spans="1:10" x14ac:dyDescent="0.3">
      <c r="A54" s="3" t="s">
        <v>93</v>
      </c>
      <c r="B54" s="3" t="str">
        <f>IFERROR(VLOOKUP($A54,'1-1 基本信息'!$A:$K,11,0),"")</f>
        <v>培训中心</v>
      </c>
      <c r="C54" s="3" t="str">
        <f>IFERROR(VLOOKUP($A54,'1-1 基本信息'!$A:$K,8,0),"")</f>
        <v>中层正职</v>
      </c>
      <c r="D54" s="3" t="str">
        <f t="shared" si="0"/>
        <v>培训中心中层正职</v>
      </c>
      <c r="E54" s="3" t="str">
        <f>IF(D54="","",IF(COUNTIF($D$3:$D54,$D54)=1,D54&amp;"1",IF(COUNTIF($D$3:$D54,$D54)=2,D54&amp;"2",IF(COUNTIF($D$3:$D54,$D54)=3,D54&amp;"3",IF(COUNTIF($D$3:$D54,$D54)=4,D54&amp;"4",IF(COUNTIF($D$3:$D54,$D54)=5,D54&amp;"5",IF(COUNTIF($D$3:$D54,$D54)=6,D54&amp;"6",IF(COUNTIF($D$3:$D54,$D54)=7,D54&amp;"7",IF(COUNTIF($D$3:$D54,$D54)=8,D54&amp;"8",D54)))))))))</f>
        <v>培训中心中层正职1</v>
      </c>
      <c r="F54" s="3">
        <v>9.8000000000000007</v>
      </c>
      <c r="G54" s="3">
        <v>6</v>
      </c>
      <c r="H54" s="3">
        <v>8.9</v>
      </c>
      <c r="I54" s="3">
        <v>4.5</v>
      </c>
      <c r="J54" s="3">
        <v>5.3</v>
      </c>
    </row>
    <row r="55" spans="1:10" x14ac:dyDescent="0.3">
      <c r="A55" s="3" t="s">
        <v>94</v>
      </c>
      <c r="B55" s="3" t="str">
        <f>IFERROR(VLOOKUP($A55,'1-1 基本信息'!$A:$K,11,0),"")</f>
        <v>油气开发管理部</v>
      </c>
      <c r="C55" s="3" t="str">
        <f>IFERROR(VLOOKUP($A55,'1-1 基本信息'!$A:$K,8,0),"")</f>
        <v>中层正职</v>
      </c>
      <c r="D55" s="3" t="str">
        <f t="shared" si="0"/>
        <v>油气开发管理部中层正职</v>
      </c>
      <c r="E55" s="3" t="str">
        <f>IF(D55="","",IF(COUNTIF($D$3:$D55,$D55)=1,D55&amp;"1",IF(COUNTIF($D$3:$D55,$D55)=2,D55&amp;"2",IF(COUNTIF($D$3:$D55,$D55)=3,D55&amp;"3",IF(COUNTIF($D$3:$D55,$D55)=4,D55&amp;"4",IF(COUNTIF($D$3:$D55,$D55)=5,D55&amp;"5",IF(COUNTIF($D$3:$D55,$D55)=6,D55&amp;"6",IF(COUNTIF($D$3:$D55,$D55)=7,D55&amp;"7",IF(COUNTIF($D$3:$D55,$D55)=8,D55&amp;"8",D55)))))))))</f>
        <v>油气开发管理部中层正职1</v>
      </c>
      <c r="F55" s="3">
        <v>6.2</v>
      </c>
      <c r="G55" s="3">
        <v>5.4</v>
      </c>
      <c r="H55" s="3">
        <v>3</v>
      </c>
      <c r="I55" s="3">
        <v>6.3</v>
      </c>
      <c r="J55" s="3">
        <v>6.5</v>
      </c>
    </row>
    <row r="56" spans="1:10" x14ac:dyDescent="0.3">
      <c r="A56" s="3" t="s">
        <v>95</v>
      </c>
      <c r="B56" s="3" t="str">
        <f>IFERROR(VLOOKUP($A56,'1-1 基本信息'!$A:$K,11,0),"")</f>
        <v/>
      </c>
      <c r="C56" s="3" t="str">
        <f>IFERROR(VLOOKUP($A56,'1-1 基本信息'!$A:$K,8,0),"")</f>
        <v/>
      </c>
      <c r="D56" s="3" t="str">
        <f t="shared" si="0"/>
        <v/>
      </c>
      <c r="E56" s="3" t="str">
        <f>IF(D56="","",IF(COUNTIF($D$3:$D56,$D56)=1,D56&amp;"1",IF(COUNTIF($D$3:$D56,$D56)=2,D56&amp;"2",IF(COUNTIF($D$3:$D56,$D56)=3,D56&amp;"3",IF(COUNTIF($D$3:$D56,$D56)=4,D56&amp;"4",IF(COUNTIF($D$3:$D56,$D56)=5,D56&amp;"5",IF(COUNTIF($D$3:$D56,$D56)=6,D56&amp;"6",IF(COUNTIF($D$3:$D56,$D56)=7,D56&amp;"7",IF(COUNTIF($D$3:$D56,$D56)=8,D56&amp;"8",D56)))))))))</f>
        <v/>
      </c>
      <c r="F56" s="3">
        <v>8.6</v>
      </c>
      <c r="G56" s="3">
        <v>6.7</v>
      </c>
      <c r="H56" s="3">
        <v>3.6</v>
      </c>
      <c r="I56" s="3">
        <v>5.7</v>
      </c>
      <c r="J56" s="3">
        <v>5.9</v>
      </c>
    </row>
    <row r="57" spans="1:10" x14ac:dyDescent="0.3">
      <c r="A57" s="3" t="s">
        <v>96</v>
      </c>
      <c r="B57" s="3" t="str">
        <f>IFERROR(VLOOKUP($A57,'1-1 基本信息'!$A:$K,11,0),"")</f>
        <v>采气一厂</v>
      </c>
      <c r="C57" s="3" t="str">
        <f>IFERROR(VLOOKUP($A57,'1-1 基本信息'!$A:$K,8,0),"")</f>
        <v>中层副职</v>
      </c>
      <c r="D57" s="3" t="str">
        <f t="shared" si="0"/>
        <v>采气一厂中层副职</v>
      </c>
      <c r="E57" s="3" t="str">
        <f>IF(D57="","",IF(COUNTIF($D$3:$D57,$D57)=1,D57&amp;"1",IF(COUNTIF($D$3:$D57,$D57)=2,D57&amp;"2",IF(COUNTIF($D$3:$D57,$D57)=3,D57&amp;"3",IF(COUNTIF($D$3:$D57,$D57)=4,D57&amp;"4",IF(COUNTIF($D$3:$D57,$D57)=5,D57&amp;"5",IF(COUNTIF($D$3:$D57,$D57)=6,D57&amp;"6",IF(COUNTIF($D$3:$D57,$D57)=7,D57&amp;"7",IF(COUNTIF($D$3:$D57,$D57)=8,D57&amp;"8",D57)))))))))</f>
        <v>采气一厂中层副职4</v>
      </c>
      <c r="F57" s="3">
        <v>7.4</v>
      </c>
      <c r="G57" s="3">
        <v>9.8000000000000007</v>
      </c>
      <c r="H57" s="3">
        <v>9.8000000000000007</v>
      </c>
      <c r="I57" s="3">
        <v>2</v>
      </c>
      <c r="J57" s="3">
        <v>8.3000000000000007</v>
      </c>
    </row>
    <row r="58" spans="1:10" x14ac:dyDescent="0.3">
      <c r="A58" s="3" t="s">
        <v>97</v>
      </c>
      <c r="B58" s="3" t="str">
        <f>IFERROR(VLOOKUP($A58,'1-1 基本信息'!$A:$K,11,0),"")</f>
        <v/>
      </c>
      <c r="C58" s="3" t="str">
        <f>IFERROR(VLOOKUP($A58,'1-1 基本信息'!$A:$K,8,0),"")</f>
        <v/>
      </c>
      <c r="D58" s="3" t="str">
        <f t="shared" si="0"/>
        <v/>
      </c>
      <c r="E58" s="3" t="str">
        <f>IF(D58="","",IF(COUNTIF($D$3:$D58,$D58)=1,D58&amp;"1",IF(COUNTIF($D$3:$D58,$D58)=2,D58&amp;"2",IF(COUNTIF($D$3:$D58,$D58)=3,D58&amp;"3",IF(COUNTIF($D$3:$D58,$D58)=4,D58&amp;"4",IF(COUNTIF($D$3:$D58,$D58)=5,D58&amp;"5",IF(COUNTIF($D$3:$D58,$D58)=6,D58&amp;"6",IF(COUNTIF($D$3:$D58,$D58)=7,D58&amp;"7",IF(COUNTIF($D$3:$D58,$D58)=8,D58&amp;"8",D58)))))))))</f>
        <v/>
      </c>
      <c r="F58" s="3">
        <v>6.2</v>
      </c>
      <c r="G58" s="3">
        <v>5.4</v>
      </c>
      <c r="H58" s="3">
        <v>4.5999999999999996</v>
      </c>
      <c r="I58" s="3">
        <v>9.4</v>
      </c>
      <c r="J58" s="3">
        <v>3.4</v>
      </c>
    </row>
    <row r="59" spans="1:10" x14ac:dyDescent="0.3">
      <c r="A59" s="3" t="s">
        <v>98</v>
      </c>
      <c r="B59" s="3" t="str">
        <f>IFERROR(VLOOKUP($A59,'1-1 基本信息'!$A:$K,11,0),"")</f>
        <v>采油气工程服务中心</v>
      </c>
      <c r="C59" s="3" t="str">
        <f>IFERROR(VLOOKUP($A59,'1-1 基本信息'!$A:$K,8,0),"")</f>
        <v>中层副职</v>
      </c>
      <c r="D59" s="3" t="str">
        <f t="shared" si="0"/>
        <v>采油气工程服务中心中层副职</v>
      </c>
      <c r="E59" s="3" t="str">
        <f>IF(D59="","",IF(COUNTIF($D$3:$D59,$D59)=1,D59&amp;"1",IF(COUNTIF($D$3:$D59,$D59)=2,D59&amp;"2",IF(COUNTIF($D$3:$D59,$D59)=3,D59&amp;"3",IF(COUNTIF($D$3:$D59,$D59)=4,D59&amp;"4",IF(COUNTIF($D$3:$D59,$D59)=5,D59&amp;"5",IF(COUNTIF($D$3:$D59,$D59)=6,D59&amp;"6",IF(COUNTIF($D$3:$D59,$D59)=7,D59&amp;"7",IF(COUNTIF($D$3:$D59,$D59)=8,D59&amp;"8",D59)))))))))</f>
        <v>采油气工程服务中心中层副职1</v>
      </c>
      <c r="F59" s="3">
        <v>2</v>
      </c>
      <c r="G59" s="3">
        <v>4.2</v>
      </c>
      <c r="H59" s="3">
        <v>3.6</v>
      </c>
      <c r="I59" s="3">
        <v>2</v>
      </c>
      <c r="J59" s="3">
        <v>4.5999999999999996</v>
      </c>
    </row>
    <row r="60" spans="1:10" x14ac:dyDescent="0.3">
      <c r="A60" s="3" t="s">
        <v>99</v>
      </c>
      <c r="B60" s="3" t="str">
        <f>IFERROR(VLOOKUP($A60,'1-1 基本信息'!$A:$K,11,0),"")</f>
        <v>郑州社区管理服务中心</v>
      </c>
      <c r="C60" s="3" t="str">
        <f>IFERROR(VLOOKUP($A60,'1-1 基本信息'!$A:$K,8,0),"")</f>
        <v>中层副职</v>
      </c>
      <c r="D60" s="3" t="str">
        <f t="shared" si="0"/>
        <v>郑州社区管理服务中心中层副职</v>
      </c>
      <c r="E60" s="3" t="str">
        <f>IF(D60="","",IF(COUNTIF($D$3:$D60,$D60)=1,D60&amp;"1",IF(COUNTIF($D$3:$D60,$D60)=2,D60&amp;"2",IF(COUNTIF($D$3:$D60,$D60)=3,D60&amp;"3",IF(COUNTIF($D$3:$D60,$D60)=4,D60&amp;"4",IF(COUNTIF($D$3:$D60,$D60)=5,D60&amp;"5",IF(COUNTIF($D$3:$D60,$D60)=6,D60&amp;"6",IF(COUNTIF($D$3:$D60,$D60)=7,D60&amp;"7",IF(COUNTIF($D$3:$D60,$D60)=8,D60&amp;"8",D60)))))))))</f>
        <v>郑州社区管理服务中心中层副职1</v>
      </c>
      <c r="F60" s="3">
        <v>5</v>
      </c>
      <c r="G60" s="3">
        <v>3.6</v>
      </c>
      <c r="H60" s="3">
        <v>5.7</v>
      </c>
      <c r="I60" s="3">
        <v>7.6</v>
      </c>
      <c r="J60" s="3">
        <v>2.8</v>
      </c>
    </row>
    <row r="61" spans="1:10" x14ac:dyDescent="0.3">
      <c r="A61" s="3" t="s">
        <v>100</v>
      </c>
      <c r="B61" s="3" t="str">
        <f>IFERROR(VLOOKUP($A61,'1-1 基本信息'!$A:$K,11,0),"")</f>
        <v>纪委监督部</v>
      </c>
      <c r="C61" s="3" t="str">
        <f>IFERROR(VLOOKUP($A61,'1-1 基本信息'!$A:$K,8,0),"")</f>
        <v>中层副职</v>
      </c>
      <c r="D61" s="3" t="str">
        <f t="shared" si="0"/>
        <v>纪委监督部中层副职</v>
      </c>
      <c r="E61" s="3" t="str">
        <f>IF(D61="","",IF(COUNTIF($D$3:$D61,$D61)=1,D61&amp;"1",IF(COUNTIF($D$3:$D61,$D61)=2,D61&amp;"2",IF(COUNTIF($D$3:$D61,$D61)=3,D61&amp;"3",IF(COUNTIF($D$3:$D61,$D61)=4,D61&amp;"4",IF(COUNTIF($D$3:$D61,$D61)=5,D61&amp;"5",IF(COUNTIF($D$3:$D61,$D61)=6,D61&amp;"6",IF(COUNTIF($D$3:$D61,$D61)=7,D61&amp;"7",IF(COUNTIF($D$3:$D61,$D61)=8,D61&amp;"8",D61)))))))))</f>
        <v>纪委监督部中层副职1</v>
      </c>
      <c r="F61" s="3">
        <v>5.6</v>
      </c>
      <c r="G61" s="3">
        <v>5.4</v>
      </c>
      <c r="H61" s="3">
        <v>7.3</v>
      </c>
      <c r="I61" s="3">
        <v>6.3</v>
      </c>
      <c r="J61" s="3">
        <v>4.5999999999999996</v>
      </c>
    </row>
    <row r="62" spans="1:10" x14ac:dyDescent="0.3">
      <c r="A62" s="3" t="s">
        <v>101</v>
      </c>
      <c r="B62" s="3" t="str">
        <f>IFERROR(VLOOKUP($A62,'1-1 基本信息'!$A:$K,11,0),"")</f>
        <v/>
      </c>
      <c r="C62" s="3" t="str">
        <f>IFERROR(VLOOKUP($A62,'1-1 基本信息'!$A:$K,8,0),"")</f>
        <v/>
      </c>
      <c r="D62" s="3" t="str">
        <f t="shared" si="0"/>
        <v/>
      </c>
      <c r="E62" s="3" t="str">
        <f>IF(D62="","",IF(COUNTIF($D$3:$D62,$D62)=1,D62&amp;"1",IF(COUNTIF($D$3:$D62,$D62)=2,D62&amp;"2",IF(COUNTIF($D$3:$D62,$D62)=3,D62&amp;"3",IF(COUNTIF($D$3:$D62,$D62)=4,D62&amp;"4",IF(COUNTIF($D$3:$D62,$D62)=5,D62&amp;"5",IF(COUNTIF($D$3:$D62,$D62)=6,D62&amp;"6",IF(COUNTIF($D$3:$D62,$D62)=7,D62&amp;"7",IF(COUNTIF($D$3:$D62,$D62)=8,D62&amp;"8",D62)))))))))</f>
        <v/>
      </c>
      <c r="F62" s="3">
        <v>6.2</v>
      </c>
      <c r="G62" s="3">
        <v>3</v>
      </c>
      <c r="H62" s="3">
        <v>4.5999999999999996</v>
      </c>
      <c r="I62" s="3">
        <v>4.5</v>
      </c>
      <c r="J62" s="3">
        <v>6.5</v>
      </c>
    </row>
    <row r="63" spans="1:10" x14ac:dyDescent="0.3">
      <c r="A63" s="3" t="s">
        <v>102</v>
      </c>
      <c r="B63" s="3" t="str">
        <f>IFERROR(VLOOKUP($A63,'1-1 基本信息'!$A:$K,11,0),"")</f>
        <v/>
      </c>
      <c r="C63" s="3" t="str">
        <f>IFERROR(VLOOKUP($A63,'1-1 基本信息'!$A:$K,8,0),"")</f>
        <v/>
      </c>
      <c r="D63" s="3" t="str">
        <f t="shared" si="0"/>
        <v/>
      </c>
      <c r="E63" s="3" t="str">
        <f>IF(D63="","",IF(COUNTIF($D$3:$D63,$D63)=1,D63&amp;"1",IF(COUNTIF($D$3:$D63,$D63)=2,D63&amp;"2",IF(COUNTIF($D$3:$D63,$D63)=3,D63&amp;"3",IF(COUNTIF($D$3:$D63,$D63)=4,D63&amp;"4",IF(COUNTIF($D$3:$D63,$D63)=5,D63&amp;"5",IF(COUNTIF($D$3:$D63,$D63)=6,D63&amp;"6",IF(COUNTIF($D$3:$D63,$D63)=7,D63&amp;"7",IF(COUNTIF($D$3:$D63,$D63)=8,D63&amp;"8",D63)))))))))</f>
        <v/>
      </c>
      <c r="F63" s="3">
        <v>2</v>
      </c>
      <c r="G63" s="3">
        <v>2.4</v>
      </c>
      <c r="H63" s="3">
        <v>4.0999999999999996</v>
      </c>
      <c r="I63" s="3">
        <v>4.5</v>
      </c>
      <c r="J63" s="3">
        <v>7.7</v>
      </c>
    </row>
    <row r="64" spans="1:10" x14ac:dyDescent="0.3">
      <c r="A64" s="3" t="s">
        <v>103</v>
      </c>
      <c r="B64" s="3" t="str">
        <f>IFERROR(VLOOKUP($A64,'1-1 基本信息'!$A:$K,11,0),"")</f>
        <v>安全环保部</v>
      </c>
      <c r="C64" s="3" t="str">
        <f>IFERROR(VLOOKUP($A64,'1-1 基本信息'!$A:$K,8,0),"")</f>
        <v>中层正职</v>
      </c>
      <c r="D64" s="3" t="str">
        <f t="shared" si="0"/>
        <v>安全环保部中层正职</v>
      </c>
      <c r="E64" s="3" t="str">
        <f>IF(D64="","",IF(COUNTIF($D$3:$D64,$D64)=1,D64&amp;"1",IF(COUNTIF($D$3:$D64,$D64)=2,D64&amp;"2",IF(COUNTIF($D$3:$D64,$D64)=3,D64&amp;"3",IF(COUNTIF($D$3:$D64,$D64)=4,D64&amp;"4",IF(COUNTIF($D$3:$D64,$D64)=5,D64&amp;"5",IF(COUNTIF($D$3:$D64,$D64)=6,D64&amp;"6",IF(COUNTIF($D$3:$D64,$D64)=7,D64&amp;"7",IF(COUNTIF($D$3:$D64,$D64)=8,D64&amp;"8",D64)))))))))</f>
        <v>安全环保部中层正职1</v>
      </c>
      <c r="F64" s="3">
        <v>5</v>
      </c>
      <c r="G64" s="3">
        <v>3</v>
      </c>
      <c r="H64" s="3">
        <v>1.5</v>
      </c>
      <c r="I64" s="3">
        <v>3.2</v>
      </c>
      <c r="J64" s="3">
        <v>4</v>
      </c>
    </row>
    <row r="65" spans="1:10" x14ac:dyDescent="0.3">
      <c r="A65" s="3" t="s">
        <v>104</v>
      </c>
      <c r="B65" s="3" t="str">
        <f>IFERROR(VLOOKUP($A65,'1-1 基本信息'!$A:$K,11,0),"")</f>
        <v>党委组织部（人力资源部）</v>
      </c>
      <c r="C65" s="3" t="str">
        <f>IFERROR(VLOOKUP($A65,'1-1 基本信息'!$A:$K,8,0),"")</f>
        <v>中层副职</v>
      </c>
      <c r="D65" s="3" t="str">
        <f t="shared" si="0"/>
        <v>党委组织部（人力资源部）中层副职</v>
      </c>
      <c r="E65" s="3" t="str">
        <f>IF(D65="","",IF(COUNTIF($D$3:$D65,$D65)=1,D65&amp;"1",IF(COUNTIF($D$3:$D65,$D65)=2,D65&amp;"2",IF(COUNTIF($D$3:$D65,$D65)=3,D65&amp;"3",IF(COUNTIF($D$3:$D65,$D65)=4,D65&amp;"4",IF(COUNTIF($D$3:$D65,$D65)=5,D65&amp;"5",IF(COUNTIF($D$3:$D65,$D65)=6,D65&amp;"6",IF(COUNTIF($D$3:$D65,$D65)=7,D65&amp;"7",IF(COUNTIF($D$3:$D65,$D65)=8,D65&amp;"8",D65)))))))))</f>
        <v>党委组织部（人力资源部）中层副职2</v>
      </c>
      <c r="F65" s="3">
        <v>7.4</v>
      </c>
      <c r="G65" s="3">
        <v>6</v>
      </c>
      <c r="H65" s="3">
        <v>5.2</v>
      </c>
      <c r="I65" s="3">
        <v>6.3</v>
      </c>
      <c r="J65" s="3">
        <v>2.8</v>
      </c>
    </row>
    <row r="66" spans="1:10" x14ac:dyDescent="0.3">
      <c r="A66" s="3" t="s">
        <v>105</v>
      </c>
      <c r="B66" s="3" t="str">
        <f>IFERROR(VLOOKUP($A66,'1-1 基本信息'!$A:$K,11,0),"")</f>
        <v>勘探开发研究院</v>
      </c>
      <c r="C66" s="3" t="str">
        <f>IFERROR(VLOOKUP($A66,'1-1 基本信息'!$A:$K,8,0),"")</f>
        <v>中层副职</v>
      </c>
      <c r="D66" s="3" t="str">
        <f t="shared" si="0"/>
        <v>勘探开发研究院中层副职</v>
      </c>
      <c r="E66" s="3" t="str">
        <f>IF(D66="","",IF(COUNTIF($D$3:$D66,$D66)=1,D66&amp;"1",IF(COUNTIF($D$3:$D66,$D66)=2,D66&amp;"2",IF(COUNTIF($D$3:$D66,$D66)=3,D66&amp;"3",IF(COUNTIF($D$3:$D66,$D66)=4,D66&amp;"4",IF(COUNTIF($D$3:$D66,$D66)=5,D66&amp;"5",IF(COUNTIF($D$3:$D66,$D66)=6,D66&amp;"6",IF(COUNTIF($D$3:$D66,$D66)=7,D66&amp;"7",IF(COUNTIF($D$3:$D66,$D66)=8,D66&amp;"8",D66)))))))))</f>
        <v>勘探开发研究院中层副职2</v>
      </c>
      <c r="F66" s="3">
        <v>6.2</v>
      </c>
      <c r="G66" s="3">
        <v>5.4</v>
      </c>
      <c r="H66" s="3">
        <v>4.5999999999999996</v>
      </c>
      <c r="I66" s="3">
        <v>7.6</v>
      </c>
      <c r="J66" s="3">
        <v>5.3</v>
      </c>
    </row>
    <row r="67" spans="1:10" x14ac:dyDescent="0.3">
      <c r="A67" s="3" t="s">
        <v>106</v>
      </c>
      <c r="B67" s="3" t="str">
        <f>IFERROR(VLOOKUP($A67,'1-1 基本信息'!$A:$K,11,0),"")</f>
        <v>采油气工程服务中心</v>
      </c>
      <c r="C67" s="3" t="str">
        <f>IFERROR(VLOOKUP($A67,'1-1 基本信息'!$A:$K,8,0),"")</f>
        <v>中层副职</v>
      </c>
      <c r="D67" s="3" t="str">
        <f t="shared" si="0"/>
        <v>采油气工程服务中心中层副职</v>
      </c>
      <c r="E67" s="3" t="str">
        <f>IF(D67="","",IF(COUNTIF($D$3:$D67,$D67)=1,D67&amp;"1",IF(COUNTIF($D$3:$D67,$D67)=2,D67&amp;"2",IF(COUNTIF($D$3:$D67,$D67)=3,D67&amp;"3",IF(COUNTIF($D$3:$D67,$D67)=4,D67&amp;"4",IF(COUNTIF($D$3:$D67,$D67)=5,D67&amp;"5",IF(COUNTIF($D$3:$D67,$D67)=6,D67&amp;"6",IF(COUNTIF($D$3:$D67,$D67)=7,D67&amp;"7",IF(COUNTIF($D$3:$D67,$D67)=8,D67&amp;"8",D67)))))))))</f>
        <v>采油气工程服务中心中层副职2</v>
      </c>
      <c r="F67" s="3">
        <v>3.2</v>
      </c>
      <c r="G67" s="3">
        <v>7.3</v>
      </c>
      <c r="H67" s="3">
        <v>2.5</v>
      </c>
      <c r="I67" s="3">
        <v>2.6</v>
      </c>
      <c r="J67" s="3">
        <v>7.7</v>
      </c>
    </row>
    <row r="68" spans="1:10" x14ac:dyDescent="0.3">
      <c r="A68" s="3" t="s">
        <v>107</v>
      </c>
      <c r="B68" s="3" t="str">
        <f>IFERROR(VLOOKUP($A68,'1-1 基本信息'!$A:$K,11,0),"")</f>
        <v>油气销售中心</v>
      </c>
      <c r="C68" s="3" t="str">
        <f>IFERROR(VLOOKUP($A68,'1-1 基本信息'!$A:$K,8,0),"")</f>
        <v>中层正职</v>
      </c>
      <c r="D68" s="3" t="str">
        <f t="shared" ref="D68:D131" si="1">B68&amp;C68</f>
        <v>油气销售中心中层正职</v>
      </c>
      <c r="E68" s="3" t="str">
        <f>IF(D68="","",IF(COUNTIF($D$3:$D68,$D68)=1,D68&amp;"1",IF(COUNTIF($D$3:$D68,$D68)=2,D68&amp;"2",IF(COUNTIF($D$3:$D68,$D68)=3,D68&amp;"3",IF(COUNTIF($D$3:$D68,$D68)=4,D68&amp;"4",IF(COUNTIF($D$3:$D68,$D68)=5,D68&amp;"5",IF(COUNTIF($D$3:$D68,$D68)=6,D68&amp;"6",IF(COUNTIF($D$3:$D68,$D68)=7,D68&amp;"7",IF(COUNTIF($D$3:$D68,$D68)=8,D68&amp;"8",D68)))))))))</f>
        <v>油气销售中心中层正职1</v>
      </c>
      <c r="F68" s="3">
        <v>6.2</v>
      </c>
      <c r="G68" s="3">
        <v>6</v>
      </c>
      <c r="H68" s="3">
        <v>7.9</v>
      </c>
      <c r="I68" s="3">
        <v>5.0999999999999996</v>
      </c>
      <c r="J68" s="3">
        <v>6.5</v>
      </c>
    </row>
    <row r="69" spans="1:10" x14ac:dyDescent="0.3">
      <c r="A69" s="3" t="s">
        <v>108</v>
      </c>
      <c r="B69" s="3" t="str">
        <f>IFERROR(VLOOKUP($A69,'1-1 基本信息'!$A:$K,11,0),"")</f>
        <v>党委宣传部</v>
      </c>
      <c r="C69" s="3" t="str">
        <f>IFERROR(VLOOKUP($A69,'1-1 基本信息'!$A:$K,8,0),"")</f>
        <v>中层正职</v>
      </c>
      <c r="D69" s="3" t="str">
        <f t="shared" si="1"/>
        <v>党委宣传部中层正职</v>
      </c>
      <c r="E69" s="3" t="str">
        <f>IF(D69="","",IF(COUNTIF($D$3:$D69,$D69)=1,D69&amp;"1",IF(COUNTIF($D$3:$D69,$D69)=2,D69&amp;"2",IF(COUNTIF($D$3:$D69,$D69)=3,D69&amp;"3",IF(COUNTIF($D$3:$D69,$D69)=4,D69&amp;"4",IF(COUNTIF($D$3:$D69,$D69)=5,D69&amp;"5",IF(COUNTIF($D$3:$D69,$D69)=6,D69&amp;"6",IF(COUNTIF($D$3:$D69,$D69)=7,D69&amp;"7",IF(COUNTIF($D$3:$D69,$D69)=8,D69&amp;"8",D69)))))))))</f>
        <v>党委宣传部中层正职1</v>
      </c>
      <c r="F69" s="3">
        <v>7.4</v>
      </c>
      <c r="G69" s="3">
        <v>5.4</v>
      </c>
      <c r="H69" s="3">
        <v>6.8</v>
      </c>
      <c r="I69" s="3">
        <v>9.4</v>
      </c>
      <c r="J69" s="3">
        <v>7.7</v>
      </c>
    </row>
    <row r="70" spans="1:10" x14ac:dyDescent="0.3">
      <c r="A70" s="3" t="s">
        <v>109</v>
      </c>
      <c r="B70" s="3" t="str">
        <f>IFERROR(VLOOKUP($A70,'1-1 基本信息'!$A:$K,11,0),"")</f>
        <v>党委组织部（人力资源部）</v>
      </c>
      <c r="C70" s="3" t="str">
        <f>IFERROR(VLOOKUP($A70,'1-1 基本信息'!$A:$K,8,0),"")</f>
        <v>中层正职</v>
      </c>
      <c r="D70" s="3" t="str">
        <f t="shared" si="1"/>
        <v>党委组织部（人力资源部）中层正职</v>
      </c>
      <c r="E70" s="3" t="str">
        <f>IF(D70="","",IF(COUNTIF($D$3:$D70,$D70)=1,D70&amp;"1",IF(COUNTIF($D$3:$D70,$D70)=2,D70&amp;"2",IF(COUNTIF($D$3:$D70,$D70)=3,D70&amp;"3",IF(COUNTIF($D$3:$D70,$D70)=4,D70&amp;"4",IF(COUNTIF($D$3:$D70,$D70)=5,D70&amp;"5",IF(COUNTIF($D$3:$D70,$D70)=6,D70&amp;"6",IF(COUNTIF($D$3:$D70,$D70)=7,D70&amp;"7",IF(COUNTIF($D$3:$D70,$D70)=8,D70&amp;"8",D70)))))))))</f>
        <v>党委组织部（人力资源部）中层正职1</v>
      </c>
      <c r="F70" s="3">
        <v>9.1999999999999993</v>
      </c>
      <c r="G70" s="3">
        <v>8.5</v>
      </c>
      <c r="H70" s="3">
        <v>3.6</v>
      </c>
      <c r="I70" s="3">
        <v>8.8000000000000007</v>
      </c>
      <c r="J70" s="3">
        <v>6.5</v>
      </c>
    </row>
    <row r="71" spans="1:10" x14ac:dyDescent="0.3">
      <c r="A71" s="3" t="s">
        <v>110</v>
      </c>
      <c r="B71" s="3" t="str">
        <f>IFERROR(VLOOKUP($A71,'1-1 基本信息'!$A:$K,11,0),"")</f>
        <v>石油工程技术研究院</v>
      </c>
      <c r="C71" s="3" t="str">
        <f>IFERROR(VLOOKUP($A71,'1-1 基本信息'!$A:$K,8,0),"")</f>
        <v>中层副职</v>
      </c>
      <c r="D71" s="3" t="str">
        <f t="shared" si="1"/>
        <v>石油工程技术研究院中层副职</v>
      </c>
      <c r="E71" s="3" t="str">
        <f>IF(D71="","",IF(COUNTIF($D$3:$D71,$D71)=1,D71&amp;"1",IF(COUNTIF($D$3:$D71,$D71)=2,D71&amp;"2",IF(COUNTIF($D$3:$D71,$D71)=3,D71&amp;"3",IF(COUNTIF($D$3:$D71,$D71)=4,D71&amp;"4",IF(COUNTIF($D$3:$D71,$D71)=5,D71&amp;"5",IF(COUNTIF($D$3:$D71,$D71)=6,D71&amp;"6",IF(COUNTIF($D$3:$D71,$D71)=7,D71&amp;"7",IF(COUNTIF($D$3:$D71,$D71)=8,D71&amp;"8",D71)))))))))</f>
        <v>石油工程技术研究院中层副职1</v>
      </c>
      <c r="F71" s="3">
        <v>6.8</v>
      </c>
      <c r="G71" s="3">
        <v>4.8</v>
      </c>
      <c r="H71" s="3">
        <v>5.7</v>
      </c>
      <c r="I71" s="3">
        <v>6.3</v>
      </c>
      <c r="J71" s="3">
        <v>5.9</v>
      </c>
    </row>
    <row r="72" spans="1:10" x14ac:dyDescent="0.3">
      <c r="A72" s="3" t="s">
        <v>111</v>
      </c>
      <c r="B72" s="3" t="str">
        <f>IFERROR(VLOOKUP($A72,'1-1 基本信息'!$A:$K,11,0),"")</f>
        <v>石油工程监督中心</v>
      </c>
      <c r="C72" s="3" t="str">
        <f>IFERROR(VLOOKUP($A72,'1-1 基本信息'!$A:$K,8,0),"")</f>
        <v>中层副职</v>
      </c>
      <c r="D72" s="3" t="str">
        <f t="shared" si="1"/>
        <v>石油工程监督中心中层副职</v>
      </c>
      <c r="E72" s="3" t="str">
        <f>IF(D72="","",IF(COUNTIF($D$3:$D72,$D72)=1,D72&amp;"1",IF(COUNTIF($D$3:$D72,$D72)=2,D72&amp;"2",IF(COUNTIF($D$3:$D72,$D72)=3,D72&amp;"3",IF(COUNTIF($D$3:$D72,$D72)=4,D72&amp;"4",IF(COUNTIF($D$3:$D72,$D72)=5,D72&amp;"5",IF(COUNTIF($D$3:$D72,$D72)=6,D72&amp;"6",IF(COUNTIF($D$3:$D72,$D72)=7,D72&amp;"7",IF(COUNTIF($D$3:$D72,$D72)=8,D72&amp;"8",D72)))))))))</f>
        <v>石油工程监督中心中层副职1</v>
      </c>
      <c r="F72" s="3">
        <v>6.8</v>
      </c>
      <c r="G72" s="3">
        <v>7.9</v>
      </c>
      <c r="H72" s="3">
        <v>6.8</v>
      </c>
      <c r="I72" s="3">
        <v>6.3</v>
      </c>
      <c r="J72" s="3">
        <v>5.9</v>
      </c>
    </row>
    <row r="73" spans="1:10" x14ac:dyDescent="0.3">
      <c r="A73" s="3" t="s">
        <v>112</v>
      </c>
      <c r="B73" s="3" t="str">
        <f>IFERROR(VLOOKUP($A73,'1-1 基本信息'!$A:$K,11,0),"")</f>
        <v>华北油气分公司</v>
      </c>
      <c r="C73" s="3" t="str">
        <f>IFERROR(VLOOKUP($A73,'1-1 基本信息'!$A:$K,8,0),"")</f>
        <v>中层正职</v>
      </c>
      <c r="D73" s="3" t="str">
        <f t="shared" si="1"/>
        <v>华北油气分公司中层正职</v>
      </c>
      <c r="E73" s="3" t="str">
        <f>IF(D73="","",IF(COUNTIF($D$3:$D73,$D73)=1,D73&amp;"1",IF(COUNTIF($D$3:$D73,$D73)=2,D73&amp;"2",IF(COUNTIF($D$3:$D73,$D73)=3,D73&amp;"3",IF(COUNTIF($D$3:$D73,$D73)=4,D73&amp;"4",IF(COUNTIF($D$3:$D73,$D73)=5,D73&amp;"5",IF(COUNTIF($D$3:$D73,$D73)=6,D73&amp;"6",IF(COUNTIF($D$3:$D73,$D73)=7,D73&amp;"7",IF(COUNTIF($D$3:$D73,$D73)=8,D73&amp;"8",D73)))))))))</f>
        <v>华北油气分公司中层正职1</v>
      </c>
      <c r="F73" s="3">
        <v>6.2</v>
      </c>
      <c r="G73" s="3">
        <v>6</v>
      </c>
      <c r="H73" s="3">
        <v>5.7</v>
      </c>
      <c r="I73" s="3">
        <v>5.7</v>
      </c>
      <c r="J73" s="3">
        <v>2.8</v>
      </c>
    </row>
    <row r="74" spans="1:10" x14ac:dyDescent="0.3">
      <c r="A74" s="3" t="s">
        <v>113</v>
      </c>
      <c r="B74" s="3" t="str">
        <f>IFERROR(VLOOKUP($A74,'1-1 基本信息'!$A:$K,11,0),"")</f>
        <v/>
      </c>
      <c r="C74" s="3" t="str">
        <f>IFERROR(VLOOKUP($A74,'1-1 基本信息'!$A:$K,8,0),"")</f>
        <v/>
      </c>
      <c r="D74" s="3" t="str">
        <f t="shared" si="1"/>
        <v/>
      </c>
      <c r="E74" s="3" t="str">
        <f>IF(D74="","",IF(COUNTIF($D$3:$D74,$D74)=1,D74&amp;"1",IF(COUNTIF($D$3:$D74,$D74)=2,D74&amp;"2",IF(COUNTIF($D$3:$D74,$D74)=3,D74&amp;"3",IF(COUNTIF($D$3:$D74,$D74)=4,D74&amp;"4",IF(COUNTIF($D$3:$D74,$D74)=5,D74&amp;"5",IF(COUNTIF($D$3:$D74,$D74)=6,D74&amp;"6",IF(COUNTIF($D$3:$D74,$D74)=7,D74&amp;"7",IF(COUNTIF($D$3:$D74,$D74)=8,D74&amp;"8",D74)))))))))</f>
        <v/>
      </c>
      <c r="F74" s="3">
        <v>8</v>
      </c>
      <c r="G74" s="3">
        <v>4.2</v>
      </c>
      <c r="H74" s="3">
        <v>7.3</v>
      </c>
      <c r="I74" s="3">
        <v>2.6</v>
      </c>
      <c r="J74" s="3">
        <v>4.5999999999999996</v>
      </c>
    </row>
    <row r="75" spans="1:10" x14ac:dyDescent="0.3">
      <c r="A75" s="3" t="s">
        <v>114</v>
      </c>
      <c r="B75" s="3" t="str">
        <f>IFERROR(VLOOKUP($A75,'1-1 基本信息'!$A:$K,11,0),"")</f>
        <v>采气二厂</v>
      </c>
      <c r="C75" s="3" t="str">
        <f>IFERROR(VLOOKUP($A75,'1-1 基本信息'!$A:$K,8,0),"")</f>
        <v>中层正职</v>
      </c>
      <c r="D75" s="3" t="str">
        <f t="shared" si="1"/>
        <v>采气二厂中层正职</v>
      </c>
      <c r="E75" s="3" t="str">
        <f>IF(D75="","",IF(COUNTIF($D$3:$D75,$D75)=1,D75&amp;"1",IF(COUNTIF($D$3:$D75,$D75)=2,D75&amp;"2",IF(COUNTIF($D$3:$D75,$D75)=3,D75&amp;"3",IF(COUNTIF($D$3:$D75,$D75)=4,D75&amp;"4",IF(COUNTIF($D$3:$D75,$D75)=5,D75&amp;"5",IF(COUNTIF($D$3:$D75,$D75)=6,D75&amp;"6",IF(COUNTIF($D$3:$D75,$D75)=7,D75&amp;"7",IF(COUNTIF($D$3:$D75,$D75)=8,D75&amp;"8",D75)))))))))</f>
        <v>采气二厂中层正职1</v>
      </c>
      <c r="F75" s="3">
        <v>5</v>
      </c>
      <c r="G75" s="3">
        <v>6.7</v>
      </c>
      <c r="H75" s="3">
        <v>2</v>
      </c>
      <c r="I75" s="3">
        <v>4.5</v>
      </c>
      <c r="J75" s="3">
        <v>4.5999999999999996</v>
      </c>
    </row>
    <row r="76" spans="1:10" x14ac:dyDescent="0.3">
      <c r="A76" s="3" t="s">
        <v>115</v>
      </c>
      <c r="B76" s="3" t="str">
        <f>IFERROR(VLOOKUP($A76,'1-1 基本信息'!$A:$K,11,0),"")</f>
        <v>纪委监督部</v>
      </c>
      <c r="C76" s="3" t="str">
        <f>IFERROR(VLOOKUP($A76,'1-1 基本信息'!$A:$K,8,0),"")</f>
        <v>中层正职</v>
      </c>
      <c r="D76" s="3" t="str">
        <f t="shared" si="1"/>
        <v>纪委监督部中层正职</v>
      </c>
      <c r="E76" s="3" t="str">
        <f>IF(D76="","",IF(COUNTIF($D$3:$D76,$D76)=1,D76&amp;"1",IF(COUNTIF($D$3:$D76,$D76)=2,D76&amp;"2",IF(COUNTIF($D$3:$D76,$D76)=3,D76&amp;"3",IF(COUNTIF($D$3:$D76,$D76)=4,D76&amp;"4",IF(COUNTIF($D$3:$D76,$D76)=5,D76&amp;"5",IF(COUNTIF($D$3:$D76,$D76)=6,D76&amp;"6",IF(COUNTIF($D$3:$D76,$D76)=7,D76&amp;"7",IF(COUNTIF($D$3:$D76,$D76)=8,D76&amp;"8",D76)))))))))</f>
        <v>纪委监督部中层正职1</v>
      </c>
      <c r="F76" s="3">
        <v>6.8</v>
      </c>
      <c r="G76" s="3">
        <v>5.4</v>
      </c>
      <c r="H76" s="3">
        <v>4.0999999999999996</v>
      </c>
      <c r="I76" s="3">
        <v>4.5</v>
      </c>
      <c r="J76" s="3">
        <v>6.5</v>
      </c>
    </row>
    <row r="77" spans="1:10" x14ac:dyDescent="0.3">
      <c r="A77" s="3" t="s">
        <v>116</v>
      </c>
      <c r="B77" s="3" t="str">
        <f>IFERROR(VLOOKUP($A77,'1-1 基本信息'!$A:$K,11,0),"")</f>
        <v>企管与法律部</v>
      </c>
      <c r="C77" s="3" t="str">
        <f>IFERROR(VLOOKUP($A77,'1-1 基本信息'!$A:$K,8,0),"")</f>
        <v>中层副职</v>
      </c>
      <c r="D77" s="3" t="str">
        <f t="shared" si="1"/>
        <v>企管与法律部中层副职</v>
      </c>
      <c r="E77" s="3" t="str">
        <f>IF(D77="","",IF(COUNTIF($D$3:$D77,$D77)=1,D77&amp;"1",IF(COUNTIF($D$3:$D77,$D77)=2,D77&amp;"2",IF(COUNTIF($D$3:$D77,$D77)=3,D77&amp;"3",IF(COUNTIF($D$3:$D77,$D77)=4,D77&amp;"4",IF(COUNTIF($D$3:$D77,$D77)=5,D77&amp;"5",IF(COUNTIF($D$3:$D77,$D77)=6,D77&amp;"6",IF(COUNTIF($D$3:$D77,$D77)=7,D77&amp;"7",IF(COUNTIF($D$3:$D77,$D77)=8,D77&amp;"8",D77)))))))))</f>
        <v>企管与法律部中层副职1</v>
      </c>
      <c r="F77" s="3">
        <v>5</v>
      </c>
      <c r="G77" s="3">
        <v>3.6</v>
      </c>
      <c r="H77" s="3">
        <v>2</v>
      </c>
      <c r="I77" s="3">
        <v>5.0999999999999996</v>
      </c>
      <c r="J77" s="3">
        <v>2.2000000000000002</v>
      </c>
    </row>
    <row r="78" spans="1:10" x14ac:dyDescent="0.3">
      <c r="A78" s="3" t="s">
        <v>117</v>
      </c>
      <c r="B78" s="3" t="str">
        <f>IFERROR(VLOOKUP($A78,'1-1 基本信息'!$A:$K,11,0),"")</f>
        <v>油气开发管理部</v>
      </c>
      <c r="C78" s="3" t="str">
        <f>IFERROR(VLOOKUP($A78,'1-1 基本信息'!$A:$K,8,0),"")</f>
        <v>中层副职</v>
      </c>
      <c r="D78" s="3" t="str">
        <f t="shared" si="1"/>
        <v>油气开发管理部中层副职</v>
      </c>
      <c r="E78" s="3" t="str">
        <f>IF(D78="","",IF(COUNTIF($D$3:$D78,$D78)=1,D78&amp;"1",IF(COUNTIF($D$3:$D78,$D78)=2,D78&amp;"2",IF(COUNTIF($D$3:$D78,$D78)=3,D78&amp;"3",IF(COUNTIF($D$3:$D78,$D78)=4,D78&amp;"4",IF(COUNTIF($D$3:$D78,$D78)=5,D78&amp;"5",IF(COUNTIF($D$3:$D78,$D78)=6,D78&amp;"6",IF(COUNTIF($D$3:$D78,$D78)=7,D78&amp;"7",IF(COUNTIF($D$3:$D78,$D78)=8,D78&amp;"8",D78)))))))))</f>
        <v>油气开发管理部中层副职1</v>
      </c>
      <c r="F78" s="3">
        <v>3.8</v>
      </c>
      <c r="G78" s="3">
        <v>7.9</v>
      </c>
      <c r="H78" s="3">
        <v>4.5999999999999996</v>
      </c>
      <c r="I78" s="3">
        <v>4.5</v>
      </c>
      <c r="J78" s="3">
        <v>4.5999999999999996</v>
      </c>
    </row>
    <row r="79" spans="1:10" x14ac:dyDescent="0.3">
      <c r="A79" s="3" t="s">
        <v>118</v>
      </c>
      <c r="B79" s="3" t="str">
        <f>IFERROR(VLOOKUP($A79,'1-1 基本信息'!$A:$K,11,0),"")</f>
        <v>工程技术管理部</v>
      </c>
      <c r="C79" s="3" t="str">
        <f>IFERROR(VLOOKUP($A79,'1-1 基本信息'!$A:$K,8,0),"")</f>
        <v>中层正职</v>
      </c>
      <c r="D79" s="3" t="str">
        <f t="shared" si="1"/>
        <v>工程技术管理部中层正职</v>
      </c>
      <c r="E79" s="3" t="str">
        <f>IF(D79="","",IF(COUNTIF($D$3:$D79,$D79)=1,D79&amp;"1",IF(COUNTIF($D$3:$D79,$D79)=2,D79&amp;"2",IF(COUNTIF($D$3:$D79,$D79)=3,D79&amp;"3",IF(COUNTIF($D$3:$D79,$D79)=4,D79&amp;"4",IF(COUNTIF($D$3:$D79,$D79)=5,D79&amp;"5",IF(COUNTIF($D$3:$D79,$D79)=6,D79&amp;"6",IF(COUNTIF($D$3:$D79,$D79)=7,D79&amp;"7",IF(COUNTIF($D$3:$D79,$D79)=8,D79&amp;"8",D79)))))))))</f>
        <v>工程技术管理部中层正职1</v>
      </c>
      <c r="F79" s="3">
        <v>3.2</v>
      </c>
      <c r="G79" s="3">
        <v>4.8</v>
      </c>
      <c r="H79" s="3">
        <v>8.9</v>
      </c>
      <c r="I79" s="3">
        <v>2.6</v>
      </c>
      <c r="J79" s="3">
        <v>8.3000000000000007</v>
      </c>
    </row>
    <row r="80" spans="1:10" x14ac:dyDescent="0.3">
      <c r="A80" s="3" t="s">
        <v>119</v>
      </c>
      <c r="B80" s="3" t="str">
        <f>IFERROR(VLOOKUP($A80,'1-1 基本信息'!$A:$K,11,0),"")</f>
        <v>采油一厂</v>
      </c>
      <c r="C80" s="3" t="str">
        <f>IFERROR(VLOOKUP($A80,'1-1 基本信息'!$A:$K,8,0),"")</f>
        <v>中层副职</v>
      </c>
      <c r="D80" s="3" t="str">
        <f t="shared" si="1"/>
        <v>采油一厂中层副职</v>
      </c>
      <c r="E80" s="3" t="str">
        <f>IF(D80="","",IF(COUNTIF($D$3:$D80,$D80)=1,D80&amp;"1",IF(COUNTIF($D$3:$D80,$D80)=2,D80&amp;"2",IF(COUNTIF($D$3:$D80,$D80)=3,D80&amp;"3",IF(COUNTIF($D$3:$D80,$D80)=4,D80&amp;"4",IF(COUNTIF($D$3:$D80,$D80)=5,D80&amp;"5",IF(COUNTIF($D$3:$D80,$D80)=6,D80&amp;"6",IF(COUNTIF($D$3:$D80,$D80)=7,D80&amp;"7",IF(COUNTIF($D$3:$D80,$D80)=8,D80&amp;"8",D80)))))))))</f>
        <v>采油一厂中层副职1</v>
      </c>
      <c r="F80" s="3">
        <v>9.8000000000000007</v>
      </c>
      <c r="G80" s="3">
        <v>6</v>
      </c>
      <c r="H80" s="3">
        <v>5.7</v>
      </c>
      <c r="I80" s="3">
        <v>9.4</v>
      </c>
      <c r="J80" s="3">
        <v>7.1</v>
      </c>
    </row>
    <row r="81" spans="1:10" x14ac:dyDescent="0.3">
      <c r="A81" s="3" t="s">
        <v>120</v>
      </c>
      <c r="B81" s="3" t="str">
        <f>IFERROR(VLOOKUP($A81,'1-1 基本信息'!$A:$K,11,0),"")</f>
        <v/>
      </c>
      <c r="C81" s="3" t="str">
        <f>IFERROR(VLOOKUP($A81,'1-1 基本信息'!$A:$K,8,0),"")</f>
        <v/>
      </c>
      <c r="D81" s="3" t="str">
        <f t="shared" si="1"/>
        <v/>
      </c>
      <c r="E81" s="3" t="str">
        <f>IF(D81="","",IF(COUNTIF($D$3:$D81,$D81)=1,D81&amp;"1",IF(COUNTIF($D$3:$D81,$D81)=2,D81&amp;"2",IF(COUNTIF($D$3:$D81,$D81)=3,D81&amp;"3",IF(COUNTIF($D$3:$D81,$D81)=4,D81&amp;"4",IF(COUNTIF($D$3:$D81,$D81)=5,D81&amp;"5",IF(COUNTIF($D$3:$D81,$D81)=6,D81&amp;"6",IF(COUNTIF($D$3:$D81,$D81)=7,D81&amp;"7",IF(COUNTIF($D$3:$D81,$D81)=8,D81&amp;"8",D81)))))))))</f>
        <v/>
      </c>
      <c r="F81" s="3">
        <v>2</v>
      </c>
      <c r="G81" s="3">
        <v>3</v>
      </c>
      <c r="H81" s="3">
        <v>6.8</v>
      </c>
      <c r="I81" s="3">
        <v>3.2</v>
      </c>
      <c r="J81" s="3">
        <v>2.8</v>
      </c>
    </row>
    <row r="82" spans="1:10" x14ac:dyDescent="0.3">
      <c r="A82" s="3" t="s">
        <v>121</v>
      </c>
      <c r="B82" s="3" t="str">
        <f>IFERROR(VLOOKUP($A82,'1-1 基本信息'!$A:$K,11,0),"")</f>
        <v>采油气工程服务中心</v>
      </c>
      <c r="C82" s="3" t="str">
        <f>IFERROR(VLOOKUP($A82,'1-1 基本信息'!$A:$K,8,0),"")</f>
        <v>中层副职</v>
      </c>
      <c r="D82" s="3" t="str">
        <f t="shared" si="1"/>
        <v>采油气工程服务中心中层副职</v>
      </c>
      <c r="E82" s="3" t="str">
        <f>IF(D82="","",IF(COUNTIF($D$3:$D82,$D82)=1,D82&amp;"1",IF(COUNTIF($D$3:$D82,$D82)=2,D82&amp;"2",IF(COUNTIF($D$3:$D82,$D82)=3,D82&amp;"3",IF(COUNTIF($D$3:$D82,$D82)=4,D82&amp;"4",IF(COUNTIF($D$3:$D82,$D82)=5,D82&amp;"5",IF(COUNTIF($D$3:$D82,$D82)=6,D82&amp;"6",IF(COUNTIF($D$3:$D82,$D82)=7,D82&amp;"7",IF(COUNTIF($D$3:$D82,$D82)=8,D82&amp;"8",D82)))))))))</f>
        <v>采油气工程服务中心中层副职3</v>
      </c>
      <c r="F82" s="3">
        <v>3.2</v>
      </c>
      <c r="G82" s="3">
        <v>3.6</v>
      </c>
      <c r="H82" s="3">
        <v>3.6</v>
      </c>
      <c r="I82" s="3">
        <v>2</v>
      </c>
      <c r="J82" s="3">
        <v>2.2000000000000002</v>
      </c>
    </row>
    <row r="83" spans="1:10" x14ac:dyDescent="0.3">
      <c r="A83" s="3" t="s">
        <v>122</v>
      </c>
      <c r="B83" s="3" t="str">
        <f>IFERROR(VLOOKUP($A83,'1-1 基本信息'!$A:$K,11,0),"")</f>
        <v/>
      </c>
      <c r="C83" s="3" t="str">
        <f>IFERROR(VLOOKUP($A83,'1-1 基本信息'!$A:$K,8,0),"")</f>
        <v/>
      </c>
      <c r="D83" s="3" t="str">
        <f t="shared" si="1"/>
        <v/>
      </c>
      <c r="E83" s="3" t="str">
        <f>IF(D83="","",IF(COUNTIF($D$3:$D83,$D83)=1,D83&amp;"1",IF(COUNTIF($D$3:$D83,$D83)=2,D83&amp;"2",IF(COUNTIF($D$3:$D83,$D83)=3,D83&amp;"3",IF(COUNTIF($D$3:$D83,$D83)=4,D83&amp;"4",IF(COUNTIF($D$3:$D83,$D83)=5,D83&amp;"5",IF(COUNTIF($D$3:$D83,$D83)=6,D83&amp;"6",IF(COUNTIF($D$3:$D83,$D83)=7,D83&amp;"7",IF(COUNTIF($D$3:$D83,$D83)=8,D83&amp;"8",D83)))))))))</f>
        <v/>
      </c>
      <c r="F83" s="3">
        <v>6.8</v>
      </c>
      <c r="G83" s="3">
        <v>7.9</v>
      </c>
      <c r="H83" s="3">
        <v>4.5999999999999996</v>
      </c>
      <c r="I83" s="3">
        <v>6.3</v>
      </c>
      <c r="J83" s="3">
        <v>4</v>
      </c>
    </row>
    <row r="84" spans="1:10" x14ac:dyDescent="0.3">
      <c r="A84" s="3" t="s">
        <v>123</v>
      </c>
      <c r="B84" s="3" t="str">
        <f>IFERROR(VLOOKUP($A84,'1-1 基本信息'!$A:$K,11,0),"")</f>
        <v/>
      </c>
      <c r="C84" s="3" t="str">
        <f>IFERROR(VLOOKUP($A84,'1-1 基本信息'!$A:$K,8,0),"")</f>
        <v/>
      </c>
      <c r="D84" s="3" t="str">
        <f t="shared" si="1"/>
        <v/>
      </c>
      <c r="E84" s="3" t="str">
        <f>IF(D84="","",IF(COUNTIF($D$3:$D84,$D84)=1,D84&amp;"1",IF(COUNTIF($D$3:$D84,$D84)=2,D84&amp;"2",IF(COUNTIF($D$3:$D84,$D84)=3,D84&amp;"3",IF(COUNTIF($D$3:$D84,$D84)=4,D84&amp;"4",IF(COUNTIF($D$3:$D84,$D84)=5,D84&amp;"5",IF(COUNTIF($D$3:$D84,$D84)=6,D84&amp;"6",IF(COUNTIF($D$3:$D84,$D84)=7,D84&amp;"7",IF(COUNTIF($D$3:$D84,$D84)=8,D84&amp;"8",D84)))))))))</f>
        <v/>
      </c>
      <c r="F84" s="3">
        <v>4.4000000000000004</v>
      </c>
      <c r="G84" s="3">
        <v>4.8</v>
      </c>
      <c r="H84" s="3">
        <v>2.5</v>
      </c>
      <c r="I84" s="3">
        <v>4.5</v>
      </c>
      <c r="J84" s="3">
        <v>3.4</v>
      </c>
    </row>
    <row r="85" spans="1:10" x14ac:dyDescent="0.3">
      <c r="A85" s="3" t="s">
        <v>124</v>
      </c>
      <c r="B85" s="3" t="str">
        <f>IFERROR(VLOOKUP($A85,'1-1 基本信息'!$A:$K,11,0),"")</f>
        <v>采气一厂</v>
      </c>
      <c r="C85" s="3" t="str">
        <f>IFERROR(VLOOKUP($A85,'1-1 基本信息'!$A:$K,8,0),"")</f>
        <v>中层副职</v>
      </c>
      <c r="D85" s="3" t="str">
        <f t="shared" si="1"/>
        <v>采气一厂中层副职</v>
      </c>
      <c r="E85" s="3" t="str">
        <f>IF(D85="","",IF(COUNTIF($D$3:$D85,$D85)=1,D85&amp;"1",IF(COUNTIF($D$3:$D85,$D85)=2,D85&amp;"2",IF(COUNTIF($D$3:$D85,$D85)=3,D85&amp;"3",IF(COUNTIF($D$3:$D85,$D85)=4,D85&amp;"4",IF(COUNTIF($D$3:$D85,$D85)=5,D85&amp;"5",IF(COUNTIF($D$3:$D85,$D85)=6,D85&amp;"6",IF(COUNTIF($D$3:$D85,$D85)=7,D85&amp;"7",IF(COUNTIF($D$3:$D85,$D85)=8,D85&amp;"8",D85)))))))))</f>
        <v>采气一厂中层副职5</v>
      </c>
      <c r="F85" s="3">
        <v>3.8</v>
      </c>
      <c r="G85" s="3">
        <v>7.9</v>
      </c>
      <c r="H85" s="3">
        <v>5.2</v>
      </c>
      <c r="I85" s="3">
        <v>3.8</v>
      </c>
      <c r="J85" s="3">
        <v>6.5</v>
      </c>
    </row>
    <row r="86" spans="1:10" x14ac:dyDescent="0.3">
      <c r="A86" s="3" t="s">
        <v>125</v>
      </c>
      <c r="B86" s="3" t="str">
        <f>IFERROR(VLOOKUP($A86,'1-1 基本信息'!$A:$K,11,0),"")</f>
        <v>油气勘探管理部</v>
      </c>
      <c r="C86" s="3" t="str">
        <f>IFERROR(VLOOKUP($A86,'1-1 基本信息'!$A:$K,8,0),"")</f>
        <v>中层副职</v>
      </c>
      <c r="D86" s="3" t="str">
        <f t="shared" si="1"/>
        <v>油气勘探管理部中层副职</v>
      </c>
      <c r="E86" s="3" t="str">
        <f>IF(D86="","",IF(COUNTIF($D$3:$D86,$D86)=1,D86&amp;"1",IF(COUNTIF($D$3:$D86,$D86)=2,D86&amp;"2",IF(COUNTIF($D$3:$D86,$D86)=3,D86&amp;"3",IF(COUNTIF($D$3:$D86,$D86)=4,D86&amp;"4",IF(COUNTIF($D$3:$D86,$D86)=5,D86&amp;"5",IF(COUNTIF($D$3:$D86,$D86)=6,D86&amp;"6",IF(COUNTIF($D$3:$D86,$D86)=7,D86&amp;"7",IF(COUNTIF($D$3:$D86,$D86)=8,D86&amp;"8",D86)))))))))</f>
        <v>油气勘探管理部中层副职1</v>
      </c>
      <c r="F86" s="3">
        <v>5.6</v>
      </c>
      <c r="G86" s="3">
        <v>6.7</v>
      </c>
      <c r="H86" s="3">
        <v>3.6</v>
      </c>
      <c r="I86" s="3">
        <v>6.3</v>
      </c>
      <c r="J86" s="3">
        <v>5.3</v>
      </c>
    </row>
    <row r="87" spans="1:10" x14ac:dyDescent="0.3">
      <c r="A87" s="3" t="s">
        <v>126</v>
      </c>
      <c r="B87" s="3" t="str">
        <f>IFERROR(VLOOKUP($A87,'1-1 基本信息'!$A:$K,11,0),"")</f>
        <v>财务资产部</v>
      </c>
      <c r="C87" s="3" t="str">
        <f>IFERROR(VLOOKUP($A87,'1-1 基本信息'!$A:$K,8,0),"")</f>
        <v>中层正职</v>
      </c>
      <c r="D87" s="3" t="str">
        <f t="shared" si="1"/>
        <v>财务资产部中层正职</v>
      </c>
      <c r="E87" s="3" t="str">
        <f>IF(D87="","",IF(COUNTIF($D$3:$D87,$D87)=1,D87&amp;"1",IF(COUNTIF($D$3:$D87,$D87)=2,D87&amp;"2",IF(COUNTIF($D$3:$D87,$D87)=3,D87&amp;"3",IF(COUNTIF($D$3:$D87,$D87)=4,D87&amp;"4",IF(COUNTIF($D$3:$D87,$D87)=5,D87&amp;"5",IF(COUNTIF($D$3:$D87,$D87)=6,D87&amp;"6",IF(COUNTIF($D$3:$D87,$D87)=7,D87&amp;"7",IF(COUNTIF($D$3:$D87,$D87)=8,D87&amp;"8",D87)))))))))</f>
        <v>财务资产部中层正职1</v>
      </c>
      <c r="F87" s="3">
        <v>6.2</v>
      </c>
      <c r="G87" s="3">
        <v>5.4</v>
      </c>
      <c r="H87" s="3">
        <v>5.7</v>
      </c>
      <c r="I87" s="3">
        <v>5.0999999999999996</v>
      </c>
      <c r="J87" s="3">
        <v>6.5</v>
      </c>
    </row>
    <row r="88" spans="1:10" x14ac:dyDescent="0.3">
      <c r="A88" s="3" t="s">
        <v>127</v>
      </c>
      <c r="B88" s="3" t="str">
        <f>IFERROR(VLOOKUP($A88,'1-1 基本信息'!$A:$K,11,0),"")</f>
        <v/>
      </c>
      <c r="C88" s="3" t="str">
        <f>IFERROR(VLOOKUP($A88,'1-1 基本信息'!$A:$K,8,0),"")</f>
        <v/>
      </c>
      <c r="D88" s="3" t="str">
        <f t="shared" si="1"/>
        <v/>
      </c>
      <c r="E88" s="3" t="str">
        <f>IF(D88="","",IF(COUNTIF($D$3:$D88,$D88)=1,D88&amp;"1",IF(COUNTIF($D$3:$D88,$D88)=2,D88&amp;"2",IF(COUNTIF($D$3:$D88,$D88)=3,D88&amp;"3",IF(COUNTIF($D$3:$D88,$D88)=4,D88&amp;"4",IF(COUNTIF($D$3:$D88,$D88)=5,D88&amp;"5",IF(COUNTIF($D$3:$D88,$D88)=6,D88&amp;"6",IF(COUNTIF($D$3:$D88,$D88)=7,D88&amp;"7",IF(COUNTIF($D$3:$D88,$D88)=8,D88&amp;"8",D88)))))))))</f>
        <v/>
      </c>
      <c r="F88" s="3">
        <v>5.6</v>
      </c>
      <c r="G88" s="3">
        <v>6</v>
      </c>
      <c r="H88" s="3">
        <v>4.0999999999999996</v>
      </c>
      <c r="I88" s="3">
        <v>5.7</v>
      </c>
      <c r="J88" s="3">
        <v>5.3</v>
      </c>
    </row>
    <row r="89" spans="1:10" x14ac:dyDescent="0.3">
      <c r="A89" s="3" t="s">
        <v>128</v>
      </c>
      <c r="B89" s="3" t="str">
        <f>IFERROR(VLOOKUP($A89,'1-1 基本信息'!$A:$K,11,0),"")</f>
        <v>采油一厂</v>
      </c>
      <c r="C89" s="3" t="str">
        <f>IFERROR(VLOOKUP($A89,'1-1 基本信息'!$A:$K,8,0),"")</f>
        <v>中层副职</v>
      </c>
      <c r="D89" s="3" t="str">
        <f t="shared" si="1"/>
        <v>采油一厂中层副职</v>
      </c>
      <c r="E89" s="3" t="str">
        <f>IF(D89="","",IF(COUNTIF($D$3:$D89,$D89)=1,D89&amp;"1",IF(COUNTIF($D$3:$D89,$D89)=2,D89&amp;"2",IF(COUNTIF($D$3:$D89,$D89)=3,D89&amp;"3",IF(COUNTIF($D$3:$D89,$D89)=4,D89&amp;"4",IF(COUNTIF($D$3:$D89,$D89)=5,D89&amp;"5",IF(COUNTIF($D$3:$D89,$D89)=6,D89&amp;"6",IF(COUNTIF($D$3:$D89,$D89)=7,D89&amp;"7",IF(COUNTIF($D$3:$D89,$D89)=8,D89&amp;"8",D89)))))))))</f>
        <v>采油一厂中层副职2</v>
      </c>
      <c r="F89" s="3">
        <v>7.4</v>
      </c>
      <c r="G89" s="3">
        <v>5.4</v>
      </c>
      <c r="H89" s="3">
        <v>5.2</v>
      </c>
      <c r="I89" s="3">
        <v>7.6</v>
      </c>
      <c r="J89" s="3">
        <v>2.2000000000000002</v>
      </c>
    </row>
    <row r="90" spans="1:10" x14ac:dyDescent="0.3">
      <c r="A90" s="3" t="s">
        <v>129</v>
      </c>
      <c r="B90" s="3" t="str">
        <f>IFERROR(VLOOKUP($A90,'1-1 基本信息'!$A:$K,11,0),"")</f>
        <v/>
      </c>
      <c r="C90" s="3" t="str">
        <f>IFERROR(VLOOKUP($A90,'1-1 基本信息'!$A:$K,8,0),"")</f>
        <v/>
      </c>
      <c r="D90" s="3" t="str">
        <f t="shared" si="1"/>
        <v/>
      </c>
      <c r="E90" s="3" t="str">
        <f>IF(D90="","",IF(COUNTIF($D$3:$D90,$D90)=1,D90&amp;"1",IF(COUNTIF($D$3:$D90,$D90)=2,D90&amp;"2",IF(COUNTIF($D$3:$D90,$D90)=3,D90&amp;"3",IF(COUNTIF($D$3:$D90,$D90)=4,D90&amp;"4",IF(COUNTIF($D$3:$D90,$D90)=5,D90&amp;"5",IF(COUNTIF($D$3:$D90,$D90)=6,D90&amp;"6",IF(COUNTIF($D$3:$D90,$D90)=7,D90&amp;"7",IF(COUNTIF($D$3:$D90,$D90)=8,D90&amp;"8",D90)))))))))</f>
        <v/>
      </c>
      <c r="F90" s="3">
        <v>5.6</v>
      </c>
      <c r="G90" s="3">
        <v>3.6</v>
      </c>
      <c r="H90" s="3">
        <v>4.0999999999999996</v>
      </c>
      <c r="I90" s="3">
        <v>6.3</v>
      </c>
      <c r="J90" s="3">
        <v>5.9</v>
      </c>
    </row>
    <row r="91" spans="1:10" x14ac:dyDescent="0.3">
      <c r="A91" s="3" t="s">
        <v>130</v>
      </c>
      <c r="B91" s="3" t="str">
        <f>IFERROR(VLOOKUP($A91,'1-1 基本信息'!$A:$K,11,0),"")</f>
        <v>物资供应中心</v>
      </c>
      <c r="C91" s="3" t="str">
        <f>IFERROR(VLOOKUP($A91,'1-1 基本信息'!$A:$K,8,0),"")</f>
        <v>党委书记</v>
      </c>
      <c r="D91" s="3" t="str">
        <f t="shared" si="1"/>
        <v>物资供应中心党委书记</v>
      </c>
      <c r="E91" s="3" t="str">
        <f>IF(D91="","",IF(COUNTIF($D$3:$D91,$D91)=1,D91&amp;"1",IF(COUNTIF($D$3:$D91,$D91)=2,D91&amp;"2",IF(COUNTIF($D$3:$D91,$D91)=3,D91&amp;"3",IF(COUNTIF($D$3:$D91,$D91)=4,D91&amp;"4",IF(COUNTIF($D$3:$D91,$D91)=5,D91&amp;"5",IF(COUNTIF($D$3:$D91,$D91)=6,D91&amp;"6",IF(COUNTIF($D$3:$D91,$D91)=7,D91&amp;"7",IF(COUNTIF($D$3:$D91,$D91)=8,D91&amp;"8",D91)))))))))</f>
        <v>物资供应中心党委书记1</v>
      </c>
      <c r="F91" s="3">
        <v>7.4</v>
      </c>
      <c r="G91" s="3">
        <v>4.8</v>
      </c>
      <c r="H91" s="3">
        <v>5.2</v>
      </c>
      <c r="I91" s="3">
        <v>6.9</v>
      </c>
      <c r="J91" s="3">
        <v>2.2000000000000002</v>
      </c>
    </row>
    <row r="92" spans="1:10" x14ac:dyDescent="0.3">
      <c r="A92" s="3" t="s">
        <v>131</v>
      </c>
      <c r="B92" s="3" t="str">
        <f>IFERROR(VLOOKUP($A92,'1-1 基本信息'!$A:$K,11,0),"")</f>
        <v>采油气工程服务中心</v>
      </c>
      <c r="C92" s="3" t="str">
        <f>IFERROR(VLOOKUP($A92,'1-1 基本信息'!$A:$K,8,0),"")</f>
        <v>党委书记</v>
      </c>
      <c r="D92" s="3" t="str">
        <f t="shared" si="1"/>
        <v>采油气工程服务中心党委书记</v>
      </c>
      <c r="E92" s="3" t="str">
        <f>IF(D92="","",IF(COUNTIF($D$3:$D92,$D92)=1,D92&amp;"1",IF(COUNTIF($D$3:$D92,$D92)=2,D92&amp;"2",IF(COUNTIF($D$3:$D92,$D92)=3,D92&amp;"3",IF(COUNTIF($D$3:$D92,$D92)=4,D92&amp;"4",IF(COUNTIF($D$3:$D92,$D92)=5,D92&amp;"5",IF(COUNTIF($D$3:$D92,$D92)=6,D92&amp;"6",IF(COUNTIF($D$3:$D92,$D92)=7,D92&amp;"7",IF(COUNTIF($D$3:$D92,$D92)=8,D92&amp;"8",D92)))))))))</f>
        <v>采油气工程服务中心党委书记1</v>
      </c>
      <c r="F92" s="3">
        <v>6.8</v>
      </c>
      <c r="G92" s="3">
        <v>6.7</v>
      </c>
      <c r="H92" s="3">
        <v>6.3</v>
      </c>
      <c r="I92" s="3">
        <v>5.7</v>
      </c>
      <c r="J92" s="3">
        <v>2.2000000000000002</v>
      </c>
    </row>
    <row r="93" spans="1:10" x14ac:dyDescent="0.3">
      <c r="A93" s="3" t="s">
        <v>132</v>
      </c>
      <c r="B93" s="3" t="str">
        <f>IFERROR(VLOOKUP($A93,'1-1 基本信息'!$A:$K,11,0),"")</f>
        <v>投资发展部</v>
      </c>
      <c r="C93" s="3" t="str">
        <f>IFERROR(VLOOKUP($A93,'1-1 基本信息'!$A:$K,8,0),"")</f>
        <v>中层正职</v>
      </c>
      <c r="D93" s="3" t="str">
        <f t="shared" si="1"/>
        <v>投资发展部中层正职</v>
      </c>
      <c r="E93" s="3" t="str">
        <f>IF(D93="","",IF(COUNTIF($D$3:$D93,$D93)=1,D93&amp;"1",IF(COUNTIF($D$3:$D93,$D93)=2,D93&amp;"2",IF(COUNTIF($D$3:$D93,$D93)=3,D93&amp;"3",IF(COUNTIF($D$3:$D93,$D93)=4,D93&amp;"4",IF(COUNTIF($D$3:$D93,$D93)=5,D93&amp;"5",IF(COUNTIF($D$3:$D93,$D93)=6,D93&amp;"6",IF(COUNTIF($D$3:$D93,$D93)=7,D93&amp;"7",IF(COUNTIF($D$3:$D93,$D93)=8,D93&amp;"8",D93)))))))))</f>
        <v>投资发展部中层正职1</v>
      </c>
      <c r="F93" s="3">
        <v>8.6</v>
      </c>
      <c r="G93" s="3">
        <v>4.8</v>
      </c>
      <c r="H93" s="3">
        <v>5.2</v>
      </c>
      <c r="I93" s="3">
        <v>8.8000000000000007</v>
      </c>
      <c r="J93" s="3">
        <v>4.5999999999999996</v>
      </c>
    </row>
    <row r="94" spans="1:10" x14ac:dyDescent="0.3">
      <c r="A94" s="3" t="s">
        <v>104</v>
      </c>
      <c r="B94" s="3" t="str">
        <f>IFERROR(VLOOKUP($A94,'1-1 基本信息'!$A:$K,11,0),"")</f>
        <v>党委组织部（人力资源部）</v>
      </c>
      <c r="C94" s="3" t="str">
        <f>IFERROR(VLOOKUP($A94,'1-1 基本信息'!$A:$K,8,0),"")</f>
        <v>中层副职</v>
      </c>
      <c r="D94" s="3" t="str">
        <f t="shared" si="1"/>
        <v>党委组织部（人力资源部）中层副职</v>
      </c>
      <c r="E94" s="3" t="str">
        <f>IF(D94="","",IF(COUNTIF($D$3:$D94,$D94)=1,D94&amp;"1",IF(COUNTIF($D$3:$D94,$D94)=2,D94&amp;"2",IF(COUNTIF($D$3:$D94,$D94)=3,D94&amp;"3",IF(COUNTIF($D$3:$D94,$D94)=4,D94&amp;"4",IF(COUNTIF($D$3:$D94,$D94)=5,D94&amp;"5",IF(COUNTIF($D$3:$D94,$D94)=6,D94&amp;"6",IF(COUNTIF($D$3:$D94,$D94)=7,D94&amp;"7",IF(COUNTIF($D$3:$D94,$D94)=8,D94&amp;"8",D94)))))))))</f>
        <v>党委组织部（人力资源部）中层副职3</v>
      </c>
      <c r="F94" s="3">
        <v>5</v>
      </c>
      <c r="G94" s="3">
        <v>4.2</v>
      </c>
      <c r="H94" s="3">
        <v>6.3</v>
      </c>
      <c r="I94" s="3">
        <v>7.6</v>
      </c>
      <c r="J94" s="3">
        <v>4.5999999999999996</v>
      </c>
    </row>
    <row r="95" spans="1:10" x14ac:dyDescent="0.3">
      <c r="A95" s="3" t="s">
        <v>133</v>
      </c>
      <c r="B95" s="3" t="str">
        <f>IFERROR(VLOOKUP($A95,'1-1 基本信息'!$A:$K,11,0),"")</f>
        <v>新乡社区管理服务中心</v>
      </c>
      <c r="C95" s="3" t="str">
        <f>IFERROR(VLOOKUP($A95,'1-1 基本信息'!$A:$K,8,0),"")</f>
        <v>中层副职</v>
      </c>
      <c r="D95" s="3" t="str">
        <f t="shared" si="1"/>
        <v>新乡社区管理服务中心中层副职</v>
      </c>
      <c r="E95" s="3" t="str">
        <f>IF(D95="","",IF(COUNTIF($D$3:$D95,$D95)=1,D95&amp;"1",IF(COUNTIF($D$3:$D95,$D95)=2,D95&amp;"2",IF(COUNTIF($D$3:$D95,$D95)=3,D95&amp;"3",IF(COUNTIF($D$3:$D95,$D95)=4,D95&amp;"4",IF(COUNTIF($D$3:$D95,$D95)=5,D95&amp;"5",IF(COUNTIF($D$3:$D95,$D95)=6,D95&amp;"6",IF(COUNTIF($D$3:$D95,$D95)=7,D95&amp;"7",IF(COUNTIF($D$3:$D95,$D95)=8,D95&amp;"8",D95)))))))))</f>
        <v>新乡社区管理服务中心中层副职1</v>
      </c>
      <c r="F95" s="3">
        <v>3.2</v>
      </c>
      <c r="G95" s="3">
        <v>7.3</v>
      </c>
      <c r="H95" s="3">
        <v>5.7</v>
      </c>
      <c r="I95" s="3">
        <v>2</v>
      </c>
      <c r="J95" s="3">
        <v>6.5</v>
      </c>
    </row>
    <row r="96" spans="1:10" x14ac:dyDescent="0.3">
      <c r="A96" s="3" t="s">
        <v>134</v>
      </c>
      <c r="B96" s="3" t="str">
        <f>IFERROR(VLOOKUP($A96,'1-1 基本信息'!$A:$K,11,0),"")</f>
        <v>党委办公室</v>
      </c>
      <c r="C96" s="3" t="str">
        <f>IFERROR(VLOOKUP($A96,'1-1 基本信息'!$A:$K,8,0),"")</f>
        <v>中层正职</v>
      </c>
      <c r="D96" s="3" t="str">
        <f t="shared" si="1"/>
        <v>党委办公室中层正职</v>
      </c>
      <c r="E96" s="3" t="str">
        <f>IF(D96="","",IF(COUNTIF($D$3:$D96,$D96)=1,D96&amp;"1",IF(COUNTIF($D$3:$D96,$D96)=2,D96&amp;"2",IF(COUNTIF($D$3:$D96,$D96)=3,D96&amp;"3",IF(COUNTIF($D$3:$D96,$D96)=4,D96&amp;"4",IF(COUNTIF($D$3:$D96,$D96)=5,D96&amp;"5",IF(COUNTIF($D$3:$D96,$D96)=6,D96&amp;"6",IF(COUNTIF($D$3:$D96,$D96)=7,D96&amp;"7",IF(COUNTIF($D$3:$D96,$D96)=8,D96&amp;"8",D96)))))))))</f>
        <v>党委办公室中层正职1</v>
      </c>
      <c r="F96" s="3">
        <v>1.5</v>
      </c>
      <c r="G96" s="3">
        <v>2.4</v>
      </c>
      <c r="H96" s="3">
        <v>2.5</v>
      </c>
      <c r="I96" s="3">
        <v>2</v>
      </c>
      <c r="J96" s="3">
        <v>7.7</v>
      </c>
    </row>
    <row r="97" spans="1:10" x14ac:dyDescent="0.3">
      <c r="A97" s="3" t="s">
        <v>135</v>
      </c>
      <c r="B97" s="3" t="str">
        <f>IFERROR(VLOOKUP($A97,'1-1 基本信息'!$A:$K,11,0),"")</f>
        <v/>
      </c>
      <c r="C97" s="3" t="str">
        <f>IFERROR(VLOOKUP($A97,'1-1 基本信息'!$A:$K,8,0),"")</f>
        <v/>
      </c>
      <c r="D97" s="3" t="str">
        <f t="shared" si="1"/>
        <v/>
      </c>
      <c r="E97" s="3" t="str">
        <f>IF(D97="","",IF(COUNTIF($D$3:$D97,$D97)=1,D97&amp;"1",IF(COUNTIF($D$3:$D97,$D97)=2,D97&amp;"2",IF(COUNTIF($D$3:$D97,$D97)=3,D97&amp;"3",IF(COUNTIF($D$3:$D97,$D97)=4,D97&amp;"4",IF(COUNTIF($D$3:$D97,$D97)=5,D97&amp;"5",IF(COUNTIF($D$3:$D97,$D97)=6,D97&amp;"6",IF(COUNTIF($D$3:$D97,$D97)=7,D97&amp;"7",IF(COUNTIF($D$3:$D97,$D97)=8,D97&amp;"8",D97)))))))))</f>
        <v/>
      </c>
      <c r="F97" s="3">
        <v>4.4000000000000004</v>
      </c>
      <c r="G97" s="3">
        <v>5.4</v>
      </c>
      <c r="H97" s="3">
        <v>2.5</v>
      </c>
      <c r="I97" s="3">
        <v>5.7</v>
      </c>
      <c r="J97" s="3">
        <v>4</v>
      </c>
    </row>
    <row r="98" spans="1:10" x14ac:dyDescent="0.3">
      <c r="A98" s="3" t="s">
        <v>136</v>
      </c>
      <c r="B98" s="3" t="str">
        <f>IFERROR(VLOOKUP($A98,'1-1 基本信息'!$A:$K,11,0),"")</f>
        <v/>
      </c>
      <c r="C98" s="3" t="str">
        <f>IFERROR(VLOOKUP($A98,'1-1 基本信息'!$A:$K,8,0),"")</f>
        <v/>
      </c>
      <c r="D98" s="3" t="str">
        <f t="shared" si="1"/>
        <v/>
      </c>
      <c r="E98" s="3" t="str">
        <f>IF(D98="","",IF(COUNTIF($D$3:$D98,$D98)=1,D98&amp;"1",IF(COUNTIF($D$3:$D98,$D98)=2,D98&amp;"2",IF(COUNTIF($D$3:$D98,$D98)=3,D98&amp;"3",IF(COUNTIF($D$3:$D98,$D98)=4,D98&amp;"4",IF(COUNTIF($D$3:$D98,$D98)=5,D98&amp;"5",IF(COUNTIF($D$3:$D98,$D98)=6,D98&amp;"6",IF(COUNTIF($D$3:$D98,$D98)=7,D98&amp;"7",IF(COUNTIF($D$3:$D98,$D98)=8,D98&amp;"8",D98)))))))))</f>
        <v/>
      </c>
      <c r="F98" s="3">
        <v>7.4</v>
      </c>
      <c r="G98" s="3">
        <v>5.4</v>
      </c>
      <c r="H98" s="3">
        <v>6.8</v>
      </c>
      <c r="I98" s="3">
        <v>7.6</v>
      </c>
      <c r="J98" s="3">
        <v>6.5</v>
      </c>
    </row>
    <row r="99" spans="1:10" x14ac:dyDescent="0.3">
      <c r="A99" s="3" t="s">
        <v>137</v>
      </c>
      <c r="B99" s="3" t="str">
        <f>IFERROR(VLOOKUP($A99,'1-1 基本信息'!$A:$K,11,0),"")</f>
        <v>油气销售中心</v>
      </c>
      <c r="C99" s="3" t="str">
        <f>IFERROR(VLOOKUP($A99,'1-1 基本信息'!$A:$K,8,0),"")</f>
        <v>中层副职</v>
      </c>
      <c r="D99" s="3" t="str">
        <f t="shared" si="1"/>
        <v>油气销售中心中层副职</v>
      </c>
      <c r="E99" s="3" t="str">
        <f>IF(D99="","",IF(COUNTIF($D$3:$D99,$D99)=1,D99&amp;"1",IF(COUNTIF($D$3:$D99,$D99)=2,D99&amp;"2",IF(COUNTIF($D$3:$D99,$D99)=3,D99&amp;"3",IF(COUNTIF($D$3:$D99,$D99)=4,D99&amp;"4",IF(COUNTIF($D$3:$D99,$D99)=5,D99&amp;"5",IF(COUNTIF($D$3:$D99,$D99)=6,D99&amp;"6",IF(COUNTIF($D$3:$D99,$D99)=7,D99&amp;"7",IF(COUNTIF($D$3:$D99,$D99)=8,D99&amp;"8",D99)))))))))</f>
        <v>油气销售中心中层副职2</v>
      </c>
      <c r="F99" s="3">
        <v>6.8</v>
      </c>
      <c r="G99" s="3">
        <v>6</v>
      </c>
      <c r="H99" s="3">
        <v>3</v>
      </c>
      <c r="I99" s="3">
        <v>7.6</v>
      </c>
      <c r="J99" s="3">
        <v>2.8</v>
      </c>
    </row>
    <row r="100" spans="1:10" x14ac:dyDescent="0.3">
      <c r="A100" s="3" t="s">
        <v>138</v>
      </c>
      <c r="B100" s="3" t="str">
        <f>IFERROR(VLOOKUP($A100,'1-1 基本信息'!$A:$K,11,0),"")</f>
        <v>油气开发管理部</v>
      </c>
      <c r="C100" s="3" t="str">
        <f>IFERROR(VLOOKUP($A100,'1-1 基本信息'!$A:$K,8,0),"")</f>
        <v>中层副职</v>
      </c>
      <c r="D100" s="3" t="str">
        <f t="shared" si="1"/>
        <v>油气开发管理部中层副职</v>
      </c>
      <c r="E100" s="3" t="str">
        <f>IF(D100="","",IF(COUNTIF($D$3:$D100,$D100)=1,D100&amp;"1",IF(COUNTIF($D$3:$D100,$D100)=2,D100&amp;"2",IF(COUNTIF($D$3:$D100,$D100)=3,D100&amp;"3",IF(COUNTIF($D$3:$D100,$D100)=4,D100&amp;"4",IF(COUNTIF($D$3:$D100,$D100)=5,D100&amp;"5",IF(COUNTIF($D$3:$D100,$D100)=6,D100&amp;"6",IF(COUNTIF($D$3:$D100,$D100)=7,D100&amp;"7",IF(COUNTIF($D$3:$D100,$D100)=8,D100&amp;"8",D100)))))))))</f>
        <v>油气开发管理部中层副职2</v>
      </c>
      <c r="F100" s="3">
        <v>8</v>
      </c>
      <c r="G100" s="3">
        <v>4.2</v>
      </c>
      <c r="H100" s="3">
        <v>5.7</v>
      </c>
      <c r="I100" s="3">
        <v>7.6</v>
      </c>
      <c r="J100" s="3">
        <v>3.4</v>
      </c>
    </row>
    <row r="101" spans="1:10" x14ac:dyDescent="0.3">
      <c r="A101" s="3" t="s">
        <v>139</v>
      </c>
      <c r="B101" s="3" t="str">
        <f>IFERROR(VLOOKUP($A101,'1-1 基本信息'!$A:$K,11,0),"")</f>
        <v/>
      </c>
      <c r="C101" s="3" t="str">
        <f>IFERROR(VLOOKUP($A101,'1-1 基本信息'!$A:$K,8,0),"")</f>
        <v/>
      </c>
      <c r="D101" s="3" t="str">
        <f t="shared" si="1"/>
        <v/>
      </c>
      <c r="E101" s="3" t="str">
        <f>IF(D101="","",IF(COUNTIF($D$3:$D101,$D101)=1,D101&amp;"1",IF(COUNTIF($D$3:$D101,$D101)=2,D101&amp;"2",IF(COUNTIF($D$3:$D101,$D101)=3,D101&amp;"3",IF(COUNTIF($D$3:$D101,$D101)=4,D101&amp;"4",IF(COUNTIF($D$3:$D101,$D101)=5,D101&amp;"5",IF(COUNTIF($D$3:$D101,$D101)=6,D101&amp;"6",IF(COUNTIF($D$3:$D101,$D101)=7,D101&amp;"7",IF(COUNTIF($D$3:$D101,$D101)=8,D101&amp;"8",D101)))))))))</f>
        <v/>
      </c>
      <c r="F101" s="3">
        <v>6.8</v>
      </c>
      <c r="G101" s="3">
        <v>6</v>
      </c>
      <c r="H101" s="3">
        <v>3</v>
      </c>
      <c r="I101" s="3">
        <v>6.3</v>
      </c>
      <c r="J101" s="3">
        <v>4</v>
      </c>
    </row>
    <row r="102" spans="1:10" x14ac:dyDescent="0.3">
      <c r="A102" s="3" t="s">
        <v>140</v>
      </c>
      <c r="B102" s="3" t="str">
        <f>IFERROR(VLOOKUP($A102,'1-1 基本信息'!$A:$K,11,0),"")</f>
        <v>石油工程技术研究院</v>
      </c>
      <c r="C102" s="3" t="str">
        <f>IFERROR(VLOOKUP($A102,'1-1 基本信息'!$A:$K,8,0),"")</f>
        <v>中层副职</v>
      </c>
      <c r="D102" s="3" t="str">
        <f t="shared" si="1"/>
        <v>石油工程技术研究院中层副职</v>
      </c>
      <c r="E102" s="3" t="str">
        <f>IF(D102="","",IF(COUNTIF($D$3:$D102,$D102)=1,D102&amp;"1",IF(COUNTIF($D$3:$D102,$D102)=2,D102&amp;"2",IF(COUNTIF($D$3:$D102,$D102)=3,D102&amp;"3",IF(COUNTIF($D$3:$D102,$D102)=4,D102&amp;"4",IF(COUNTIF($D$3:$D102,$D102)=5,D102&amp;"5",IF(COUNTIF($D$3:$D102,$D102)=6,D102&amp;"6",IF(COUNTIF($D$3:$D102,$D102)=7,D102&amp;"7",IF(COUNTIF($D$3:$D102,$D102)=8,D102&amp;"8",D102)))))))))</f>
        <v>石油工程技术研究院中层副职2</v>
      </c>
      <c r="F102" s="3">
        <v>6.8</v>
      </c>
      <c r="G102" s="3">
        <v>6.7</v>
      </c>
      <c r="H102" s="3">
        <v>5.2</v>
      </c>
      <c r="I102" s="3">
        <v>6.9</v>
      </c>
      <c r="J102" s="3">
        <v>5.9</v>
      </c>
    </row>
    <row r="103" spans="1:10" x14ac:dyDescent="0.3">
      <c r="A103" s="3" t="s">
        <v>141</v>
      </c>
      <c r="B103" s="3" t="str">
        <f>IFERROR(VLOOKUP($A103,'1-1 基本信息'!$A:$K,11,0),"")</f>
        <v/>
      </c>
      <c r="C103" s="3" t="str">
        <f>IFERROR(VLOOKUP($A103,'1-1 基本信息'!$A:$K,8,0),"")</f>
        <v/>
      </c>
      <c r="D103" s="3" t="str">
        <f t="shared" si="1"/>
        <v/>
      </c>
      <c r="E103" s="3" t="str">
        <f>IF(D103="","",IF(COUNTIF($D$3:$D103,$D103)=1,D103&amp;"1",IF(COUNTIF($D$3:$D103,$D103)=2,D103&amp;"2",IF(COUNTIF($D$3:$D103,$D103)=3,D103&amp;"3",IF(COUNTIF($D$3:$D103,$D103)=4,D103&amp;"4",IF(COUNTIF($D$3:$D103,$D103)=5,D103&amp;"5",IF(COUNTIF($D$3:$D103,$D103)=6,D103&amp;"6",IF(COUNTIF($D$3:$D103,$D103)=7,D103&amp;"7",IF(COUNTIF($D$3:$D103,$D103)=8,D103&amp;"8",D103)))))))))</f>
        <v/>
      </c>
      <c r="F103" s="3">
        <v>8.6</v>
      </c>
      <c r="G103" s="3">
        <v>1.5</v>
      </c>
      <c r="H103" s="3">
        <v>6.3</v>
      </c>
      <c r="I103" s="3">
        <v>8.8000000000000007</v>
      </c>
      <c r="J103" s="3">
        <v>2.8</v>
      </c>
    </row>
    <row r="104" spans="1:10" x14ac:dyDescent="0.3">
      <c r="A104" s="3" t="s">
        <v>142</v>
      </c>
      <c r="B104" s="3" t="str">
        <f>IFERROR(VLOOKUP($A104,'1-1 基本信息'!$A:$K,11,0),"")</f>
        <v/>
      </c>
      <c r="C104" s="3" t="str">
        <f>IFERROR(VLOOKUP($A104,'1-1 基本信息'!$A:$K,8,0),"")</f>
        <v/>
      </c>
      <c r="D104" s="3" t="str">
        <f t="shared" si="1"/>
        <v/>
      </c>
      <c r="E104" s="3" t="str">
        <f>IF(D104="","",IF(COUNTIF($D$3:$D104,$D104)=1,D104&amp;"1",IF(COUNTIF($D$3:$D104,$D104)=2,D104&amp;"2",IF(COUNTIF($D$3:$D104,$D104)=3,D104&amp;"3",IF(COUNTIF($D$3:$D104,$D104)=4,D104&amp;"4",IF(COUNTIF($D$3:$D104,$D104)=5,D104&amp;"5",IF(COUNTIF($D$3:$D104,$D104)=6,D104&amp;"6",IF(COUNTIF($D$3:$D104,$D104)=7,D104&amp;"7",IF(COUNTIF($D$3:$D104,$D104)=8,D104&amp;"8",D104)))))))))</f>
        <v/>
      </c>
      <c r="F104" s="3">
        <v>4.4000000000000004</v>
      </c>
      <c r="G104" s="3">
        <v>3</v>
      </c>
      <c r="H104" s="3">
        <v>6.3</v>
      </c>
      <c r="I104" s="3">
        <v>3.8</v>
      </c>
      <c r="J104" s="3">
        <v>3.4</v>
      </c>
    </row>
    <row r="105" spans="1:10" x14ac:dyDescent="0.3">
      <c r="D105" s="3" t="str">
        <f t="shared" si="1"/>
        <v/>
      </c>
      <c r="E105" s="3" t="str">
        <f>IF(D105="","",IF(COUNTIF($D$3:$D105,$D105)=1,D105&amp;"1",IF(COUNTIF($D$3:$D105,$D105)=2,D105&amp;"2",IF(COUNTIF($D$3:$D105,$D105)=3,D105&amp;"3",IF(COUNTIF($D$3:$D105,$D105)=4,D105&amp;"4",IF(COUNTIF($D$3:$D105,$D105)=5,D105&amp;"5",IF(COUNTIF($D$3:$D105,$D105)=6,D105&amp;"6",IF(COUNTIF($D$3:$D105,$D105)=7,D105&amp;"7",IF(COUNTIF($D$3:$D105,$D105)=8,D105&amp;"8",D105)))))))))</f>
        <v/>
      </c>
    </row>
    <row r="106" spans="1:10" x14ac:dyDescent="0.3">
      <c r="D106" s="3" t="str">
        <f t="shared" si="1"/>
        <v/>
      </c>
      <c r="E106" s="3" t="str">
        <f>IF(D106="","",IF(COUNTIF($D$3:$D106,$D106)=1,D106&amp;"1",IF(COUNTIF($D$3:$D106,$D106)=2,D106&amp;"2",IF(COUNTIF($D$3:$D106,$D106)=3,D106&amp;"3",IF(COUNTIF($D$3:$D106,$D106)=4,D106&amp;"4",IF(COUNTIF($D$3:$D106,$D106)=5,D106&amp;"5",IF(COUNTIF($D$3:$D106,$D106)=6,D106&amp;"6",IF(COUNTIF($D$3:$D106,$D106)=7,D106&amp;"7",IF(COUNTIF($D$3:$D106,$D106)=8,D106&amp;"8",D106)))))))))</f>
        <v/>
      </c>
    </row>
    <row r="107" spans="1:10" x14ac:dyDescent="0.3">
      <c r="D107" s="3" t="str">
        <f t="shared" si="1"/>
        <v/>
      </c>
      <c r="E107" s="3" t="str">
        <f>IF(D107="","",IF(COUNTIF($D$3:$D107,$D107)=1,D107&amp;"1",IF(COUNTIF($D$3:$D107,$D107)=2,D107&amp;"2",IF(COUNTIF($D$3:$D107,$D107)=3,D107&amp;"3",IF(COUNTIF($D$3:$D107,$D107)=4,D107&amp;"4",IF(COUNTIF($D$3:$D107,$D107)=5,D107&amp;"5",IF(COUNTIF($D$3:$D107,$D107)=6,D107&amp;"6",IF(COUNTIF($D$3:$D107,$D107)=7,D107&amp;"7",IF(COUNTIF($D$3:$D107,$D107)=8,D107&amp;"8",D107)))))))))</f>
        <v/>
      </c>
    </row>
    <row r="108" spans="1:10" x14ac:dyDescent="0.3">
      <c r="D108" s="3" t="str">
        <f t="shared" si="1"/>
        <v/>
      </c>
      <c r="E108" s="3" t="str">
        <f>IF(D108="","",IF(COUNTIF($D$3:$D108,$D108)=1,D108&amp;"1",IF(COUNTIF($D$3:$D108,$D108)=2,D108&amp;"2",IF(COUNTIF($D$3:$D108,$D108)=3,D108&amp;"3",IF(COUNTIF($D$3:$D108,$D108)=4,D108&amp;"4",IF(COUNTIF($D$3:$D108,$D108)=5,D108&amp;"5",IF(COUNTIF($D$3:$D108,$D108)=6,D108&amp;"6",IF(COUNTIF($D$3:$D108,$D108)=7,D108&amp;"7",IF(COUNTIF($D$3:$D108,$D108)=8,D108&amp;"8",D108)))))))))</f>
        <v/>
      </c>
    </row>
    <row r="109" spans="1:10" x14ac:dyDescent="0.3">
      <c r="D109" s="3" t="str">
        <f t="shared" si="1"/>
        <v/>
      </c>
      <c r="E109" s="3" t="str">
        <f>IF(D109="","",IF(COUNTIF($D$3:$D109,$D109)=1,D109&amp;"1",IF(COUNTIF($D$3:$D109,$D109)=2,D109&amp;"2",IF(COUNTIF($D$3:$D109,$D109)=3,D109&amp;"3",IF(COUNTIF($D$3:$D109,$D109)=4,D109&amp;"4",IF(COUNTIF($D$3:$D109,$D109)=5,D109&amp;"5",IF(COUNTIF($D$3:$D109,$D109)=6,D109&amp;"6",IF(COUNTIF($D$3:$D109,$D109)=7,D109&amp;"7",IF(COUNTIF($D$3:$D109,$D109)=8,D109&amp;"8",D109)))))))))</f>
        <v/>
      </c>
    </row>
    <row r="110" spans="1:10" x14ac:dyDescent="0.3">
      <c r="D110" s="3" t="str">
        <f t="shared" si="1"/>
        <v/>
      </c>
      <c r="E110" s="3" t="str">
        <f>IF(D110="","",IF(COUNTIF($D$3:$D110,$D110)=1,D110&amp;"1",IF(COUNTIF($D$3:$D110,$D110)=2,D110&amp;"2",IF(COUNTIF($D$3:$D110,$D110)=3,D110&amp;"3",IF(COUNTIF($D$3:$D110,$D110)=4,D110&amp;"4",IF(COUNTIF($D$3:$D110,$D110)=5,D110&amp;"5",IF(COUNTIF($D$3:$D110,$D110)=6,D110&amp;"6",IF(COUNTIF($D$3:$D110,$D110)=7,D110&amp;"7",IF(COUNTIF($D$3:$D110,$D110)=8,D110&amp;"8",D110)))))))))</f>
        <v/>
      </c>
    </row>
    <row r="111" spans="1:10" x14ac:dyDescent="0.3">
      <c r="D111" s="3" t="str">
        <f t="shared" si="1"/>
        <v/>
      </c>
      <c r="E111" s="3" t="str">
        <f>IF(D111="","",IF(COUNTIF($D$3:$D111,$D111)=1,D111&amp;"1",IF(COUNTIF($D$3:$D111,$D111)=2,D111&amp;"2",IF(COUNTIF($D$3:$D111,$D111)=3,D111&amp;"3",IF(COUNTIF($D$3:$D111,$D111)=4,D111&amp;"4",IF(COUNTIF($D$3:$D111,$D111)=5,D111&amp;"5",IF(COUNTIF($D$3:$D111,$D111)=6,D111&amp;"6",IF(COUNTIF($D$3:$D111,$D111)=7,D111&amp;"7",IF(COUNTIF($D$3:$D111,$D111)=8,D111&amp;"8",D111)))))))))</f>
        <v/>
      </c>
    </row>
    <row r="112" spans="1:10" x14ac:dyDescent="0.3">
      <c r="D112" s="3" t="str">
        <f t="shared" si="1"/>
        <v/>
      </c>
      <c r="E112" s="3" t="str">
        <f>IF(D112="","",IF(COUNTIF($D$3:$D112,$D112)=1,D112&amp;"1",IF(COUNTIF($D$3:$D112,$D112)=2,D112&amp;"2",IF(COUNTIF($D$3:$D112,$D112)=3,D112&amp;"3",IF(COUNTIF($D$3:$D112,$D112)=4,D112&amp;"4",IF(COUNTIF($D$3:$D112,$D112)=5,D112&amp;"5",IF(COUNTIF($D$3:$D112,$D112)=6,D112&amp;"6",IF(COUNTIF($D$3:$D112,$D112)=7,D112&amp;"7",IF(COUNTIF($D$3:$D112,$D112)=8,D112&amp;"8",D112)))))))))</f>
        <v/>
      </c>
    </row>
    <row r="113" spans="4:5" x14ac:dyDescent="0.3">
      <c r="D113" s="3" t="str">
        <f t="shared" si="1"/>
        <v/>
      </c>
      <c r="E113" s="3" t="str">
        <f>IF(D113="","",IF(COUNTIF($D$3:$D113,$D113)=1,D113&amp;"1",IF(COUNTIF($D$3:$D113,$D113)=2,D113&amp;"2",IF(COUNTIF($D$3:$D113,$D113)=3,D113&amp;"3",IF(COUNTIF($D$3:$D113,$D113)=4,D113&amp;"4",IF(COUNTIF($D$3:$D113,$D113)=5,D113&amp;"5",IF(COUNTIF($D$3:$D113,$D113)=6,D113&amp;"6",IF(COUNTIF($D$3:$D113,$D113)=7,D113&amp;"7",IF(COUNTIF($D$3:$D113,$D113)=8,D113&amp;"8",D113)))))))))</f>
        <v/>
      </c>
    </row>
    <row r="114" spans="4:5" x14ac:dyDescent="0.3">
      <c r="D114" s="3" t="str">
        <f t="shared" si="1"/>
        <v/>
      </c>
      <c r="E114" s="3" t="str">
        <f>IF(D114="","",IF(COUNTIF($D$3:$D114,$D114)=1,D114&amp;"1",IF(COUNTIF($D$3:$D114,$D114)=2,D114&amp;"2",IF(COUNTIF($D$3:$D114,$D114)=3,D114&amp;"3",IF(COUNTIF($D$3:$D114,$D114)=4,D114&amp;"4",IF(COUNTIF($D$3:$D114,$D114)=5,D114&amp;"5",IF(COUNTIF($D$3:$D114,$D114)=6,D114&amp;"6",IF(COUNTIF($D$3:$D114,$D114)=7,D114&amp;"7",IF(COUNTIF($D$3:$D114,$D114)=8,D114&amp;"8",D114)))))))))</f>
        <v/>
      </c>
    </row>
    <row r="115" spans="4:5" x14ac:dyDescent="0.3">
      <c r="D115" s="3" t="str">
        <f t="shared" si="1"/>
        <v/>
      </c>
      <c r="E115" s="3" t="str">
        <f>IF(D115="","",IF(COUNTIF($D$3:$D115,$D115)=1,D115&amp;"1",IF(COUNTIF($D$3:$D115,$D115)=2,D115&amp;"2",IF(COUNTIF($D$3:$D115,$D115)=3,D115&amp;"3",IF(COUNTIF($D$3:$D115,$D115)=4,D115&amp;"4",IF(COUNTIF($D$3:$D115,$D115)=5,D115&amp;"5",IF(COUNTIF($D$3:$D115,$D115)=6,D115&amp;"6",IF(COUNTIF($D$3:$D115,$D115)=7,D115&amp;"7",IF(COUNTIF($D$3:$D115,$D115)=8,D115&amp;"8",D115)))))))))</f>
        <v/>
      </c>
    </row>
    <row r="116" spans="4:5" x14ac:dyDescent="0.3">
      <c r="D116" s="3" t="str">
        <f t="shared" si="1"/>
        <v/>
      </c>
      <c r="E116" s="3" t="str">
        <f>IF(D116="","",IF(COUNTIF($D$3:$D116,$D116)=1,D116&amp;"1",IF(COUNTIF($D$3:$D116,$D116)=2,D116&amp;"2",IF(COUNTIF($D$3:$D116,$D116)=3,D116&amp;"3",IF(COUNTIF($D$3:$D116,$D116)=4,D116&amp;"4",IF(COUNTIF($D$3:$D116,$D116)=5,D116&amp;"5",IF(COUNTIF($D$3:$D116,$D116)=6,D116&amp;"6",IF(COUNTIF($D$3:$D116,$D116)=7,D116&amp;"7",IF(COUNTIF($D$3:$D116,$D116)=8,D116&amp;"8",D116)))))))))</f>
        <v/>
      </c>
    </row>
    <row r="117" spans="4:5" x14ac:dyDescent="0.3">
      <c r="D117" s="3" t="str">
        <f t="shared" si="1"/>
        <v/>
      </c>
      <c r="E117" s="3" t="str">
        <f>IF(D117="","",IF(COUNTIF($D$3:$D117,$D117)=1,D117&amp;"1",IF(COUNTIF($D$3:$D117,$D117)=2,D117&amp;"2",IF(COUNTIF($D$3:$D117,$D117)=3,D117&amp;"3",IF(COUNTIF($D$3:$D117,$D117)=4,D117&amp;"4",IF(COUNTIF($D$3:$D117,$D117)=5,D117&amp;"5",IF(COUNTIF($D$3:$D117,$D117)=6,D117&amp;"6",IF(COUNTIF($D$3:$D117,$D117)=7,D117&amp;"7",IF(COUNTIF($D$3:$D117,$D117)=8,D117&amp;"8",D117)))))))))</f>
        <v/>
      </c>
    </row>
    <row r="118" spans="4:5" x14ac:dyDescent="0.3">
      <c r="D118" s="3" t="str">
        <f t="shared" si="1"/>
        <v/>
      </c>
      <c r="E118" s="3" t="str">
        <f>IF(D118="","",IF(COUNTIF($D$3:$D118,$D118)=1,D118&amp;"1",IF(COUNTIF($D$3:$D118,$D118)=2,D118&amp;"2",IF(COUNTIF($D$3:$D118,$D118)=3,D118&amp;"3",IF(COUNTIF($D$3:$D118,$D118)=4,D118&amp;"4",IF(COUNTIF($D$3:$D118,$D118)=5,D118&amp;"5",IF(COUNTIF($D$3:$D118,$D118)=6,D118&amp;"6",IF(COUNTIF($D$3:$D118,$D118)=7,D118&amp;"7",IF(COUNTIF($D$3:$D118,$D118)=8,D118&amp;"8",D118)))))))))</f>
        <v/>
      </c>
    </row>
    <row r="119" spans="4:5" x14ac:dyDescent="0.3">
      <c r="D119" s="3" t="str">
        <f t="shared" si="1"/>
        <v/>
      </c>
      <c r="E119" s="3" t="str">
        <f>IF(D119="","",IF(COUNTIF($D$3:$D119,$D119)=1,D119&amp;"1",IF(COUNTIF($D$3:$D119,$D119)=2,D119&amp;"2",IF(COUNTIF($D$3:$D119,$D119)=3,D119&amp;"3",IF(COUNTIF($D$3:$D119,$D119)=4,D119&amp;"4",IF(COUNTIF($D$3:$D119,$D119)=5,D119&amp;"5",IF(COUNTIF($D$3:$D119,$D119)=6,D119&amp;"6",IF(COUNTIF($D$3:$D119,$D119)=7,D119&amp;"7",IF(COUNTIF($D$3:$D119,$D119)=8,D119&amp;"8",D119)))))))))</f>
        <v/>
      </c>
    </row>
    <row r="120" spans="4:5" x14ac:dyDescent="0.3">
      <c r="D120" s="3" t="str">
        <f t="shared" si="1"/>
        <v/>
      </c>
      <c r="E120" s="3" t="str">
        <f>IF(D120="","",IF(COUNTIF($D$3:$D120,$D120)=1,D120&amp;"1",IF(COUNTIF($D$3:$D120,$D120)=2,D120&amp;"2",IF(COUNTIF($D$3:$D120,$D120)=3,D120&amp;"3",IF(COUNTIF($D$3:$D120,$D120)=4,D120&amp;"4",IF(COUNTIF($D$3:$D120,$D120)=5,D120&amp;"5",IF(COUNTIF($D$3:$D120,$D120)=6,D120&amp;"6",IF(COUNTIF($D$3:$D120,$D120)=7,D120&amp;"7",IF(COUNTIF($D$3:$D120,$D120)=8,D120&amp;"8",D120)))))))))</f>
        <v/>
      </c>
    </row>
    <row r="121" spans="4:5" x14ac:dyDescent="0.3">
      <c r="D121" s="3" t="str">
        <f t="shared" si="1"/>
        <v/>
      </c>
      <c r="E121" s="3" t="str">
        <f>IF(D121="","",IF(COUNTIF($D$3:$D121,$D121)=1,D121&amp;"1",IF(COUNTIF($D$3:$D121,$D121)=2,D121&amp;"2",IF(COUNTIF($D$3:$D121,$D121)=3,D121&amp;"3",IF(COUNTIF($D$3:$D121,$D121)=4,D121&amp;"4",IF(COUNTIF($D$3:$D121,$D121)=5,D121&amp;"5",IF(COUNTIF($D$3:$D121,$D121)=6,D121&amp;"6",IF(COUNTIF($D$3:$D121,$D121)=7,D121&amp;"7",IF(COUNTIF($D$3:$D121,$D121)=8,D121&amp;"8",D121)))))))))</f>
        <v/>
      </c>
    </row>
    <row r="122" spans="4:5" x14ac:dyDescent="0.3">
      <c r="D122" s="3" t="str">
        <f t="shared" si="1"/>
        <v/>
      </c>
      <c r="E122" s="3" t="str">
        <f>IF(D122="","",IF(COUNTIF($D$3:$D122,$D122)=1,D122&amp;"1",IF(COUNTIF($D$3:$D122,$D122)=2,D122&amp;"2",IF(COUNTIF($D$3:$D122,$D122)=3,D122&amp;"3",IF(COUNTIF($D$3:$D122,$D122)=4,D122&amp;"4",IF(COUNTIF($D$3:$D122,$D122)=5,D122&amp;"5",IF(COUNTIF($D$3:$D122,$D122)=6,D122&amp;"6",IF(COUNTIF($D$3:$D122,$D122)=7,D122&amp;"7",IF(COUNTIF($D$3:$D122,$D122)=8,D122&amp;"8",D122)))))))))</f>
        <v/>
      </c>
    </row>
    <row r="123" spans="4:5" x14ac:dyDescent="0.3">
      <c r="D123" s="3" t="str">
        <f t="shared" si="1"/>
        <v/>
      </c>
      <c r="E123" s="3" t="str">
        <f>IF(D123="","",IF(COUNTIF($D$3:$D123,$D123)=1,D123&amp;"1",IF(COUNTIF($D$3:$D123,$D123)=2,D123&amp;"2",IF(COUNTIF($D$3:$D123,$D123)=3,D123&amp;"3",IF(COUNTIF($D$3:$D123,$D123)=4,D123&amp;"4",IF(COUNTIF($D$3:$D123,$D123)=5,D123&amp;"5",IF(COUNTIF($D$3:$D123,$D123)=6,D123&amp;"6",IF(COUNTIF($D$3:$D123,$D123)=7,D123&amp;"7",IF(COUNTIF($D$3:$D123,$D123)=8,D123&amp;"8",D123)))))))))</f>
        <v/>
      </c>
    </row>
    <row r="124" spans="4:5" x14ac:dyDescent="0.3">
      <c r="D124" s="3" t="str">
        <f t="shared" si="1"/>
        <v/>
      </c>
      <c r="E124" s="3" t="str">
        <f>IF(D124="","",IF(COUNTIF($D$3:$D124,$D124)=1,D124&amp;"1",IF(COUNTIF($D$3:$D124,$D124)=2,D124&amp;"2",IF(COUNTIF($D$3:$D124,$D124)=3,D124&amp;"3",IF(COUNTIF($D$3:$D124,$D124)=4,D124&amp;"4",IF(COUNTIF($D$3:$D124,$D124)=5,D124&amp;"5",IF(COUNTIF($D$3:$D124,$D124)=6,D124&amp;"6",IF(COUNTIF($D$3:$D124,$D124)=7,D124&amp;"7",IF(COUNTIF($D$3:$D124,$D124)=8,D124&amp;"8",D124)))))))))</f>
        <v/>
      </c>
    </row>
    <row r="125" spans="4:5" x14ac:dyDescent="0.3">
      <c r="D125" s="3" t="str">
        <f t="shared" si="1"/>
        <v/>
      </c>
      <c r="E125" s="3" t="str">
        <f>IF(D125="","",IF(COUNTIF($D$3:$D125,$D125)=1,D125&amp;"1",IF(COUNTIF($D$3:$D125,$D125)=2,D125&amp;"2",IF(COUNTIF($D$3:$D125,$D125)=3,D125&amp;"3",IF(COUNTIF($D$3:$D125,$D125)=4,D125&amp;"4",IF(COUNTIF($D$3:$D125,$D125)=5,D125&amp;"5",IF(COUNTIF($D$3:$D125,$D125)=6,D125&amp;"6",IF(COUNTIF($D$3:$D125,$D125)=7,D125&amp;"7",IF(COUNTIF($D$3:$D125,$D125)=8,D125&amp;"8",D125)))))))))</f>
        <v/>
      </c>
    </row>
    <row r="126" spans="4:5" x14ac:dyDescent="0.3">
      <c r="D126" s="3" t="str">
        <f t="shared" si="1"/>
        <v/>
      </c>
      <c r="E126" s="3" t="str">
        <f>IF(D126="","",IF(COUNTIF($D$3:$D126,$D126)=1,D126&amp;"1",IF(COUNTIF($D$3:$D126,$D126)=2,D126&amp;"2",IF(COUNTIF($D$3:$D126,$D126)=3,D126&amp;"3",IF(COUNTIF($D$3:$D126,$D126)=4,D126&amp;"4",IF(COUNTIF($D$3:$D126,$D126)=5,D126&amp;"5",IF(COUNTIF($D$3:$D126,$D126)=6,D126&amp;"6",IF(COUNTIF($D$3:$D126,$D126)=7,D126&amp;"7",IF(COUNTIF($D$3:$D126,$D126)=8,D126&amp;"8",D126)))))))))</f>
        <v/>
      </c>
    </row>
    <row r="127" spans="4:5" x14ac:dyDescent="0.3">
      <c r="D127" s="3" t="str">
        <f t="shared" si="1"/>
        <v/>
      </c>
      <c r="E127" s="3" t="str">
        <f>IF(D127="","",IF(COUNTIF($D$3:$D127,$D127)=1,D127&amp;"1",IF(COUNTIF($D$3:$D127,$D127)=2,D127&amp;"2",IF(COUNTIF($D$3:$D127,$D127)=3,D127&amp;"3",IF(COUNTIF($D$3:$D127,$D127)=4,D127&amp;"4",IF(COUNTIF($D$3:$D127,$D127)=5,D127&amp;"5",IF(COUNTIF($D$3:$D127,$D127)=6,D127&amp;"6",IF(COUNTIF($D$3:$D127,$D127)=7,D127&amp;"7",IF(COUNTIF($D$3:$D127,$D127)=8,D127&amp;"8",D127)))))))))</f>
        <v/>
      </c>
    </row>
    <row r="128" spans="4:5" x14ac:dyDescent="0.3">
      <c r="D128" s="3" t="str">
        <f t="shared" si="1"/>
        <v/>
      </c>
      <c r="E128" s="3" t="str">
        <f>IF(D128="","",IF(COUNTIF($D$3:$D128,$D128)=1,D128&amp;"1",IF(COUNTIF($D$3:$D128,$D128)=2,D128&amp;"2",IF(COUNTIF($D$3:$D128,$D128)=3,D128&amp;"3",IF(COUNTIF($D$3:$D128,$D128)=4,D128&amp;"4",IF(COUNTIF($D$3:$D128,$D128)=5,D128&amp;"5",IF(COUNTIF($D$3:$D128,$D128)=6,D128&amp;"6",IF(COUNTIF($D$3:$D128,$D128)=7,D128&amp;"7",IF(COUNTIF($D$3:$D128,$D128)=8,D128&amp;"8",D128)))))))))</f>
        <v/>
      </c>
    </row>
    <row r="129" spans="4:5" x14ac:dyDescent="0.3">
      <c r="D129" s="3" t="str">
        <f t="shared" si="1"/>
        <v/>
      </c>
      <c r="E129" s="3" t="str">
        <f>IF(D129="","",IF(COUNTIF($D$3:$D129,$D129)=1,D129&amp;"1",IF(COUNTIF($D$3:$D129,$D129)=2,D129&amp;"2",IF(COUNTIF($D$3:$D129,$D129)=3,D129&amp;"3",IF(COUNTIF($D$3:$D129,$D129)=4,D129&amp;"4",IF(COUNTIF($D$3:$D129,$D129)=5,D129&amp;"5",IF(COUNTIF($D$3:$D129,$D129)=6,D129&amp;"6",IF(COUNTIF($D$3:$D129,$D129)=7,D129&amp;"7",IF(COUNTIF($D$3:$D129,$D129)=8,D129&amp;"8",D129)))))))))</f>
        <v/>
      </c>
    </row>
    <row r="130" spans="4:5" x14ac:dyDescent="0.3">
      <c r="D130" s="3" t="str">
        <f t="shared" si="1"/>
        <v/>
      </c>
      <c r="E130" s="3" t="str">
        <f>IF(D130="","",IF(COUNTIF($D$3:$D130,$D130)=1,D130&amp;"1",IF(COUNTIF($D$3:$D130,$D130)=2,D130&amp;"2",IF(COUNTIF($D$3:$D130,$D130)=3,D130&amp;"3",IF(COUNTIF($D$3:$D130,$D130)=4,D130&amp;"4",IF(COUNTIF($D$3:$D130,$D130)=5,D130&amp;"5",IF(COUNTIF($D$3:$D130,$D130)=6,D130&amp;"6",IF(COUNTIF($D$3:$D130,$D130)=7,D130&amp;"7",IF(COUNTIF($D$3:$D130,$D130)=8,D130&amp;"8",D130)))))))))</f>
        <v/>
      </c>
    </row>
    <row r="131" spans="4:5" x14ac:dyDescent="0.3">
      <c r="D131" s="3" t="str">
        <f t="shared" si="1"/>
        <v/>
      </c>
      <c r="E131" s="3" t="str">
        <f>IF(D131="","",IF(COUNTIF($D$3:$D131,$D131)=1,D131&amp;"1",IF(COUNTIF($D$3:$D131,$D131)=2,D131&amp;"2",IF(COUNTIF($D$3:$D131,$D131)=3,D131&amp;"3",IF(COUNTIF($D$3:$D131,$D131)=4,D131&amp;"4",IF(COUNTIF($D$3:$D131,$D131)=5,D131&amp;"5",IF(COUNTIF($D$3:$D131,$D131)=6,D131&amp;"6",IF(COUNTIF($D$3:$D131,$D131)=7,D131&amp;"7",IF(COUNTIF($D$3:$D131,$D131)=8,D131&amp;"8",D131)))))))))</f>
        <v/>
      </c>
    </row>
    <row r="132" spans="4:5" x14ac:dyDescent="0.3">
      <c r="D132" s="3" t="str">
        <f t="shared" ref="D132:D195" si="2">B132&amp;C132</f>
        <v/>
      </c>
      <c r="E132" s="3" t="str">
        <f>IF(D132="","",IF(COUNTIF($D$3:$D132,$D132)=1,D132&amp;"1",IF(COUNTIF($D$3:$D132,$D132)=2,D132&amp;"2",IF(COUNTIF($D$3:$D132,$D132)=3,D132&amp;"3",IF(COUNTIF($D$3:$D132,$D132)=4,D132&amp;"4",IF(COUNTIF($D$3:$D132,$D132)=5,D132&amp;"5",IF(COUNTIF($D$3:$D132,$D132)=6,D132&amp;"6",IF(COUNTIF($D$3:$D132,$D132)=7,D132&amp;"7",IF(COUNTIF($D$3:$D132,$D132)=8,D132&amp;"8",D132)))))))))</f>
        <v/>
      </c>
    </row>
    <row r="133" spans="4:5" x14ac:dyDescent="0.3">
      <c r="D133" s="3" t="str">
        <f t="shared" si="2"/>
        <v/>
      </c>
      <c r="E133" s="3" t="str">
        <f>IF(D133="","",IF(COUNTIF($D$3:$D133,$D133)=1,D133&amp;"1",IF(COUNTIF($D$3:$D133,$D133)=2,D133&amp;"2",IF(COUNTIF($D$3:$D133,$D133)=3,D133&amp;"3",IF(COUNTIF($D$3:$D133,$D133)=4,D133&amp;"4",IF(COUNTIF($D$3:$D133,$D133)=5,D133&amp;"5",IF(COUNTIF($D$3:$D133,$D133)=6,D133&amp;"6",IF(COUNTIF($D$3:$D133,$D133)=7,D133&amp;"7",IF(COUNTIF($D$3:$D133,$D133)=8,D133&amp;"8",D133)))))))))</f>
        <v/>
      </c>
    </row>
    <row r="134" spans="4:5" x14ac:dyDescent="0.3">
      <c r="D134" s="3" t="str">
        <f t="shared" si="2"/>
        <v/>
      </c>
      <c r="E134" s="3" t="str">
        <f>IF(D134="","",IF(COUNTIF($D$3:$D134,$D134)=1,D134&amp;"1",IF(COUNTIF($D$3:$D134,$D134)=2,D134&amp;"2",IF(COUNTIF($D$3:$D134,$D134)=3,D134&amp;"3",IF(COUNTIF($D$3:$D134,$D134)=4,D134&amp;"4",IF(COUNTIF($D$3:$D134,$D134)=5,D134&amp;"5",IF(COUNTIF($D$3:$D134,$D134)=6,D134&amp;"6",IF(COUNTIF($D$3:$D134,$D134)=7,D134&amp;"7",IF(COUNTIF($D$3:$D134,$D134)=8,D134&amp;"8",D134)))))))))</f>
        <v/>
      </c>
    </row>
    <row r="135" spans="4:5" x14ac:dyDescent="0.3">
      <c r="D135" s="3" t="str">
        <f t="shared" si="2"/>
        <v/>
      </c>
      <c r="E135" s="3" t="str">
        <f>IF(D135="","",IF(COUNTIF($D$3:$D135,$D135)=1,D135&amp;"1",IF(COUNTIF($D$3:$D135,$D135)=2,D135&amp;"2",IF(COUNTIF($D$3:$D135,$D135)=3,D135&amp;"3",IF(COUNTIF($D$3:$D135,$D135)=4,D135&amp;"4",IF(COUNTIF($D$3:$D135,$D135)=5,D135&amp;"5",IF(COUNTIF($D$3:$D135,$D135)=6,D135&amp;"6",IF(COUNTIF($D$3:$D135,$D135)=7,D135&amp;"7",IF(COUNTIF($D$3:$D135,$D135)=8,D135&amp;"8",D135)))))))))</f>
        <v/>
      </c>
    </row>
    <row r="136" spans="4:5" x14ac:dyDescent="0.3">
      <c r="D136" s="3" t="str">
        <f t="shared" si="2"/>
        <v/>
      </c>
      <c r="E136" s="3" t="str">
        <f>IF(D136="","",IF(COUNTIF($D$3:$D136,$D136)=1,D136&amp;"1",IF(COUNTIF($D$3:$D136,$D136)=2,D136&amp;"2",IF(COUNTIF($D$3:$D136,$D136)=3,D136&amp;"3",IF(COUNTIF($D$3:$D136,$D136)=4,D136&amp;"4",IF(COUNTIF($D$3:$D136,$D136)=5,D136&amp;"5",IF(COUNTIF($D$3:$D136,$D136)=6,D136&amp;"6",IF(COUNTIF($D$3:$D136,$D136)=7,D136&amp;"7",IF(COUNTIF($D$3:$D136,$D136)=8,D136&amp;"8",D136)))))))))</f>
        <v/>
      </c>
    </row>
    <row r="137" spans="4:5" x14ac:dyDescent="0.3">
      <c r="D137" s="3" t="str">
        <f t="shared" si="2"/>
        <v/>
      </c>
      <c r="E137" s="3" t="str">
        <f>IF(D137="","",IF(COUNTIF($D$3:$D137,$D137)=1,D137&amp;"1",IF(COUNTIF($D$3:$D137,$D137)=2,D137&amp;"2",IF(COUNTIF($D$3:$D137,$D137)=3,D137&amp;"3",IF(COUNTIF($D$3:$D137,$D137)=4,D137&amp;"4",IF(COUNTIF($D$3:$D137,$D137)=5,D137&amp;"5",IF(COUNTIF($D$3:$D137,$D137)=6,D137&amp;"6",IF(COUNTIF($D$3:$D137,$D137)=7,D137&amp;"7",IF(COUNTIF($D$3:$D137,$D137)=8,D137&amp;"8",D137)))))))))</f>
        <v/>
      </c>
    </row>
    <row r="138" spans="4:5" x14ac:dyDescent="0.3">
      <c r="D138" s="3" t="str">
        <f t="shared" si="2"/>
        <v/>
      </c>
      <c r="E138" s="3" t="str">
        <f>IF(D138="","",IF(COUNTIF($D$3:$D138,$D138)=1,D138&amp;"1",IF(COUNTIF($D$3:$D138,$D138)=2,D138&amp;"2",IF(COUNTIF($D$3:$D138,$D138)=3,D138&amp;"3",IF(COUNTIF($D$3:$D138,$D138)=4,D138&amp;"4",IF(COUNTIF($D$3:$D138,$D138)=5,D138&amp;"5",IF(COUNTIF($D$3:$D138,$D138)=6,D138&amp;"6",IF(COUNTIF($D$3:$D138,$D138)=7,D138&amp;"7",IF(COUNTIF($D$3:$D138,$D138)=8,D138&amp;"8",D138)))))))))</f>
        <v/>
      </c>
    </row>
    <row r="139" spans="4:5" x14ac:dyDescent="0.3">
      <c r="D139" s="3" t="str">
        <f t="shared" si="2"/>
        <v/>
      </c>
      <c r="E139" s="3" t="str">
        <f>IF(D139="","",IF(COUNTIF($D$3:$D139,$D139)=1,D139&amp;"1",IF(COUNTIF($D$3:$D139,$D139)=2,D139&amp;"2",IF(COUNTIF($D$3:$D139,$D139)=3,D139&amp;"3",IF(COUNTIF($D$3:$D139,$D139)=4,D139&amp;"4",IF(COUNTIF($D$3:$D139,$D139)=5,D139&amp;"5",IF(COUNTIF($D$3:$D139,$D139)=6,D139&amp;"6",IF(COUNTIF($D$3:$D139,$D139)=7,D139&amp;"7",IF(COUNTIF($D$3:$D139,$D139)=8,D139&amp;"8",D139)))))))))</f>
        <v/>
      </c>
    </row>
    <row r="140" spans="4:5" x14ac:dyDescent="0.3">
      <c r="D140" s="3" t="str">
        <f t="shared" si="2"/>
        <v/>
      </c>
      <c r="E140" s="3" t="str">
        <f>IF(D140="","",IF(COUNTIF($D$3:$D140,$D140)=1,D140&amp;"1",IF(COUNTIF($D$3:$D140,$D140)=2,D140&amp;"2",IF(COUNTIF($D$3:$D140,$D140)=3,D140&amp;"3",IF(COUNTIF($D$3:$D140,$D140)=4,D140&amp;"4",IF(COUNTIF($D$3:$D140,$D140)=5,D140&amp;"5",IF(COUNTIF($D$3:$D140,$D140)=6,D140&amp;"6",IF(COUNTIF($D$3:$D140,$D140)=7,D140&amp;"7",IF(COUNTIF($D$3:$D140,$D140)=8,D140&amp;"8",D140)))))))))</f>
        <v/>
      </c>
    </row>
    <row r="141" spans="4:5" x14ac:dyDescent="0.3">
      <c r="D141" s="3" t="str">
        <f t="shared" si="2"/>
        <v/>
      </c>
      <c r="E141" s="3" t="str">
        <f>IF(D141="","",IF(COUNTIF($D$3:$D141,$D141)=1,D141&amp;"1",IF(COUNTIF($D$3:$D141,$D141)=2,D141&amp;"2",IF(COUNTIF($D$3:$D141,$D141)=3,D141&amp;"3",IF(COUNTIF($D$3:$D141,$D141)=4,D141&amp;"4",IF(COUNTIF($D$3:$D141,$D141)=5,D141&amp;"5",IF(COUNTIF($D$3:$D141,$D141)=6,D141&amp;"6",IF(COUNTIF($D$3:$D141,$D141)=7,D141&amp;"7",IF(COUNTIF($D$3:$D141,$D141)=8,D141&amp;"8",D141)))))))))</f>
        <v/>
      </c>
    </row>
    <row r="142" spans="4:5" x14ac:dyDescent="0.3">
      <c r="D142" s="3" t="str">
        <f t="shared" si="2"/>
        <v/>
      </c>
      <c r="E142" s="3" t="str">
        <f>IF(D142="","",IF(COUNTIF($D$3:$D142,$D142)=1,D142&amp;"1",IF(COUNTIF($D$3:$D142,$D142)=2,D142&amp;"2",IF(COUNTIF($D$3:$D142,$D142)=3,D142&amp;"3",IF(COUNTIF($D$3:$D142,$D142)=4,D142&amp;"4",IF(COUNTIF($D$3:$D142,$D142)=5,D142&amp;"5",IF(COUNTIF($D$3:$D142,$D142)=6,D142&amp;"6",IF(COUNTIF($D$3:$D142,$D142)=7,D142&amp;"7",IF(COUNTIF($D$3:$D142,$D142)=8,D142&amp;"8",D142)))))))))</f>
        <v/>
      </c>
    </row>
    <row r="143" spans="4:5" x14ac:dyDescent="0.3">
      <c r="D143" s="3" t="str">
        <f t="shared" si="2"/>
        <v/>
      </c>
      <c r="E143" s="3" t="str">
        <f>IF(D143="","",IF(COUNTIF($D$3:$D143,$D143)=1,D143&amp;"1",IF(COUNTIF($D$3:$D143,$D143)=2,D143&amp;"2",IF(COUNTIF($D$3:$D143,$D143)=3,D143&amp;"3",IF(COUNTIF($D$3:$D143,$D143)=4,D143&amp;"4",IF(COUNTIF($D$3:$D143,$D143)=5,D143&amp;"5",IF(COUNTIF($D$3:$D143,$D143)=6,D143&amp;"6",IF(COUNTIF($D$3:$D143,$D143)=7,D143&amp;"7",IF(COUNTIF($D$3:$D143,$D143)=8,D143&amp;"8",D143)))))))))</f>
        <v/>
      </c>
    </row>
    <row r="144" spans="4:5" x14ac:dyDescent="0.3">
      <c r="D144" s="3" t="str">
        <f t="shared" si="2"/>
        <v/>
      </c>
      <c r="E144" s="3" t="str">
        <f>IF(D144="","",IF(COUNTIF($D$3:$D144,$D144)=1,D144&amp;"1",IF(COUNTIF($D$3:$D144,$D144)=2,D144&amp;"2",IF(COUNTIF($D$3:$D144,$D144)=3,D144&amp;"3",IF(COUNTIF($D$3:$D144,$D144)=4,D144&amp;"4",IF(COUNTIF($D$3:$D144,$D144)=5,D144&amp;"5",IF(COUNTIF($D$3:$D144,$D144)=6,D144&amp;"6",IF(COUNTIF($D$3:$D144,$D144)=7,D144&amp;"7",IF(COUNTIF($D$3:$D144,$D144)=8,D144&amp;"8",D144)))))))))</f>
        <v/>
      </c>
    </row>
    <row r="145" spans="4:5" x14ac:dyDescent="0.3">
      <c r="D145" s="3" t="str">
        <f t="shared" si="2"/>
        <v/>
      </c>
      <c r="E145" s="3" t="str">
        <f>IF(D145="","",IF(COUNTIF($D$3:$D145,$D145)=1,D145&amp;"1",IF(COUNTIF($D$3:$D145,$D145)=2,D145&amp;"2",IF(COUNTIF($D$3:$D145,$D145)=3,D145&amp;"3",IF(COUNTIF($D$3:$D145,$D145)=4,D145&amp;"4",IF(COUNTIF($D$3:$D145,$D145)=5,D145&amp;"5",IF(COUNTIF($D$3:$D145,$D145)=6,D145&amp;"6",IF(COUNTIF($D$3:$D145,$D145)=7,D145&amp;"7",IF(COUNTIF($D$3:$D145,$D145)=8,D145&amp;"8",D145)))))))))</f>
        <v/>
      </c>
    </row>
    <row r="146" spans="4:5" x14ac:dyDescent="0.3">
      <c r="D146" s="3" t="str">
        <f t="shared" si="2"/>
        <v/>
      </c>
      <c r="E146" s="3" t="str">
        <f>IF(D146="","",IF(COUNTIF($D$3:$D146,$D146)=1,D146&amp;"1",IF(COUNTIF($D$3:$D146,$D146)=2,D146&amp;"2",IF(COUNTIF($D$3:$D146,$D146)=3,D146&amp;"3",IF(COUNTIF($D$3:$D146,$D146)=4,D146&amp;"4",IF(COUNTIF($D$3:$D146,$D146)=5,D146&amp;"5",IF(COUNTIF($D$3:$D146,$D146)=6,D146&amp;"6",IF(COUNTIF($D$3:$D146,$D146)=7,D146&amp;"7",IF(COUNTIF($D$3:$D146,$D146)=8,D146&amp;"8",D146)))))))))</f>
        <v/>
      </c>
    </row>
    <row r="147" spans="4:5" x14ac:dyDescent="0.3">
      <c r="D147" s="3" t="str">
        <f t="shared" si="2"/>
        <v/>
      </c>
      <c r="E147" s="3" t="str">
        <f>IF(D147="","",IF(COUNTIF($D$3:$D147,$D147)=1,D147&amp;"1",IF(COUNTIF($D$3:$D147,$D147)=2,D147&amp;"2",IF(COUNTIF($D$3:$D147,$D147)=3,D147&amp;"3",IF(COUNTIF($D$3:$D147,$D147)=4,D147&amp;"4",IF(COUNTIF($D$3:$D147,$D147)=5,D147&amp;"5",IF(COUNTIF($D$3:$D147,$D147)=6,D147&amp;"6",IF(COUNTIF($D$3:$D147,$D147)=7,D147&amp;"7",IF(COUNTIF($D$3:$D147,$D147)=8,D147&amp;"8",D147)))))))))</f>
        <v/>
      </c>
    </row>
    <row r="148" spans="4:5" x14ac:dyDescent="0.3">
      <c r="D148" s="3" t="str">
        <f t="shared" si="2"/>
        <v/>
      </c>
      <c r="E148" s="3" t="str">
        <f>IF(D148="","",IF(COUNTIF($D$3:$D148,$D148)=1,D148&amp;"1",IF(COUNTIF($D$3:$D148,$D148)=2,D148&amp;"2",IF(COUNTIF($D$3:$D148,$D148)=3,D148&amp;"3",IF(COUNTIF($D$3:$D148,$D148)=4,D148&amp;"4",IF(COUNTIF($D$3:$D148,$D148)=5,D148&amp;"5",IF(COUNTIF($D$3:$D148,$D148)=6,D148&amp;"6",IF(COUNTIF($D$3:$D148,$D148)=7,D148&amp;"7",IF(COUNTIF($D$3:$D148,$D148)=8,D148&amp;"8",D148)))))))))</f>
        <v/>
      </c>
    </row>
    <row r="149" spans="4:5" x14ac:dyDescent="0.3">
      <c r="D149" s="3" t="str">
        <f t="shared" si="2"/>
        <v/>
      </c>
      <c r="E149" s="3" t="str">
        <f>IF(D149="","",IF(COUNTIF($D$3:$D149,$D149)=1,D149&amp;"1",IF(COUNTIF($D$3:$D149,$D149)=2,D149&amp;"2",IF(COUNTIF($D$3:$D149,$D149)=3,D149&amp;"3",IF(COUNTIF($D$3:$D149,$D149)=4,D149&amp;"4",IF(COUNTIF($D$3:$D149,$D149)=5,D149&amp;"5",IF(COUNTIF($D$3:$D149,$D149)=6,D149&amp;"6",IF(COUNTIF($D$3:$D149,$D149)=7,D149&amp;"7",IF(COUNTIF($D$3:$D149,$D149)=8,D149&amp;"8",D149)))))))))</f>
        <v/>
      </c>
    </row>
    <row r="150" spans="4:5" x14ac:dyDescent="0.3">
      <c r="D150" s="3" t="str">
        <f t="shared" si="2"/>
        <v/>
      </c>
      <c r="E150" s="3" t="str">
        <f>IF(D150="","",IF(COUNTIF($D$3:$D150,$D150)=1,D150&amp;"1",IF(COUNTIF($D$3:$D150,$D150)=2,D150&amp;"2",IF(COUNTIF($D$3:$D150,$D150)=3,D150&amp;"3",IF(COUNTIF($D$3:$D150,$D150)=4,D150&amp;"4",IF(COUNTIF($D$3:$D150,$D150)=5,D150&amp;"5",IF(COUNTIF($D$3:$D150,$D150)=6,D150&amp;"6",IF(COUNTIF($D$3:$D150,$D150)=7,D150&amp;"7",IF(COUNTIF($D$3:$D150,$D150)=8,D150&amp;"8",D150)))))))))</f>
        <v/>
      </c>
    </row>
    <row r="151" spans="4:5" x14ac:dyDescent="0.3">
      <c r="D151" s="3" t="str">
        <f t="shared" si="2"/>
        <v/>
      </c>
      <c r="E151" s="3" t="str">
        <f>IF(D151="","",IF(COUNTIF($D$3:$D151,$D151)=1,D151&amp;"1",IF(COUNTIF($D$3:$D151,$D151)=2,D151&amp;"2",IF(COUNTIF($D$3:$D151,$D151)=3,D151&amp;"3",IF(COUNTIF($D$3:$D151,$D151)=4,D151&amp;"4",IF(COUNTIF($D$3:$D151,$D151)=5,D151&amp;"5",IF(COUNTIF($D$3:$D151,$D151)=6,D151&amp;"6",IF(COUNTIF($D$3:$D151,$D151)=7,D151&amp;"7",IF(COUNTIF($D$3:$D151,$D151)=8,D151&amp;"8",D151)))))))))</f>
        <v/>
      </c>
    </row>
    <row r="152" spans="4:5" x14ac:dyDescent="0.3">
      <c r="D152" s="3" t="str">
        <f t="shared" si="2"/>
        <v/>
      </c>
      <c r="E152" s="3" t="str">
        <f>IF(D152="","",IF(COUNTIF($D$3:$D152,$D152)=1,D152&amp;"1",IF(COUNTIF($D$3:$D152,$D152)=2,D152&amp;"2",IF(COUNTIF($D$3:$D152,$D152)=3,D152&amp;"3",IF(COUNTIF($D$3:$D152,$D152)=4,D152&amp;"4",IF(COUNTIF($D$3:$D152,$D152)=5,D152&amp;"5",IF(COUNTIF($D$3:$D152,$D152)=6,D152&amp;"6",IF(COUNTIF($D$3:$D152,$D152)=7,D152&amp;"7",IF(COUNTIF($D$3:$D152,$D152)=8,D152&amp;"8",D152)))))))))</f>
        <v/>
      </c>
    </row>
    <row r="153" spans="4:5" x14ac:dyDescent="0.3">
      <c r="D153" s="3" t="str">
        <f t="shared" si="2"/>
        <v/>
      </c>
      <c r="E153" s="3" t="str">
        <f>IF(D153="","",IF(COUNTIF($D$3:$D153,$D153)=1,D153&amp;"1",IF(COUNTIF($D$3:$D153,$D153)=2,D153&amp;"2",IF(COUNTIF($D$3:$D153,$D153)=3,D153&amp;"3",IF(COUNTIF($D$3:$D153,$D153)=4,D153&amp;"4",IF(COUNTIF($D$3:$D153,$D153)=5,D153&amp;"5",IF(COUNTIF($D$3:$D153,$D153)=6,D153&amp;"6",IF(COUNTIF($D$3:$D153,$D153)=7,D153&amp;"7",IF(COUNTIF($D$3:$D153,$D153)=8,D153&amp;"8",D153)))))))))</f>
        <v/>
      </c>
    </row>
    <row r="154" spans="4:5" x14ac:dyDescent="0.3">
      <c r="D154" s="3" t="str">
        <f t="shared" si="2"/>
        <v/>
      </c>
      <c r="E154" s="3" t="str">
        <f>IF(D154="","",IF(COUNTIF($D$3:$D154,$D154)=1,D154&amp;"1",IF(COUNTIF($D$3:$D154,$D154)=2,D154&amp;"2",IF(COUNTIF($D$3:$D154,$D154)=3,D154&amp;"3",IF(COUNTIF($D$3:$D154,$D154)=4,D154&amp;"4",IF(COUNTIF($D$3:$D154,$D154)=5,D154&amp;"5",IF(COUNTIF($D$3:$D154,$D154)=6,D154&amp;"6",IF(COUNTIF($D$3:$D154,$D154)=7,D154&amp;"7",IF(COUNTIF($D$3:$D154,$D154)=8,D154&amp;"8",D154)))))))))</f>
        <v/>
      </c>
    </row>
    <row r="155" spans="4:5" x14ac:dyDescent="0.3">
      <c r="D155" s="3" t="str">
        <f t="shared" si="2"/>
        <v/>
      </c>
      <c r="E155" s="3" t="str">
        <f>IF(D155="","",IF(COUNTIF($D$3:$D155,$D155)=1,D155&amp;"1",IF(COUNTIF($D$3:$D155,$D155)=2,D155&amp;"2",IF(COUNTIF($D$3:$D155,$D155)=3,D155&amp;"3",IF(COUNTIF($D$3:$D155,$D155)=4,D155&amp;"4",IF(COUNTIF($D$3:$D155,$D155)=5,D155&amp;"5",IF(COUNTIF($D$3:$D155,$D155)=6,D155&amp;"6",IF(COUNTIF($D$3:$D155,$D155)=7,D155&amp;"7",IF(COUNTIF($D$3:$D155,$D155)=8,D155&amp;"8",D155)))))))))</f>
        <v/>
      </c>
    </row>
    <row r="156" spans="4:5" x14ac:dyDescent="0.3">
      <c r="D156" s="3" t="str">
        <f t="shared" si="2"/>
        <v/>
      </c>
      <c r="E156" s="3" t="str">
        <f>IF(D156="","",IF(COUNTIF($D$3:$D156,$D156)=1,D156&amp;"1",IF(COUNTIF($D$3:$D156,$D156)=2,D156&amp;"2",IF(COUNTIF($D$3:$D156,$D156)=3,D156&amp;"3",IF(COUNTIF($D$3:$D156,$D156)=4,D156&amp;"4",IF(COUNTIF($D$3:$D156,$D156)=5,D156&amp;"5",IF(COUNTIF($D$3:$D156,$D156)=6,D156&amp;"6",IF(COUNTIF($D$3:$D156,$D156)=7,D156&amp;"7",IF(COUNTIF($D$3:$D156,$D156)=8,D156&amp;"8",D156)))))))))</f>
        <v/>
      </c>
    </row>
    <row r="157" spans="4:5" x14ac:dyDescent="0.3">
      <c r="D157" s="3" t="str">
        <f t="shared" si="2"/>
        <v/>
      </c>
      <c r="E157" s="3" t="str">
        <f>IF(D157="","",IF(COUNTIF($D$3:$D157,$D157)=1,D157&amp;"1",IF(COUNTIF($D$3:$D157,$D157)=2,D157&amp;"2",IF(COUNTIF($D$3:$D157,$D157)=3,D157&amp;"3",IF(COUNTIF($D$3:$D157,$D157)=4,D157&amp;"4",IF(COUNTIF($D$3:$D157,$D157)=5,D157&amp;"5",IF(COUNTIF($D$3:$D157,$D157)=6,D157&amp;"6",IF(COUNTIF($D$3:$D157,$D157)=7,D157&amp;"7",IF(COUNTIF($D$3:$D157,$D157)=8,D157&amp;"8",D157)))))))))</f>
        <v/>
      </c>
    </row>
    <row r="158" spans="4:5" x14ac:dyDescent="0.3">
      <c r="D158" s="3" t="str">
        <f t="shared" si="2"/>
        <v/>
      </c>
      <c r="E158" s="3" t="str">
        <f>IF(D158="","",IF(COUNTIF($D$3:$D158,$D158)=1,D158&amp;"1",IF(COUNTIF($D$3:$D158,$D158)=2,D158&amp;"2",IF(COUNTIF($D$3:$D158,$D158)=3,D158&amp;"3",IF(COUNTIF($D$3:$D158,$D158)=4,D158&amp;"4",IF(COUNTIF($D$3:$D158,$D158)=5,D158&amp;"5",IF(COUNTIF($D$3:$D158,$D158)=6,D158&amp;"6",IF(COUNTIF($D$3:$D158,$D158)=7,D158&amp;"7",IF(COUNTIF($D$3:$D158,$D158)=8,D158&amp;"8",D158)))))))))</f>
        <v/>
      </c>
    </row>
    <row r="159" spans="4:5" x14ac:dyDescent="0.3">
      <c r="D159" s="3" t="str">
        <f t="shared" si="2"/>
        <v/>
      </c>
      <c r="E159" s="3" t="str">
        <f>IF(D159="","",IF(COUNTIF($D$3:$D159,$D159)=1,D159&amp;"1",IF(COUNTIF($D$3:$D159,$D159)=2,D159&amp;"2",IF(COUNTIF($D$3:$D159,$D159)=3,D159&amp;"3",IF(COUNTIF($D$3:$D159,$D159)=4,D159&amp;"4",IF(COUNTIF($D$3:$D159,$D159)=5,D159&amp;"5",IF(COUNTIF($D$3:$D159,$D159)=6,D159&amp;"6",IF(COUNTIF($D$3:$D159,$D159)=7,D159&amp;"7",IF(COUNTIF($D$3:$D159,$D159)=8,D159&amp;"8",D159)))))))))</f>
        <v/>
      </c>
    </row>
    <row r="160" spans="4:5" x14ac:dyDescent="0.3">
      <c r="D160" s="3" t="str">
        <f t="shared" si="2"/>
        <v/>
      </c>
      <c r="E160" s="3" t="str">
        <f>IF(D160="","",IF(COUNTIF($D$3:$D160,$D160)=1,D160&amp;"1",IF(COUNTIF($D$3:$D160,$D160)=2,D160&amp;"2",IF(COUNTIF($D$3:$D160,$D160)=3,D160&amp;"3",IF(COUNTIF($D$3:$D160,$D160)=4,D160&amp;"4",IF(COUNTIF($D$3:$D160,$D160)=5,D160&amp;"5",IF(COUNTIF($D$3:$D160,$D160)=6,D160&amp;"6",IF(COUNTIF($D$3:$D160,$D160)=7,D160&amp;"7",IF(COUNTIF($D$3:$D160,$D160)=8,D160&amp;"8",D160)))))))))</f>
        <v/>
      </c>
    </row>
    <row r="161" spans="4:5" x14ac:dyDescent="0.3">
      <c r="D161" s="3" t="str">
        <f t="shared" si="2"/>
        <v/>
      </c>
      <c r="E161" s="3" t="str">
        <f>IF(D161="","",IF(COUNTIF($D$3:$D161,$D161)=1,D161&amp;"1",IF(COUNTIF($D$3:$D161,$D161)=2,D161&amp;"2",IF(COUNTIF($D$3:$D161,$D161)=3,D161&amp;"3",IF(COUNTIF($D$3:$D161,$D161)=4,D161&amp;"4",IF(COUNTIF($D$3:$D161,$D161)=5,D161&amp;"5",IF(COUNTIF($D$3:$D161,$D161)=6,D161&amp;"6",IF(COUNTIF($D$3:$D161,$D161)=7,D161&amp;"7",IF(COUNTIF($D$3:$D161,$D161)=8,D161&amp;"8",D161)))))))))</f>
        <v/>
      </c>
    </row>
    <row r="162" spans="4:5" x14ac:dyDescent="0.3">
      <c r="D162" s="3" t="str">
        <f t="shared" si="2"/>
        <v/>
      </c>
      <c r="E162" s="3" t="str">
        <f>IF(D162="","",IF(COUNTIF($D$3:$D162,$D162)=1,D162&amp;"1",IF(COUNTIF($D$3:$D162,$D162)=2,D162&amp;"2",IF(COUNTIF($D$3:$D162,$D162)=3,D162&amp;"3",IF(COUNTIF($D$3:$D162,$D162)=4,D162&amp;"4",IF(COUNTIF($D$3:$D162,$D162)=5,D162&amp;"5",IF(COUNTIF($D$3:$D162,$D162)=6,D162&amp;"6",IF(COUNTIF($D$3:$D162,$D162)=7,D162&amp;"7",IF(COUNTIF($D$3:$D162,$D162)=8,D162&amp;"8",D162)))))))))</f>
        <v/>
      </c>
    </row>
    <row r="163" spans="4:5" x14ac:dyDescent="0.3">
      <c r="D163" s="3" t="str">
        <f t="shared" si="2"/>
        <v/>
      </c>
      <c r="E163" s="3" t="str">
        <f>IF(D163="","",IF(COUNTIF($D$3:$D163,$D163)=1,D163&amp;"1",IF(COUNTIF($D$3:$D163,$D163)=2,D163&amp;"2",IF(COUNTIF($D$3:$D163,$D163)=3,D163&amp;"3",IF(COUNTIF($D$3:$D163,$D163)=4,D163&amp;"4",IF(COUNTIF($D$3:$D163,$D163)=5,D163&amp;"5",IF(COUNTIF($D$3:$D163,$D163)=6,D163&amp;"6",IF(COUNTIF($D$3:$D163,$D163)=7,D163&amp;"7",IF(COUNTIF($D$3:$D163,$D163)=8,D163&amp;"8",D163)))))))))</f>
        <v/>
      </c>
    </row>
    <row r="164" spans="4:5" x14ac:dyDescent="0.3">
      <c r="D164" s="3" t="str">
        <f t="shared" si="2"/>
        <v/>
      </c>
      <c r="E164" s="3" t="str">
        <f>IF(D164="","",IF(COUNTIF($D$3:$D164,$D164)=1,D164&amp;"1",IF(COUNTIF($D$3:$D164,$D164)=2,D164&amp;"2",IF(COUNTIF($D$3:$D164,$D164)=3,D164&amp;"3",IF(COUNTIF($D$3:$D164,$D164)=4,D164&amp;"4",IF(COUNTIF($D$3:$D164,$D164)=5,D164&amp;"5",IF(COUNTIF($D$3:$D164,$D164)=6,D164&amp;"6",IF(COUNTIF($D$3:$D164,$D164)=7,D164&amp;"7",IF(COUNTIF($D$3:$D164,$D164)=8,D164&amp;"8",D164)))))))))</f>
        <v/>
      </c>
    </row>
    <row r="165" spans="4:5" x14ac:dyDescent="0.3">
      <c r="D165" s="3" t="str">
        <f t="shared" si="2"/>
        <v/>
      </c>
      <c r="E165" s="3" t="str">
        <f>IF(D165="","",IF(COUNTIF($D$3:$D165,$D165)=1,D165&amp;"1",IF(COUNTIF($D$3:$D165,$D165)=2,D165&amp;"2",IF(COUNTIF($D$3:$D165,$D165)=3,D165&amp;"3",IF(COUNTIF($D$3:$D165,$D165)=4,D165&amp;"4",IF(COUNTIF($D$3:$D165,$D165)=5,D165&amp;"5",IF(COUNTIF($D$3:$D165,$D165)=6,D165&amp;"6",IF(COUNTIF($D$3:$D165,$D165)=7,D165&amp;"7",IF(COUNTIF($D$3:$D165,$D165)=8,D165&amp;"8",D165)))))))))</f>
        <v/>
      </c>
    </row>
    <row r="166" spans="4:5" x14ac:dyDescent="0.3">
      <c r="D166" s="3" t="str">
        <f t="shared" si="2"/>
        <v/>
      </c>
      <c r="E166" s="3" t="str">
        <f>IF(D166="","",IF(COUNTIF($D$3:$D166,$D166)=1,D166&amp;"1",IF(COUNTIF($D$3:$D166,$D166)=2,D166&amp;"2",IF(COUNTIF($D$3:$D166,$D166)=3,D166&amp;"3",IF(COUNTIF($D$3:$D166,$D166)=4,D166&amp;"4",IF(COUNTIF($D$3:$D166,$D166)=5,D166&amp;"5",IF(COUNTIF($D$3:$D166,$D166)=6,D166&amp;"6",IF(COUNTIF($D$3:$D166,$D166)=7,D166&amp;"7",IF(COUNTIF($D$3:$D166,$D166)=8,D166&amp;"8",D166)))))))))</f>
        <v/>
      </c>
    </row>
    <row r="167" spans="4:5" x14ac:dyDescent="0.3">
      <c r="D167" s="3" t="str">
        <f t="shared" si="2"/>
        <v/>
      </c>
      <c r="E167" s="3" t="str">
        <f>IF(D167="","",IF(COUNTIF($D$3:$D167,$D167)=1,D167&amp;"1",IF(COUNTIF($D$3:$D167,$D167)=2,D167&amp;"2",IF(COUNTIF($D$3:$D167,$D167)=3,D167&amp;"3",IF(COUNTIF($D$3:$D167,$D167)=4,D167&amp;"4",IF(COUNTIF($D$3:$D167,$D167)=5,D167&amp;"5",IF(COUNTIF($D$3:$D167,$D167)=6,D167&amp;"6",IF(COUNTIF($D$3:$D167,$D167)=7,D167&amp;"7",IF(COUNTIF($D$3:$D167,$D167)=8,D167&amp;"8",D167)))))))))</f>
        <v/>
      </c>
    </row>
    <row r="168" spans="4:5" x14ac:dyDescent="0.3">
      <c r="D168" s="3" t="str">
        <f t="shared" si="2"/>
        <v/>
      </c>
      <c r="E168" s="3" t="str">
        <f>IF(D168="","",IF(COUNTIF($D$3:$D168,$D168)=1,D168&amp;"1",IF(COUNTIF($D$3:$D168,$D168)=2,D168&amp;"2",IF(COUNTIF($D$3:$D168,$D168)=3,D168&amp;"3",IF(COUNTIF($D$3:$D168,$D168)=4,D168&amp;"4",IF(COUNTIF($D$3:$D168,$D168)=5,D168&amp;"5",IF(COUNTIF($D$3:$D168,$D168)=6,D168&amp;"6",IF(COUNTIF($D$3:$D168,$D168)=7,D168&amp;"7",IF(COUNTIF($D$3:$D168,$D168)=8,D168&amp;"8",D168)))))))))</f>
        <v/>
      </c>
    </row>
    <row r="169" spans="4:5" x14ac:dyDescent="0.3">
      <c r="D169" s="3" t="str">
        <f t="shared" si="2"/>
        <v/>
      </c>
      <c r="E169" s="3" t="str">
        <f>IF(D169="","",IF(COUNTIF($D$3:$D169,$D169)=1,D169&amp;"1",IF(COUNTIF($D$3:$D169,$D169)=2,D169&amp;"2",IF(COUNTIF($D$3:$D169,$D169)=3,D169&amp;"3",IF(COUNTIF($D$3:$D169,$D169)=4,D169&amp;"4",IF(COUNTIF($D$3:$D169,$D169)=5,D169&amp;"5",IF(COUNTIF($D$3:$D169,$D169)=6,D169&amp;"6",IF(COUNTIF($D$3:$D169,$D169)=7,D169&amp;"7",IF(COUNTIF($D$3:$D169,$D169)=8,D169&amp;"8",D169)))))))))</f>
        <v/>
      </c>
    </row>
    <row r="170" spans="4:5" x14ac:dyDescent="0.3">
      <c r="D170" s="3" t="str">
        <f t="shared" si="2"/>
        <v/>
      </c>
      <c r="E170" s="3" t="str">
        <f>IF(D170="","",IF(COUNTIF($D$3:$D170,$D170)=1,D170&amp;"1",IF(COUNTIF($D$3:$D170,$D170)=2,D170&amp;"2",IF(COUNTIF($D$3:$D170,$D170)=3,D170&amp;"3",IF(COUNTIF($D$3:$D170,$D170)=4,D170&amp;"4",IF(COUNTIF($D$3:$D170,$D170)=5,D170&amp;"5",IF(COUNTIF($D$3:$D170,$D170)=6,D170&amp;"6",IF(COUNTIF($D$3:$D170,$D170)=7,D170&amp;"7",IF(COUNTIF($D$3:$D170,$D170)=8,D170&amp;"8",D170)))))))))</f>
        <v/>
      </c>
    </row>
    <row r="171" spans="4:5" x14ac:dyDescent="0.3">
      <c r="D171" s="3" t="str">
        <f t="shared" si="2"/>
        <v/>
      </c>
      <c r="E171" s="3" t="str">
        <f>IF(D171="","",IF(COUNTIF($D$3:$D171,$D171)=1,D171&amp;"1",IF(COUNTIF($D$3:$D171,$D171)=2,D171&amp;"2",IF(COUNTIF($D$3:$D171,$D171)=3,D171&amp;"3",IF(COUNTIF($D$3:$D171,$D171)=4,D171&amp;"4",IF(COUNTIF($D$3:$D171,$D171)=5,D171&amp;"5",IF(COUNTIF($D$3:$D171,$D171)=6,D171&amp;"6",IF(COUNTIF($D$3:$D171,$D171)=7,D171&amp;"7",IF(COUNTIF($D$3:$D171,$D171)=8,D171&amp;"8",D171)))))))))</f>
        <v/>
      </c>
    </row>
    <row r="172" spans="4:5" x14ac:dyDescent="0.3">
      <c r="D172" s="3" t="str">
        <f t="shared" si="2"/>
        <v/>
      </c>
      <c r="E172" s="3" t="str">
        <f>IF(D172="","",IF(COUNTIF($D$3:$D172,$D172)=1,D172&amp;"1",IF(COUNTIF($D$3:$D172,$D172)=2,D172&amp;"2",IF(COUNTIF($D$3:$D172,$D172)=3,D172&amp;"3",IF(COUNTIF($D$3:$D172,$D172)=4,D172&amp;"4",IF(COUNTIF($D$3:$D172,$D172)=5,D172&amp;"5",IF(COUNTIF($D$3:$D172,$D172)=6,D172&amp;"6",IF(COUNTIF($D$3:$D172,$D172)=7,D172&amp;"7",IF(COUNTIF($D$3:$D172,$D172)=8,D172&amp;"8",D172)))))))))</f>
        <v/>
      </c>
    </row>
    <row r="173" spans="4:5" x14ac:dyDescent="0.3">
      <c r="D173" s="3" t="str">
        <f t="shared" si="2"/>
        <v/>
      </c>
      <c r="E173" s="3" t="str">
        <f>IF(D173="","",IF(COUNTIF($D$3:$D173,$D173)=1,D173&amp;"1",IF(COUNTIF($D$3:$D173,$D173)=2,D173&amp;"2",IF(COUNTIF($D$3:$D173,$D173)=3,D173&amp;"3",IF(COUNTIF($D$3:$D173,$D173)=4,D173&amp;"4",IF(COUNTIF($D$3:$D173,$D173)=5,D173&amp;"5",IF(COUNTIF($D$3:$D173,$D173)=6,D173&amp;"6",IF(COUNTIF($D$3:$D173,$D173)=7,D173&amp;"7",IF(COUNTIF($D$3:$D173,$D173)=8,D173&amp;"8",D173)))))))))</f>
        <v/>
      </c>
    </row>
    <row r="174" spans="4:5" x14ac:dyDescent="0.3">
      <c r="D174" s="3" t="str">
        <f t="shared" si="2"/>
        <v/>
      </c>
      <c r="E174" s="3" t="str">
        <f>IF(D174="","",IF(COUNTIF($D$3:$D174,$D174)=1,D174&amp;"1",IF(COUNTIF($D$3:$D174,$D174)=2,D174&amp;"2",IF(COUNTIF($D$3:$D174,$D174)=3,D174&amp;"3",IF(COUNTIF($D$3:$D174,$D174)=4,D174&amp;"4",IF(COUNTIF($D$3:$D174,$D174)=5,D174&amp;"5",IF(COUNTIF($D$3:$D174,$D174)=6,D174&amp;"6",IF(COUNTIF($D$3:$D174,$D174)=7,D174&amp;"7",IF(COUNTIF($D$3:$D174,$D174)=8,D174&amp;"8",D174)))))))))</f>
        <v/>
      </c>
    </row>
    <row r="175" spans="4:5" x14ac:dyDescent="0.3">
      <c r="D175" s="3" t="str">
        <f t="shared" si="2"/>
        <v/>
      </c>
      <c r="E175" s="3" t="str">
        <f>IF(D175="","",IF(COUNTIF($D$3:$D175,$D175)=1,D175&amp;"1",IF(COUNTIF($D$3:$D175,$D175)=2,D175&amp;"2",IF(COUNTIF($D$3:$D175,$D175)=3,D175&amp;"3",IF(COUNTIF($D$3:$D175,$D175)=4,D175&amp;"4",IF(COUNTIF($D$3:$D175,$D175)=5,D175&amp;"5",IF(COUNTIF($D$3:$D175,$D175)=6,D175&amp;"6",IF(COUNTIF($D$3:$D175,$D175)=7,D175&amp;"7",IF(COUNTIF($D$3:$D175,$D175)=8,D175&amp;"8",D175)))))))))</f>
        <v/>
      </c>
    </row>
    <row r="176" spans="4:5" x14ac:dyDescent="0.3">
      <c r="D176" s="3" t="str">
        <f t="shared" si="2"/>
        <v/>
      </c>
      <c r="E176" s="3" t="str">
        <f>IF(D176="","",IF(COUNTIF($D$3:$D176,$D176)=1,D176&amp;"1",IF(COUNTIF($D$3:$D176,$D176)=2,D176&amp;"2",IF(COUNTIF($D$3:$D176,$D176)=3,D176&amp;"3",IF(COUNTIF($D$3:$D176,$D176)=4,D176&amp;"4",IF(COUNTIF($D$3:$D176,$D176)=5,D176&amp;"5",IF(COUNTIF($D$3:$D176,$D176)=6,D176&amp;"6",IF(COUNTIF($D$3:$D176,$D176)=7,D176&amp;"7",IF(COUNTIF($D$3:$D176,$D176)=8,D176&amp;"8",D176)))))))))</f>
        <v/>
      </c>
    </row>
    <row r="177" spans="4:5" x14ac:dyDescent="0.3">
      <c r="D177" s="3" t="str">
        <f t="shared" si="2"/>
        <v/>
      </c>
      <c r="E177" s="3" t="str">
        <f>IF(D177="","",IF(COUNTIF($D$3:$D177,$D177)=1,D177&amp;"1",IF(COUNTIF($D$3:$D177,$D177)=2,D177&amp;"2",IF(COUNTIF($D$3:$D177,$D177)=3,D177&amp;"3",IF(COUNTIF($D$3:$D177,$D177)=4,D177&amp;"4",IF(COUNTIF($D$3:$D177,$D177)=5,D177&amp;"5",IF(COUNTIF($D$3:$D177,$D177)=6,D177&amp;"6",IF(COUNTIF($D$3:$D177,$D177)=7,D177&amp;"7",IF(COUNTIF($D$3:$D177,$D177)=8,D177&amp;"8",D177)))))))))</f>
        <v/>
      </c>
    </row>
    <row r="178" spans="4:5" x14ac:dyDescent="0.3">
      <c r="D178" s="3" t="str">
        <f t="shared" si="2"/>
        <v/>
      </c>
      <c r="E178" s="3" t="str">
        <f>IF(D178="","",IF(COUNTIF($D$3:$D178,$D178)=1,D178&amp;"1",IF(COUNTIF($D$3:$D178,$D178)=2,D178&amp;"2",IF(COUNTIF($D$3:$D178,$D178)=3,D178&amp;"3",IF(COUNTIF($D$3:$D178,$D178)=4,D178&amp;"4",IF(COUNTIF($D$3:$D178,$D178)=5,D178&amp;"5",IF(COUNTIF($D$3:$D178,$D178)=6,D178&amp;"6",IF(COUNTIF($D$3:$D178,$D178)=7,D178&amp;"7",IF(COUNTIF($D$3:$D178,$D178)=8,D178&amp;"8",D178)))))))))</f>
        <v/>
      </c>
    </row>
    <row r="179" spans="4:5" x14ac:dyDescent="0.3">
      <c r="D179" s="3" t="str">
        <f t="shared" si="2"/>
        <v/>
      </c>
      <c r="E179" s="3" t="str">
        <f>IF(D179="","",IF(COUNTIF($D$3:$D179,$D179)=1,D179&amp;"1",IF(COUNTIF($D$3:$D179,$D179)=2,D179&amp;"2",IF(COUNTIF($D$3:$D179,$D179)=3,D179&amp;"3",IF(COUNTIF($D$3:$D179,$D179)=4,D179&amp;"4",IF(COUNTIF($D$3:$D179,$D179)=5,D179&amp;"5",IF(COUNTIF($D$3:$D179,$D179)=6,D179&amp;"6",IF(COUNTIF($D$3:$D179,$D179)=7,D179&amp;"7",IF(COUNTIF($D$3:$D179,$D179)=8,D179&amp;"8",D179)))))))))</f>
        <v/>
      </c>
    </row>
    <row r="180" spans="4:5" x14ac:dyDescent="0.3">
      <c r="D180" s="3" t="str">
        <f t="shared" si="2"/>
        <v/>
      </c>
      <c r="E180" s="3" t="str">
        <f>IF(D180="","",IF(COUNTIF($D$3:$D180,$D180)=1,D180&amp;"1",IF(COUNTIF($D$3:$D180,$D180)=2,D180&amp;"2",IF(COUNTIF($D$3:$D180,$D180)=3,D180&amp;"3",IF(COUNTIF($D$3:$D180,$D180)=4,D180&amp;"4",IF(COUNTIF($D$3:$D180,$D180)=5,D180&amp;"5",IF(COUNTIF($D$3:$D180,$D180)=6,D180&amp;"6",IF(COUNTIF($D$3:$D180,$D180)=7,D180&amp;"7",IF(COUNTIF($D$3:$D180,$D180)=8,D180&amp;"8",D180)))))))))</f>
        <v/>
      </c>
    </row>
    <row r="181" spans="4:5" x14ac:dyDescent="0.3">
      <c r="D181" s="3" t="str">
        <f t="shared" si="2"/>
        <v/>
      </c>
      <c r="E181" s="3" t="str">
        <f>IF(D181="","",IF(COUNTIF($D$3:$D181,$D181)=1,D181&amp;"1",IF(COUNTIF($D$3:$D181,$D181)=2,D181&amp;"2",IF(COUNTIF($D$3:$D181,$D181)=3,D181&amp;"3",IF(COUNTIF($D$3:$D181,$D181)=4,D181&amp;"4",IF(COUNTIF($D$3:$D181,$D181)=5,D181&amp;"5",IF(COUNTIF($D$3:$D181,$D181)=6,D181&amp;"6",IF(COUNTIF($D$3:$D181,$D181)=7,D181&amp;"7",IF(COUNTIF($D$3:$D181,$D181)=8,D181&amp;"8",D181)))))))))</f>
        <v/>
      </c>
    </row>
    <row r="182" spans="4:5" x14ac:dyDescent="0.3">
      <c r="D182" s="3" t="str">
        <f t="shared" si="2"/>
        <v/>
      </c>
      <c r="E182" s="3" t="str">
        <f>IF(D182="","",IF(COUNTIF($D$3:$D182,$D182)=1,D182&amp;"1",IF(COUNTIF($D$3:$D182,$D182)=2,D182&amp;"2",IF(COUNTIF($D$3:$D182,$D182)=3,D182&amp;"3",IF(COUNTIF($D$3:$D182,$D182)=4,D182&amp;"4",IF(COUNTIF($D$3:$D182,$D182)=5,D182&amp;"5",IF(COUNTIF($D$3:$D182,$D182)=6,D182&amp;"6",IF(COUNTIF($D$3:$D182,$D182)=7,D182&amp;"7",IF(COUNTIF($D$3:$D182,$D182)=8,D182&amp;"8",D182)))))))))</f>
        <v/>
      </c>
    </row>
    <row r="183" spans="4:5" x14ac:dyDescent="0.3">
      <c r="D183" s="3" t="str">
        <f t="shared" si="2"/>
        <v/>
      </c>
      <c r="E183" s="3" t="str">
        <f>IF(D183="","",IF(COUNTIF($D$3:$D183,$D183)=1,D183&amp;"1",IF(COUNTIF($D$3:$D183,$D183)=2,D183&amp;"2",IF(COUNTIF($D$3:$D183,$D183)=3,D183&amp;"3",IF(COUNTIF($D$3:$D183,$D183)=4,D183&amp;"4",IF(COUNTIF($D$3:$D183,$D183)=5,D183&amp;"5",IF(COUNTIF($D$3:$D183,$D183)=6,D183&amp;"6",IF(COUNTIF($D$3:$D183,$D183)=7,D183&amp;"7",IF(COUNTIF($D$3:$D183,$D183)=8,D183&amp;"8",D183)))))))))</f>
        <v/>
      </c>
    </row>
    <row r="184" spans="4:5" x14ac:dyDescent="0.3">
      <c r="D184" s="3" t="str">
        <f t="shared" si="2"/>
        <v/>
      </c>
      <c r="E184" s="3" t="str">
        <f>IF(D184="","",IF(COUNTIF($D$3:$D184,$D184)=1,D184&amp;"1",IF(COUNTIF($D$3:$D184,$D184)=2,D184&amp;"2",IF(COUNTIF($D$3:$D184,$D184)=3,D184&amp;"3",IF(COUNTIF($D$3:$D184,$D184)=4,D184&amp;"4",IF(COUNTIF($D$3:$D184,$D184)=5,D184&amp;"5",IF(COUNTIF($D$3:$D184,$D184)=6,D184&amp;"6",IF(COUNTIF($D$3:$D184,$D184)=7,D184&amp;"7",IF(COUNTIF($D$3:$D184,$D184)=8,D184&amp;"8",D184)))))))))</f>
        <v/>
      </c>
    </row>
    <row r="185" spans="4:5" x14ac:dyDescent="0.3">
      <c r="D185" s="3" t="str">
        <f t="shared" si="2"/>
        <v/>
      </c>
      <c r="E185" s="3" t="str">
        <f>IF(D185="","",IF(COUNTIF($D$3:$D185,$D185)=1,D185&amp;"1",IF(COUNTIF($D$3:$D185,$D185)=2,D185&amp;"2",IF(COUNTIF($D$3:$D185,$D185)=3,D185&amp;"3",IF(COUNTIF($D$3:$D185,$D185)=4,D185&amp;"4",IF(COUNTIF($D$3:$D185,$D185)=5,D185&amp;"5",IF(COUNTIF($D$3:$D185,$D185)=6,D185&amp;"6",IF(COUNTIF($D$3:$D185,$D185)=7,D185&amp;"7",IF(COUNTIF($D$3:$D185,$D185)=8,D185&amp;"8",D185)))))))))</f>
        <v/>
      </c>
    </row>
    <row r="186" spans="4:5" x14ac:dyDescent="0.3">
      <c r="D186" s="3" t="str">
        <f t="shared" si="2"/>
        <v/>
      </c>
      <c r="E186" s="3" t="str">
        <f>IF(D186="","",IF(COUNTIF($D$3:$D186,$D186)=1,D186&amp;"1",IF(COUNTIF($D$3:$D186,$D186)=2,D186&amp;"2",IF(COUNTIF($D$3:$D186,$D186)=3,D186&amp;"3",IF(COUNTIF($D$3:$D186,$D186)=4,D186&amp;"4",IF(COUNTIF($D$3:$D186,$D186)=5,D186&amp;"5",IF(COUNTIF($D$3:$D186,$D186)=6,D186&amp;"6",IF(COUNTIF($D$3:$D186,$D186)=7,D186&amp;"7",IF(COUNTIF($D$3:$D186,$D186)=8,D186&amp;"8",D186)))))))))</f>
        <v/>
      </c>
    </row>
    <row r="187" spans="4:5" x14ac:dyDescent="0.3">
      <c r="D187" s="3" t="str">
        <f t="shared" si="2"/>
        <v/>
      </c>
      <c r="E187" s="3" t="str">
        <f>IF(D187="","",IF(COUNTIF($D$3:$D187,$D187)=1,D187&amp;"1",IF(COUNTIF($D$3:$D187,$D187)=2,D187&amp;"2",IF(COUNTIF($D$3:$D187,$D187)=3,D187&amp;"3",IF(COUNTIF($D$3:$D187,$D187)=4,D187&amp;"4",IF(COUNTIF($D$3:$D187,$D187)=5,D187&amp;"5",IF(COUNTIF($D$3:$D187,$D187)=6,D187&amp;"6",IF(COUNTIF($D$3:$D187,$D187)=7,D187&amp;"7",IF(COUNTIF($D$3:$D187,$D187)=8,D187&amp;"8",D187)))))))))</f>
        <v/>
      </c>
    </row>
    <row r="188" spans="4:5" x14ac:dyDescent="0.3">
      <c r="D188" s="3" t="str">
        <f t="shared" si="2"/>
        <v/>
      </c>
      <c r="E188" s="3" t="str">
        <f>IF(D188="","",IF(COUNTIF($D$3:$D188,$D188)=1,D188&amp;"1",IF(COUNTIF($D$3:$D188,$D188)=2,D188&amp;"2",IF(COUNTIF($D$3:$D188,$D188)=3,D188&amp;"3",IF(COUNTIF($D$3:$D188,$D188)=4,D188&amp;"4",IF(COUNTIF($D$3:$D188,$D188)=5,D188&amp;"5",IF(COUNTIF($D$3:$D188,$D188)=6,D188&amp;"6",IF(COUNTIF($D$3:$D188,$D188)=7,D188&amp;"7",IF(COUNTIF($D$3:$D188,$D188)=8,D188&amp;"8",D188)))))))))</f>
        <v/>
      </c>
    </row>
    <row r="189" spans="4:5" x14ac:dyDescent="0.3">
      <c r="D189" s="3" t="str">
        <f t="shared" si="2"/>
        <v/>
      </c>
      <c r="E189" s="3" t="str">
        <f>IF(D189="","",IF(COUNTIF($D$3:$D189,$D189)=1,D189&amp;"1",IF(COUNTIF($D$3:$D189,$D189)=2,D189&amp;"2",IF(COUNTIF($D$3:$D189,$D189)=3,D189&amp;"3",IF(COUNTIF($D$3:$D189,$D189)=4,D189&amp;"4",IF(COUNTIF($D$3:$D189,$D189)=5,D189&amp;"5",IF(COUNTIF($D$3:$D189,$D189)=6,D189&amp;"6",IF(COUNTIF($D$3:$D189,$D189)=7,D189&amp;"7",IF(COUNTIF($D$3:$D189,$D189)=8,D189&amp;"8",D189)))))))))</f>
        <v/>
      </c>
    </row>
    <row r="190" spans="4:5" x14ac:dyDescent="0.3">
      <c r="D190" s="3" t="str">
        <f t="shared" si="2"/>
        <v/>
      </c>
      <c r="E190" s="3" t="str">
        <f>IF(D190="","",IF(COUNTIF($D$3:$D190,$D190)=1,D190&amp;"1",IF(COUNTIF($D$3:$D190,$D190)=2,D190&amp;"2",IF(COUNTIF($D$3:$D190,$D190)=3,D190&amp;"3",IF(COUNTIF($D$3:$D190,$D190)=4,D190&amp;"4",IF(COUNTIF($D$3:$D190,$D190)=5,D190&amp;"5",IF(COUNTIF($D$3:$D190,$D190)=6,D190&amp;"6",IF(COUNTIF($D$3:$D190,$D190)=7,D190&amp;"7",IF(COUNTIF($D$3:$D190,$D190)=8,D190&amp;"8",D190)))))))))</f>
        <v/>
      </c>
    </row>
    <row r="191" spans="4:5" x14ac:dyDescent="0.3">
      <c r="D191" s="3" t="str">
        <f t="shared" si="2"/>
        <v/>
      </c>
      <c r="E191" s="3" t="str">
        <f>IF(D191="","",IF(COUNTIF($D$3:$D191,$D191)=1,D191&amp;"1",IF(COUNTIF($D$3:$D191,$D191)=2,D191&amp;"2",IF(COUNTIF($D$3:$D191,$D191)=3,D191&amp;"3",IF(COUNTIF($D$3:$D191,$D191)=4,D191&amp;"4",IF(COUNTIF($D$3:$D191,$D191)=5,D191&amp;"5",IF(COUNTIF($D$3:$D191,$D191)=6,D191&amp;"6",IF(COUNTIF($D$3:$D191,$D191)=7,D191&amp;"7",IF(COUNTIF($D$3:$D191,$D191)=8,D191&amp;"8",D191)))))))))</f>
        <v/>
      </c>
    </row>
    <row r="192" spans="4:5" x14ac:dyDescent="0.3">
      <c r="D192" s="3" t="str">
        <f t="shared" si="2"/>
        <v/>
      </c>
      <c r="E192" s="3" t="str">
        <f>IF(D192="","",IF(COUNTIF($D$3:$D192,$D192)=1,D192&amp;"1",IF(COUNTIF($D$3:$D192,$D192)=2,D192&amp;"2",IF(COUNTIF($D$3:$D192,$D192)=3,D192&amp;"3",IF(COUNTIF($D$3:$D192,$D192)=4,D192&amp;"4",IF(COUNTIF($D$3:$D192,$D192)=5,D192&amp;"5",IF(COUNTIF($D$3:$D192,$D192)=6,D192&amp;"6",IF(COUNTIF($D$3:$D192,$D192)=7,D192&amp;"7",IF(COUNTIF($D$3:$D192,$D192)=8,D192&amp;"8",D192)))))))))</f>
        <v/>
      </c>
    </row>
    <row r="193" spans="4:5" x14ac:dyDescent="0.3">
      <c r="D193" s="3" t="str">
        <f t="shared" si="2"/>
        <v/>
      </c>
      <c r="E193" s="3" t="str">
        <f>IF(D193="","",IF(COUNTIF($D$3:$D193,$D193)=1,D193&amp;"1",IF(COUNTIF($D$3:$D193,$D193)=2,D193&amp;"2",IF(COUNTIF($D$3:$D193,$D193)=3,D193&amp;"3",IF(COUNTIF($D$3:$D193,$D193)=4,D193&amp;"4",IF(COUNTIF($D$3:$D193,$D193)=5,D193&amp;"5",IF(COUNTIF($D$3:$D193,$D193)=6,D193&amp;"6",IF(COUNTIF($D$3:$D193,$D193)=7,D193&amp;"7",IF(COUNTIF($D$3:$D193,$D193)=8,D193&amp;"8",D193)))))))))</f>
        <v/>
      </c>
    </row>
    <row r="194" spans="4:5" x14ac:dyDescent="0.3">
      <c r="D194" s="3" t="str">
        <f t="shared" si="2"/>
        <v/>
      </c>
      <c r="E194" s="3" t="str">
        <f>IF(D194="","",IF(COUNTIF($D$3:$D194,$D194)=1,D194&amp;"1",IF(COUNTIF($D$3:$D194,$D194)=2,D194&amp;"2",IF(COUNTIF($D$3:$D194,$D194)=3,D194&amp;"3",IF(COUNTIF($D$3:$D194,$D194)=4,D194&amp;"4",IF(COUNTIF($D$3:$D194,$D194)=5,D194&amp;"5",IF(COUNTIF($D$3:$D194,$D194)=6,D194&amp;"6",IF(COUNTIF($D$3:$D194,$D194)=7,D194&amp;"7",IF(COUNTIF($D$3:$D194,$D194)=8,D194&amp;"8",D194)))))))))</f>
        <v/>
      </c>
    </row>
    <row r="195" spans="4:5" x14ac:dyDescent="0.3">
      <c r="D195" s="3" t="str">
        <f t="shared" si="2"/>
        <v/>
      </c>
      <c r="E195" s="3" t="str">
        <f>IF(D195="","",IF(COUNTIF($D$3:$D195,$D195)=1,D195&amp;"1",IF(COUNTIF($D$3:$D195,$D195)=2,D195&amp;"2",IF(COUNTIF($D$3:$D195,$D195)=3,D195&amp;"3",IF(COUNTIF($D$3:$D195,$D195)=4,D195&amp;"4",IF(COUNTIF($D$3:$D195,$D195)=5,D195&amp;"5",IF(COUNTIF($D$3:$D195,$D195)=6,D195&amp;"6",IF(COUNTIF($D$3:$D195,$D195)=7,D195&amp;"7",IF(COUNTIF($D$3:$D195,$D195)=8,D195&amp;"8",D195)))))))))</f>
        <v/>
      </c>
    </row>
    <row r="196" spans="4:5" x14ac:dyDescent="0.3">
      <c r="D196" s="3" t="str">
        <f t="shared" ref="D196:D259" si="3">B196&amp;C196</f>
        <v/>
      </c>
      <c r="E196" s="3" t="str">
        <f>IF(D196="","",IF(COUNTIF($D$3:$D196,$D196)=1,D196&amp;"1",IF(COUNTIF($D$3:$D196,$D196)=2,D196&amp;"2",IF(COUNTIF($D$3:$D196,$D196)=3,D196&amp;"3",IF(COUNTIF($D$3:$D196,$D196)=4,D196&amp;"4",IF(COUNTIF($D$3:$D196,$D196)=5,D196&amp;"5",IF(COUNTIF($D$3:$D196,$D196)=6,D196&amp;"6",IF(COUNTIF($D$3:$D196,$D196)=7,D196&amp;"7",IF(COUNTIF($D$3:$D196,$D196)=8,D196&amp;"8",D196)))))))))</f>
        <v/>
      </c>
    </row>
    <row r="197" spans="4:5" x14ac:dyDescent="0.3">
      <c r="D197" s="3" t="str">
        <f t="shared" si="3"/>
        <v/>
      </c>
      <c r="E197" s="3" t="str">
        <f>IF(D197="","",IF(COUNTIF($D$3:$D197,$D197)=1,D197&amp;"1",IF(COUNTIF($D$3:$D197,$D197)=2,D197&amp;"2",IF(COUNTIF($D$3:$D197,$D197)=3,D197&amp;"3",IF(COUNTIF($D$3:$D197,$D197)=4,D197&amp;"4",IF(COUNTIF($D$3:$D197,$D197)=5,D197&amp;"5",IF(COUNTIF($D$3:$D197,$D197)=6,D197&amp;"6",IF(COUNTIF($D$3:$D197,$D197)=7,D197&amp;"7",IF(COUNTIF($D$3:$D197,$D197)=8,D197&amp;"8",D197)))))))))</f>
        <v/>
      </c>
    </row>
    <row r="198" spans="4:5" x14ac:dyDescent="0.3">
      <c r="D198" s="3" t="str">
        <f t="shared" si="3"/>
        <v/>
      </c>
      <c r="E198" s="3" t="str">
        <f>IF(D198="","",IF(COUNTIF($D$3:$D198,$D198)=1,D198&amp;"1",IF(COUNTIF($D$3:$D198,$D198)=2,D198&amp;"2",IF(COUNTIF($D$3:$D198,$D198)=3,D198&amp;"3",IF(COUNTIF($D$3:$D198,$D198)=4,D198&amp;"4",IF(COUNTIF($D$3:$D198,$D198)=5,D198&amp;"5",IF(COUNTIF($D$3:$D198,$D198)=6,D198&amp;"6",IF(COUNTIF($D$3:$D198,$D198)=7,D198&amp;"7",IF(COUNTIF($D$3:$D198,$D198)=8,D198&amp;"8",D198)))))))))</f>
        <v/>
      </c>
    </row>
    <row r="199" spans="4:5" x14ac:dyDescent="0.3">
      <c r="D199" s="3" t="str">
        <f t="shared" si="3"/>
        <v/>
      </c>
      <c r="E199" s="3" t="str">
        <f>IF(D199="","",IF(COUNTIF($D$3:$D199,$D199)=1,D199&amp;"1",IF(COUNTIF($D$3:$D199,$D199)=2,D199&amp;"2",IF(COUNTIF($D$3:$D199,$D199)=3,D199&amp;"3",IF(COUNTIF($D$3:$D199,$D199)=4,D199&amp;"4",IF(COUNTIF($D$3:$D199,$D199)=5,D199&amp;"5",IF(COUNTIF($D$3:$D199,$D199)=6,D199&amp;"6",IF(COUNTIF($D$3:$D199,$D199)=7,D199&amp;"7",IF(COUNTIF($D$3:$D199,$D199)=8,D199&amp;"8",D199)))))))))</f>
        <v/>
      </c>
    </row>
    <row r="200" spans="4:5" x14ac:dyDescent="0.3">
      <c r="D200" s="3" t="str">
        <f t="shared" si="3"/>
        <v/>
      </c>
      <c r="E200" s="3" t="str">
        <f>IF(D200="","",IF(COUNTIF($D$3:$D200,$D200)=1,D200&amp;"1",IF(COUNTIF($D$3:$D200,$D200)=2,D200&amp;"2",IF(COUNTIF($D$3:$D200,$D200)=3,D200&amp;"3",IF(COUNTIF($D$3:$D200,$D200)=4,D200&amp;"4",IF(COUNTIF($D$3:$D200,$D200)=5,D200&amp;"5",IF(COUNTIF($D$3:$D200,$D200)=6,D200&amp;"6",IF(COUNTIF($D$3:$D200,$D200)=7,D200&amp;"7",IF(COUNTIF($D$3:$D200,$D200)=8,D200&amp;"8",D200)))))))))</f>
        <v/>
      </c>
    </row>
    <row r="201" spans="4:5" x14ac:dyDescent="0.3">
      <c r="D201" s="3" t="str">
        <f t="shared" si="3"/>
        <v/>
      </c>
      <c r="E201" s="3" t="str">
        <f>IF(D201="","",IF(COUNTIF($D$3:$D201,$D201)=1,D201&amp;"1",IF(COUNTIF($D$3:$D201,$D201)=2,D201&amp;"2",IF(COUNTIF($D$3:$D201,$D201)=3,D201&amp;"3",IF(COUNTIF($D$3:$D201,$D201)=4,D201&amp;"4",IF(COUNTIF($D$3:$D201,$D201)=5,D201&amp;"5",IF(COUNTIF($D$3:$D201,$D201)=6,D201&amp;"6",IF(COUNTIF($D$3:$D201,$D201)=7,D201&amp;"7",IF(COUNTIF($D$3:$D201,$D201)=8,D201&amp;"8",D201)))))))))</f>
        <v/>
      </c>
    </row>
    <row r="202" spans="4:5" x14ac:dyDescent="0.3">
      <c r="D202" s="3" t="str">
        <f t="shared" si="3"/>
        <v/>
      </c>
      <c r="E202" s="3" t="str">
        <f>IF(D202="","",IF(COUNTIF($D$3:$D202,$D202)=1,D202&amp;"1",IF(COUNTIF($D$3:$D202,$D202)=2,D202&amp;"2",IF(COUNTIF($D$3:$D202,$D202)=3,D202&amp;"3",IF(COUNTIF($D$3:$D202,$D202)=4,D202&amp;"4",IF(COUNTIF($D$3:$D202,$D202)=5,D202&amp;"5",IF(COUNTIF($D$3:$D202,$D202)=6,D202&amp;"6",IF(COUNTIF($D$3:$D202,$D202)=7,D202&amp;"7",IF(COUNTIF($D$3:$D202,$D202)=8,D202&amp;"8",D202)))))))))</f>
        <v/>
      </c>
    </row>
    <row r="203" spans="4:5" x14ac:dyDescent="0.3">
      <c r="D203" s="3" t="str">
        <f t="shared" si="3"/>
        <v/>
      </c>
      <c r="E203" s="3" t="str">
        <f>IF(D203="","",IF(COUNTIF($D$3:$D203,$D203)=1,D203&amp;"1",IF(COUNTIF($D$3:$D203,$D203)=2,D203&amp;"2",IF(COUNTIF($D$3:$D203,$D203)=3,D203&amp;"3",IF(COUNTIF($D$3:$D203,$D203)=4,D203&amp;"4",IF(COUNTIF($D$3:$D203,$D203)=5,D203&amp;"5",IF(COUNTIF($D$3:$D203,$D203)=6,D203&amp;"6",IF(COUNTIF($D$3:$D203,$D203)=7,D203&amp;"7",IF(COUNTIF($D$3:$D203,$D203)=8,D203&amp;"8",D203)))))))))</f>
        <v/>
      </c>
    </row>
    <row r="204" spans="4:5" x14ac:dyDescent="0.3">
      <c r="D204" s="3" t="str">
        <f t="shared" si="3"/>
        <v/>
      </c>
      <c r="E204" s="3" t="str">
        <f>IF(D204="","",IF(COUNTIF($D$3:$D204,$D204)=1,D204&amp;"1",IF(COUNTIF($D$3:$D204,$D204)=2,D204&amp;"2",IF(COUNTIF($D$3:$D204,$D204)=3,D204&amp;"3",IF(COUNTIF($D$3:$D204,$D204)=4,D204&amp;"4",IF(COUNTIF($D$3:$D204,$D204)=5,D204&amp;"5",IF(COUNTIF($D$3:$D204,$D204)=6,D204&amp;"6",IF(COUNTIF($D$3:$D204,$D204)=7,D204&amp;"7",IF(COUNTIF($D$3:$D204,$D204)=8,D204&amp;"8",D204)))))))))</f>
        <v/>
      </c>
    </row>
    <row r="205" spans="4:5" x14ac:dyDescent="0.3">
      <c r="D205" s="3" t="str">
        <f t="shared" si="3"/>
        <v/>
      </c>
      <c r="E205" s="3" t="str">
        <f>IF(D205="","",IF(COUNTIF($D$3:$D205,$D205)=1,D205&amp;"1",IF(COUNTIF($D$3:$D205,$D205)=2,D205&amp;"2",IF(COUNTIF($D$3:$D205,$D205)=3,D205&amp;"3",IF(COUNTIF($D$3:$D205,$D205)=4,D205&amp;"4",IF(COUNTIF($D$3:$D205,$D205)=5,D205&amp;"5",IF(COUNTIF($D$3:$D205,$D205)=6,D205&amp;"6",IF(COUNTIF($D$3:$D205,$D205)=7,D205&amp;"7",IF(COUNTIF($D$3:$D205,$D205)=8,D205&amp;"8",D205)))))))))</f>
        <v/>
      </c>
    </row>
    <row r="206" spans="4:5" x14ac:dyDescent="0.3">
      <c r="D206" s="3" t="str">
        <f t="shared" si="3"/>
        <v/>
      </c>
      <c r="E206" s="3" t="str">
        <f>IF(D206="","",IF(COUNTIF($D$3:$D206,$D206)=1,D206&amp;"1",IF(COUNTIF($D$3:$D206,$D206)=2,D206&amp;"2",IF(COUNTIF($D$3:$D206,$D206)=3,D206&amp;"3",IF(COUNTIF($D$3:$D206,$D206)=4,D206&amp;"4",IF(COUNTIF($D$3:$D206,$D206)=5,D206&amp;"5",IF(COUNTIF($D$3:$D206,$D206)=6,D206&amp;"6",IF(COUNTIF($D$3:$D206,$D206)=7,D206&amp;"7",IF(COUNTIF($D$3:$D206,$D206)=8,D206&amp;"8",D206)))))))))</f>
        <v/>
      </c>
    </row>
    <row r="207" spans="4:5" x14ac:dyDescent="0.3">
      <c r="D207" s="3" t="str">
        <f t="shared" si="3"/>
        <v/>
      </c>
      <c r="E207" s="3" t="str">
        <f>IF(D207="","",IF(COUNTIF($D$3:$D207,$D207)=1,D207&amp;"1",IF(COUNTIF($D$3:$D207,$D207)=2,D207&amp;"2",IF(COUNTIF($D$3:$D207,$D207)=3,D207&amp;"3",IF(COUNTIF($D$3:$D207,$D207)=4,D207&amp;"4",IF(COUNTIF($D$3:$D207,$D207)=5,D207&amp;"5",IF(COUNTIF($D$3:$D207,$D207)=6,D207&amp;"6",IF(COUNTIF($D$3:$D207,$D207)=7,D207&amp;"7",IF(COUNTIF($D$3:$D207,$D207)=8,D207&amp;"8",D207)))))))))</f>
        <v/>
      </c>
    </row>
    <row r="208" spans="4:5" x14ac:dyDescent="0.3">
      <c r="D208" s="3" t="str">
        <f t="shared" si="3"/>
        <v/>
      </c>
      <c r="E208" s="3" t="str">
        <f>IF(D208="","",IF(COUNTIF($D$3:$D208,$D208)=1,D208&amp;"1",IF(COUNTIF($D$3:$D208,$D208)=2,D208&amp;"2",IF(COUNTIF($D$3:$D208,$D208)=3,D208&amp;"3",IF(COUNTIF($D$3:$D208,$D208)=4,D208&amp;"4",IF(COUNTIF($D$3:$D208,$D208)=5,D208&amp;"5",IF(COUNTIF($D$3:$D208,$D208)=6,D208&amp;"6",IF(COUNTIF($D$3:$D208,$D208)=7,D208&amp;"7",IF(COUNTIF($D$3:$D208,$D208)=8,D208&amp;"8",D208)))))))))</f>
        <v/>
      </c>
    </row>
    <row r="209" spans="4:5" x14ac:dyDescent="0.3">
      <c r="D209" s="3" t="str">
        <f t="shared" si="3"/>
        <v/>
      </c>
      <c r="E209" s="3" t="str">
        <f>IF(D209="","",IF(COUNTIF($D$3:$D209,$D209)=1,D209&amp;"1",IF(COUNTIF($D$3:$D209,$D209)=2,D209&amp;"2",IF(COUNTIF($D$3:$D209,$D209)=3,D209&amp;"3",IF(COUNTIF($D$3:$D209,$D209)=4,D209&amp;"4",IF(COUNTIF($D$3:$D209,$D209)=5,D209&amp;"5",IF(COUNTIF($D$3:$D209,$D209)=6,D209&amp;"6",IF(COUNTIF($D$3:$D209,$D209)=7,D209&amp;"7",IF(COUNTIF($D$3:$D209,$D209)=8,D209&amp;"8",D209)))))))))</f>
        <v/>
      </c>
    </row>
    <row r="210" spans="4:5" x14ac:dyDescent="0.3">
      <c r="D210" s="3" t="str">
        <f t="shared" si="3"/>
        <v/>
      </c>
      <c r="E210" s="3" t="str">
        <f>IF(D210="","",IF(COUNTIF($D$3:$D210,$D210)=1,D210&amp;"1",IF(COUNTIF($D$3:$D210,$D210)=2,D210&amp;"2",IF(COUNTIF($D$3:$D210,$D210)=3,D210&amp;"3",IF(COUNTIF($D$3:$D210,$D210)=4,D210&amp;"4",IF(COUNTIF($D$3:$D210,$D210)=5,D210&amp;"5",IF(COUNTIF($D$3:$D210,$D210)=6,D210&amp;"6",IF(COUNTIF($D$3:$D210,$D210)=7,D210&amp;"7",IF(COUNTIF($D$3:$D210,$D210)=8,D210&amp;"8",D210)))))))))</f>
        <v/>
      </c>
    </row>
    <row r="211" spans="4:5" x14ac:dyDescent="0.3">
      <c r="D211" s="3" t="str">
        <f t="shared" si="3"/>
        <v/>
      </c>
      <c r="E211" s="3" t="str">
        <f>IF(D211="","",IF(COUNTIF($D$3:$D211,$D211)=1,D211&amp;"1",IF(COUNTIF($D$3:$D211,$D211)=2,D211&amp;"2",IF(COUNTIF($D$3:$D211,$D211)=3,D211&amp;"3",IF(COUNTIF($D$3:$D211,$D211)=4,D211&amp;"4",IF(COUNTIF($D$3:$D211,$D211)=5,D211&amp;"5",IF(COUNTIF($D$3:$D211,$D211)=6,D211&amp;"6",IF(COUNTIF($D$3:$D211,$D211)=7,D211&amp;"7",IF(COUNTIF($D$3:$D211,$D211)=8,D211&amp;"8",D211)))))))))</f>
        <v/>
      </c>
    </row>
    <row r="212" spans="4:5" x14ac:dyDescent="0.3">
      <c r="D212" s="3" t="str">
        <f t="shared" si="3"/>
        <v/>
      </c>
      <c r="E212" s="3" t="str">
        <f>IF(D212="","",IF(COUNTIF($D$3:$D212,$D212)=1,D212&amp;"1",IF(COUNTIF($D$3:$D212,$D212)=2,D212&amp;"2",IF(COUNTIF($D$3:$D212,$D212)=3,D212&amp;"3",IF(COUNTIF($D$3:$D212,$D212)=4,D212&amp;"4",IF(COUNTIF($D$3:$D212,$D212)=5,D212&amp;"5",IF(COUNTIF($D$3:$D212,$D212)=6,D212&amp;"6",IF(COUNTIF($D$3:$D212,$D212)=7,D212&amp;"7",IF(COUNTIF($D$3:$D212,$D212)=8,D212&amp;"8",D212)))))))))</f>
        <v/>
      </c>
    </row>
    <row r="213" spans="4:5" x14ac:dyDescent="0.3">
      <c r="D213" s="3" t="str">
        <f t="shared" si="3"/>
        <v/>
      </c>
      <c r="E213" s="3" t="str">
        <f>IF(D213="","",IF(COUNTIF($D$3:$D213,$D213)=1,D213&amp;"1",IF(COUNTIF($D$3:$D213,$D213)=2,D213&amp;"2",IF(COUNTIF($D$3:$D213,$D213)=3,D213&amp;"3",IF(COUNTIF($D$3:$D213,$D213)=4,D213&amp;"4",IF(COUNTIF($D$3:$D213,$D213)=5,D213&amp;"5",IF(COUNTIF($D$3:$D213,$D213)=6,D213&amp;"6",IF(COUNTIF($D$3:$D213,$D213)=7,D213&amp;"7",IF(COUNTIF($D$3:$D213,$D213)=8,D213&amp;"8",D213)))))))))</f>
        <v/>
      </c>
    </row>
    <row r="214" spans="4:5" x14ac:dyDescent="0.3">
      <c r="D214" s="3" t="str">
        <f t="shared" si="3"/>
        <v/>
      </c>
      <c r="E214" s="3" t="str">
        <f>IF(D214="","",IF(COUNTIF($D$3:$D214,$D214)=1,D214&amp;"1",IF(COUNTIF($D$3:$D214,$D214)=2,D214&amp;"2",IF(COUNTIF($D$3:$D214,$D214)=3,D214&amp;"3",IF(COUNTIF($D$3:$D214,$D214)=4,D214&amp;"4",IF(COUNTIF($D$3:$D214,$D214)=5,D214&amp;"5",IF(COUNTIF($D$3:$D214,$D214)=6,D214&amp;"6",IF(COUNTIF($D$3:$D214,$D214)=7,D214&amp;"7",IF(COUNTIF($D$3:$D214,$D214)=8,D214&amp;"8",D214)))))))))</f>
        <v/>
      </c>
    </row>
    <row r="215" spans="4:5" x14ac:dyDescent="0.3">
      <c r="D215" s="3" t="str">
        <f t="shared" si="3"/>
        <v/>
      </c>
      <c r="E215" s="3" t="str">
        <f>IF(D215="","",IF(COUNTIF($D$3:$D215,$D215)=1,D215&amp;"1",IF(COUNTIF($D$3:$D215,$D215)=2,D215&amp;"2",IF(COUNTIF($D$3:$D215,$D215)=3,D215&amp;"3",IF(COUNTIF($D$3:$D215,$D215)=4,D215&amp;"4",IF(COUNTIF($D$3:$D215,$D215)=5,D215&amp;"5",IF(COUNTIF($D$3:$D215,$D215)=6,D215&amp;"6",IF(COUNTIF($D$3:$D215,$D215)=7,D215&amp;"7",IF(COUNTIF($D$3:$D215,$D215)=8,D215&amp;"8",D215)))))))))</f>
        <v/>
      </c>
    </row>
    <row r="216" spans="4:5" x14ac:dyDescent="0.3">
      <c r="D216" s="3" t="str">
        <f t="shared" si="3"/>
        <v/>
      </c>
      <c r="E216" s="3" t="str">
        <f>IF(D216="","",IF(COUNTIF($D$3:$D216,$D216)=1,D216&amp;"1",IF(COUNTIF($D$3:$D216,$D216)=2,D216&amp;"2",IF(COUNTIF($D$3:$D216,$D216)=3,D216&amp;"3",IF(COUNTIF($D$3:$D216,$D216)=4,D216&amp;"4",IF(COUNTIF($D$3:$D216,$D216)=5,D216&amp;"5",IF(COUNTIF($D$3:$D216,$D216)=6,D216&amp;"6",IF(COUNTIF($D$3:$D216,$D216)=7,D216&amp;"7",IF(COUNTIF($D$3:$D216,$D216)=8,D216&amp;"8",D216)))))))))</f>
        <v/>
      </c>
    </row>
    <row r="217" spans="4:5" x14ac:dyDescent="0.3">
      <c r="D217" s="3" t="str">
        <f t="shared" si="3"/>
        <v/>
      </c>
      <c r="E217" s="3" t="str">
        <f>IF(D217="","",IF(COUNTIF($D$3:$D217,$D217)=1,D217&amp;"1",IF(COUNTIF($D$3:$D217,$D217)=2,D217&amp;"2",IF(COUNTIF($D$3:$D217,$D217)=3,D217&amp;"3",IF(COUNTIF($D$3:$D217,$D217)=4,D217&amp;"4",IF(COUNTIF($D$3:$D217,$D217)=5,D217&amp;"5",IF(COUNTIF($D$3:$D217,$D217)=6,D217&amp;"6",IF(COUNTIF($D$3:$D217,$D217)=7,D217&amp;"7",IF(COUNTIF($D$3:$D217,$D217)=8,D217&amp;"8",D217)))))))))</f>
        <v/>
      </c>
    </row>
    <row r="218" spans="4:5" x14ac:dyDescent="0.3">
      <c r="D218" s="3" t="str">
        <f t="shared" si="3"/>
        <v/>
      </c>
      <c r="E218" s="3" t="str">
        <f>IF(D218="","",IF(COUNTIF($D$3:$D218,$D218)=1,D218&amp;"1",IF(COUNTIF($D$3:$D218,$D218)=2,D218&amp;"2",IF(COUNTIF($D$3:$D218,$D218)=3,D218&amp;"3",IF(COUNTIF($D$3:$D218,$D218)=4,D218&amp;"4",IF(COUNTIF($D$3:$D218,$D218)=5,D218&amp;"5",IF(COUNTIF($D$3:$D218,$D218)=6,D218&amp;"6",IF(COUNTIF($D$3:$D218,$D218)=7,D218&amp;"7",IF(COUNTIF($D$3:$D218,$D218)=8,D218&amp;"8",D218)))))))))</f>
        <v/>
      </c>
    </row>
    <row r="219" spans="4:5" x14ac:dyDescent="0.3">
      <c r="D219" s="3" t="str">
        <f t="shared" si="3"/>
        <v/>
      </c>
      <c r="E219" s="3" t="str">
        <f>IF(D219="","",IF(COUNTIF($D$3:$D219,$D219)=1,D219&amp;"1",IF(COUNTIF($D$3:$D219,$D219)=2,D219&amp;"2",IF(COUNTIF($D$3:$D219,$D219)=3,D219&amp;"3",IF(COUNTIF($D$3:$D219,$D219)=4,D219&amp;"4",IF(COUNTIF($D$3:$D219,$D219)=5,D219&amp;"5",IF(COUNTIF($D$3:$D219,$D219)=6,D219&amp;"6",IF(COUNTIF($D$3:$D219,$D219)=7,D219&amp;"7",IF(COUNTIF($D$3:$D219,$D219)=8,D219&amp;"8",D219)))))))))</f>
        <v/>
      </c>
    </row>
    <row r="220" spans="4:5" x14ac:dyDescent="0.3">
      <c r="D220" s="3" t="str">
        <f t="shared" si="3"/>
        <v/>
      </c>
      <c r="E220" s="3" t="str">
        <f>IF(D220="","",IF(COUNTIF($D$3:$D220,$D220)=1,D220&amp;"1",IF(COUNTIF($D$3:$D220,$D220)=2,D220&amp;"2",IF(COUNTIF($D$3:$D220,$D220)=3,D220&amp;"3",IF(COUNTIF($D$3:$D220,$D220)=4,D220&amp;"4",IF(COUNTIF($D$3:$D220,$D220)=5,D220&amp;"5",IF(COUNTIF($D$3:$D220,$D220)=6,D220&amp;"6",IF(COUNTIF($D$3:$D220,$D220)=7,D220&amp;"7",IF(COUNTIF($D$3:$D220,$D220)=8,D220&amp;"8",D220)))))))))</f>
        <v/>
      </c>
    </row>
    <row r="221" spans="4:5" x14ac:dyDescent="0.3">
      <c r="D221" s="3" t="str">
        <f t="shared" si="3"/>
        <v/>
      </c>
      <c r="E221" s="3" t="str">
        <f>IF(D221="","",IF(COUNTIF($D$3:$D221,$D221)=1,D221&amp;"1",IF(COUNTIF($D$3:$D221,$D221)=2,D221&amp;"2",IF(COUNTIF($D$3:$D221,$D221)=3,D221&amp;"3",IF(COUNTIF($D$3:$D221,$D221)=4,D221&amp;"4",IF(COUNTIF($D$3:$D221,$D221)=5,D221&amp;"5",IF(COUNTIF($D$3:$D221,$D221)=6,D221&amp;"6",IF(COUNTIF($D$3:$D221,$D221)=7,D221&amp;"7",IF(COUNTIF($D$3:$D221,$D221)=8,D221&amp;"8",D221)))))))))</f>
        <v/>
      </c>
    </row>
    <row r="222" spans="4:5" x14ac:dyDescent="0.3">
      <c r="D222" s="3" t="str">
        <f t="shared" si="3"/>
        <v/>
      </c>
      <c r="E222" s="3" t="str">
        <f>IF(D222="","",IF(COUNTIF($D$3:$D222,$D222)=1,D222&amp;"1",IF(COUNTIF($D$3:$D222,$D222)=2,D222&amp;"2",IF(COUNTIF($D$3:$D222,$D222)=3,D222&amp;"3",IF(COUNTIF($D$3:$D222,$D222)=4,D222&amp;"4",IF(COUNTIF($D$3:$D222,$D222)=5,D222&amp;"5",IF(COUNTIF($D$3:$D222,$D222)=6,D222&amp;"6",IF(COUNTIF($D$3:$D222,$D222)=7,D222&amp;"7",IF(COUNTIF($D$3:$D222,$D222)=8,D222&amp;"8",D222)))))))))</f>
        <v/>
      </c>
    </row>
    <row r="223" spans="4:5" x14ac:dyDescent="0.3">
      <c r="D223" s="3" t="str">
        <f t="shared" si="3"/>
        <v/>
      </c>
      <c r="E223" s="3" t="str">
        <f>IF(D223="","",IF(COUNTIF($D$3:$D223,$D223)=1,D223&amp;"1",IF(COUNTIF($D$3:$D223,$D223)=2,D223&amp;"2",IF(COUNTIF($D$3:$D223,$D223)=3,D223&amp;"3",IF(COUNTIF($D$3:$D223,$D223)=4,D223&amp;"4",IF(COUNTIF($D$3:$D223,$D223)=5,D223&amp;"5",IF(COUNTIF($D$3:$D223,$D223)=6,D223&amp;"6",IF(COUNTIF($D$3:$D223,$D223)=7,D223&amp;"7",IF(COUNTIF($D$3:$D223,$D223)=8,D223&amp;"8",D223)))))))))</f>
        <v/>
      </c>
    </row>
    <row r="224" spans="4:5" x14ac:dyDescent="0.3">
      <c r="D224" s="3" t="str">
        <f t="shared" si="3"/>
        <v/>
      </c>
      <c r="E224" s="3" t="str">
        <f>IF(D224="","",IF(COUNTIF($D$3:$D224,$D224)=1,D224&amp;"1",IF(COUNTIF($D$3:$D224,$D224)=2,D224&amp;"2",IF(COUNTIF($D$3:$D224,$D224)=3,D224&amp;"3",IF(COUNTIF($D$3:$D224,$D224)=4,D224&amp;"4",IF(COUNTIF($D$3:$D224,$D224)=5,D224&amp;"5",IF(COUNTIF($D$3:$D224,$D224)=6,D224&amp;"6",IF(COUNTIF($D$3:$D224,$D224)=7,D224&amp;"7",IF(COUNTIF($D$3:$D224,$D224)=8,D224&amp;"8",D224)))))))))</f>
        <v/>
      </c>
    </row>
    <row r="225" spans="4:5" x14ac:dyDescent="0.3">
      <c r="D225" s="3" t="str">
        <f t="shared" si="3"/>
        <v/>
      </c>
      <c r="E225" s="3" t="str">
        <f>IF(D225="","",IF(COUNTIF($D$3:$D225,$D225)=1,D225&amp;"1",IF(COUNTIF($D$3:$D225,$D225)=2,D225&amp;"2",IF(COUNTIF($D$3:$D225,$D225)=3,D225&amp;"3",IF(COUNTIF($D$3:$D225,$D225)=4,D225&amp;"4",IF(COUNTIF($D$3:$D225,$D225)=5,D225&amp;"5",IF(COUNTIF($D$3:$D225,$D225)=6,D225&amp;"6",IF(COUNTIF($D$3:$D225,$D225)=7,D225&amp;"7",IF(COUNTIF($D$3:$D225,$D225)=8,D225&amp;"8",D225)))))))))</f>
        <v/>
      </c>
    </row>
    <row r="226" spans="4:5" x14ac:dyDescent="0.3">
      <c r="D226" s="3" t="str">
        <f t="shared" si="3"/>
        <v/>
      </c>
      <c r="E226" s="3" t="str">
        <f>IF(D226="","",IF(COUNTIF($D$3:$D226,$D226)=1,D226&amp;"1",IF(COUNTIF($D$3:$D226,$D226)=2,D226&amp;"2",IF(COUNTIF($D$3:$D226,$D226)=3,D226&amp;"3",IF(COUNTIF($D$3:$D226,$D226)=4,D226&amp;"4",IF(COUNTIF($D$3:$D226,$D226)=5,D226&amp;"5",IF(COUNTIF($D$3:$D226,$D226)=6,D226&amp;"6",IF(COUNTIF($D$3:$D226,$D226)=7,D226&amp;"7",IF(COUNTIF($D$3:$D226,$D226)=8,D226&amp;"8",D226)))))))))</f>
        <v/>
      </c>
    </row>
    <row r="227" spans="4:5" x14ac:dyDescent="0.3">
      <c r="D227" s="3" t="str">
        <f t="shared" si="3"/>
        <v/>
      </c>
      <c r="E227" s="3" t="str">
        <f>IF(D227="","",IF(COUNTIF($D$3:$D227,$D227)=1,D227&amp;"1",IF(COUNTIF($D$3:$D227,$D227)=2,D227&amp;"2",IF(COUNTIF($D$3:$D227,$D227)=3,D227&amp;"3",IF(COUNTIF($D$3:$D227,$D227)=4,D227&amp;"4",IF(COUNTIF($D$3:$D227,$D227)=5,D227&amp;"5",IF(COUNTIF($D$3:$D227,$D227)=6,D227&amp;"6",IF(COUNTIF($D$3:$D227,$D227)=7,D227&amp;"7",IF(COUNTIF($D$3:$D227,$D227)=8,D227&amp;"8",D227)))))))))</f>
        <v/>
      </c>
    </row>
    <row r="228" spans="4:5" x14ac:dyDescent="0.3">
      <c r="D228" s="3" t="str">
        <f t="shared" si="3"/>
        <v/>
      </c>
      <c r="E228" s="3" t="str">
        <f>IF(D228="","",IF(COUNTIF($D$3:$D228,$D228)=1,D228&amp;"1",IF(COUNTIF($D$3:$D228,$D228)=2,D228&amp;"2",IF(COUNTIF($D$3:$D228,$D228)=3,D228&amp;"3",IF(COUNTIF($D$3:$D228,$D228)=4,D228&amp;"4",IF(COUNTIF($D$3:$D228,$D228)=5,D228&amp;"5",IF(COUNTIF($D$3:$D228,$D228)=6,D228&amp;"6",IF(COUNTIF($D$3:$D228,$D228)=7,D228&amp;"7",IF(COUNTIF($D$3:$D228,$D228)=8,D228&amp;"8",D228)))))))))</f>
        <v/>
      </c>
    </row>
    <row r="229" spans="4:5" x14ac:dyDescent="0.3">
      <c r="D229" s="3" t="str">
        <f t="shared" si="3"/>
        <v/>
      </c>
      <c r="E229" s="3" t="str">
        <f>IF(D229="","",IF(COUNTIF($D$3:$D229,$D229)=1,D229&amp;"1",IF(COUNTIF($D$3:$D229,$D229)=2,D229&amp;"2",IF(COUNTIF($D$3:$D229,$D229)=3,D229&amp;"3",IF(COUNTIF($D$3:$D229,$D229)=4,D229&amp;"4",IF(COUNTIF($D$3:$D229,$D229)=5,D229&amp;"5",IF(COUNTIF($D$3:$D229,$D229)=6,D229&amp;"6",IF(COUNTIF($D$3:$D229,$D229)=7,D229&amp;"7",IF(COUNTIF($D$3:$D229,$D229)=8,D229&amp;"8",D229)))))))))</f>
        <v/>
      </c>
    </row>
    <row r="230" spans="4:5" x14ac:dyDescent="0.3">
      <c r="D230" s="3" t="str">
        <f t="shared" si="3"/>
        <v/>
      </c>
      <c r="E230" s="3" t="str">
        <f>IF(D230="","",IF(COUNTIF($D$3:$D230,$D230)=1,D230&amp;"1",IF(COUNTIF($D$3:$D230,$D230)=2,D230&amp;"2",IF(COUNTIF($D$3:$D230,$D230)=3,D230&amp;"3",IF(COUNTIF($D$3:$D230,$D230)=4,D230&amp;"4",IF(COUNTIF($D$3:$D230,$D230)=5,D230&amp;"5",IF(COUNTIF($D$3:$D230,$D230)=6,D230&amp;"6",IF(COUNTIF($D$3:$D230,$D230)=7,D230&amp;"7",IF(COUNTIF($D$3:$D230,$D230)=8,D230&amp;"8",D230)))))))))</f>
        <v/>
      </c>
    </row>
    <row r="231" spans="4:5" x14ac:dyDescent="0.3">
      <c r="D231" s="3" t="str">
        <f t="shared" si="3"/>
        <v/>
      </c>
      <c r="E231" s="3" t="str">
        <f>IF(D231="","",IF(COUNTIF($D$3:$D231,$D231)=1,D231&amp;"1",IF(COUNTIF($D$3:$D231,$D231)=2,D231&amp;"2",IF(COUNTIF($D$3:$D231,$D231)=3,D231&amp;"3",IF(COUNTIF($D$3:$D231,$D231)=4,D231&amp;"4",IF(COUNTIF($D$3:$D231,$D231)=5,D231&amp;"5",IF(COUNTIF($D$3:$D231,$D231)=6,D231&amp;"6",IF(COUNTIF($D$3:$D231,$D231)=7,D231&amp;"7",IF(COUNTIF($D$3:$D231,$D231)=8,D231&amp;"8",D231)))))))))</f>
        <v/>
      </c>
    </row>
    <row r="232" spans="4:5" x14ac:dyDescent="0.3">
      <c r="D232" s="3" t="str">
        <f t="shared" si="3"/>
        <v/>
      </c>
      <c r="E232" s="3" t="str">
        <f>IF(D232="","",IF(COUNTIF($D$3:$D232,$D232)=1,D232&amp;"1",IF(COUNTIF($D$3:$D232,$D232)=2,D232&amp;"2",IF(COUNTIF($D$3:$D232,$D232)=3,D232&amp;"3",IF(COUNTIF($D$3:$D232,$D232)=4,D232&amp;"4",IF(COUNTIF($D$3:$D232,$D232)=5,D232&amp;"5",IF(COUNTIF($D$3:$D232,$D232)=6,D232&amp;"6",IF(COUNTIF($D$3:$D232,$D232)=7,D232&amp;"7",IF(COUNTIF($D$3:$D232,$D232)=8,D232&amp;"8",D232)))))))))</f>
        <v/>
      </c>
    </row>
    <row r="233" spans="4:5" x14ac:dyDescent="0.3">
      <c r="D233" s="3" t="str">
        <f t="shared" si="3"/>
        <v/>
      </c>
      <c r="E233" s="3" t="str">
        <f>IF(D233="","",IF(COUNTIF($D$3:$D233,$D233)=1,D233&amp;"1",IF(COUNTIF($D$3:$D233,$D233)=2,D233&amp;"2",IF(COUNTIF($D$3:$D233,$D233)=3,D233&amp;"3",IF(COUNTIF($D$3:$D233,$D233)=4,D233&amp;"4",IF(COUNTIF($D$3:$D233,$D233)=5,D233&amp;"5",IF(COUNTIF($D$3:$D233,$D233)=6,D233&amp;"6",IF(COUNTIF($D$3:$D233,$D233)=7,D233&amp;"7",IF(COUNTIF($D$3:$D233,$D233)=8,D233&amp;"8",D233)))))))))</f>
        <v/>
      </c>
    </row>
    <row r="234" spans="4:5" x14ac:dyDescent="0.3">
      <c r="D234" s="3" t="str">
        <f t="shared" si="3"/>
        <v/>
      </c>
      <c r="E234" s="3" t="str">
        <f>IF(D234="","",IF(COUNTIF($D$3:$D234,$D234)=1,D234&amp;"1",IF(COUNTIF($D$3:$D234,$D234)=2,D234&amp;"2",IF(COUNTIF($D$3:$D234,$D234)=3,D234&amp;"3",IF(COUNTIF($D$3:$D234,$D234)=4,D234&amp;"4",IF(COUNTIF($D$3:$D234,$D234)=5,D234&amp;"5",IF(COUNTIF($D$3:$D234,$D234)=6,D234&amp;"6",IF(COUNTIF($D$3:$D234,$D234)=7,D234&amp;"7",IF(COUNTIF($D$3:$D234,$D234)=8,D234&amp;"8",D234)))))))))</f>
        <v/>
      </c>
    </row>
    <row r="235" spans="4:5" x14ac:dyDescent="0.3">
      <c r="D235" s="3" t="str">
        <f t="shared" si="3"/>
        <v/>
      </c>
      <c r="E235" s="3" t="str">
        <f>IF(D235="","",IF(COUNTIF($D$3:$D235,$D235)=1,D235&amp;"1",IF(COUNTIF($D$3:$D235,$D235)=2,D235&amp;"2",IF(COUNTIF($D$3:$D235,$D235)=3,D235&amp;"3",IF(COUNTIF($D$3:$D235,$D235)=4,D235&amp;"4",IF(COUNTIF($D$3:$D235,$D235)=5,D235&amp;"5",IF(COUNTIF($D$3:$D235,$D235)=6,D235&amp;"6",IF(COUNTIF($D$3:$D235,$D235)=7,D235&amp;"7",IF(COUNTIF($D$3:$D235,$D235)=8,D235&amp;"8",D235)))))))))</f>
        <v/>
      </c>
    </row>
    <row r="236" spans="4:5" x14ac:dyDescent="0.3">
      <c r="D236" s="3" t="str">
        <f t="shared" si="3"/>
        <v/>
      </c>
      <c r="E236" s="3" t="str">
        <f>IF(D236="","",IF(COUNTIF($D$3:$D236,$D236)=1,D236&amp;"1",IF(COUNTIF($D$3:$D236,$D236)=2,D236&amp;"2",IF(COUNTIF($D$3:$D236,$D236)=3,D236&amp;"3",IF(COUNTIF($D$3:$D236,$D236)=4,D236&amp;"4",IF(COUNTIF($D$3:$D236,$D236)=5,D236&amp;"5",IF(COUNTIF($D$3:$D236,$D236)=6,D236&amp;"6",IF(COUNTIF($D$3:$D236,$D236)=7,D236&amp;"7",IF(COUNTIF($D$3:$D236,$D236)=8,D236&amp;"8",D236)))))))))</f>
        <v/>
      </c>
    </row>
    <row r="237" spans="4:5" x14ac:dyDescent="0.3">
      <c r="D237" s="3" t="str">
        <f t="shared" si="3"/>
        <v/>
      </c>
      <c r="E237" s="3" t="str">
        <f>IF(D237="","",IF(COUNTIF($D$3:$D237,$D237)=1,D237&amp;"1",IF(COUNTIF($D$3:$D237,$D237)=2,D237&amp;"2",IF(COUNTIF($D$3:$D237,$D237)=3,D237&amp;"3",IF(COUNTIF($D$3:$D237,$D237)=4,D237&amp;"4",IF(COUNTIF($D$3:$D237,$D237)=5,D237&amp;"5",IF(COUNTIF($D$3:$D237,$D237)=6,D237&amp;"6",IF(COUNTIF($D$3:$D237,$D237)=7,D237&amp;"7",IF(COUNTIF($D$3:$D237,$D237)=8,D237&amp;"8",D237)))))))))</f>
        <v/>
      </c>
    </row>
    <row r="238" spans="4:5" x14ac:dyDescent="0.3">
      <c r="D238" s="3" t="str">
        <f t="shared" si="3"/>
        <v/>
      </c>
      <c r="E238" s="3" t="str">
        <f>IF(D238="","",IF(COUNTIF($D$3:$D238,$D238)=1,D238&amp;"1",IF(COUNTIF($D$3:$D238,$D238)=2,D238&amp;"2",IF(COUNTIF($D$3:$D238,$D238)=3,D238&amp;"3",IF(COUNTIF($D$3:$D238,$D238)=4,D238&amp;"4",IF(COUNTIF($D$3:$D238,$D238)=5,D238&amp;"5",IF(COUNTIF($D$3:$D238,$D238)=6,D238&amp;"6",IF(COUNTIF($D$3:$D238,$D238)=7,D238&amp;"7",IF(COUNTIF($D$3:$D238,$D238)=8,D238&amp;"8",D238)))))))))</f>
        <v/>
      </c>
    </row>
    <row r="239" spans="4:5" x14ac:dyDescent="0.3">
      <c r="D239" s="3" t="str">
        <f t="shared" si="3"/>
        <v/>
      </c>
      <c r="E239" s="3" t="str">
        <f>IF(D239="","",IF(COUNTIF($D$3:$D239,$D239)=1,D239&amp;"1",IF(COUNTIF($D$3:$D239,$D239)=2,D239&amp;"2",IF(COUNTIF($D$3:$D239,$D239)=3,D239&amp;"3",IF(COUNTIF($D$3:$D239,$D239)=4,D239&amp;"4",IF(COUNTIF($D$3:$D239,$D239)=5,D239&amp;"5",IF(COUNTIF($D$3:$D239,$D239)=6,D239&amp;"6",IF(COUNTIF($D$3:$D239,$D239)=7,D239&amp;"7",IF(COUNTIF($D$3:$D239,$D239)=8,D239&amp;"8",D239)))))))))</f>
        <v/>
      </c>
    </row>
    <row r="240" spans="4:5" x14ac:dyDescent="0.3">
      <c r="D240" s="3" t="str">
        <f t="shared" si="3"/>
        <v/>
      </c>
      <c r="E240" s="3" t="str">
        <f>IF(D240="","",IF(COUNTIF($D$3:$D240,$D240)=1,D240&amp;"1",IF(COUNTIF($D$3:$D240,$D240)=2,D240&amp;"2",IF(COUNTIF($D$3:$D240,$D240)=3,D240&amp;"3",IF(COUNTIF($D$3:$D240,$D240)=4,D240&amp;"4",IF(COUNTIF($D$3:$D240,$D240)=5,D240&amp;"5",IF(COUNTIF($D$3:$D240,$D240)=6,D240&amp;"6",IF(COUNTIF($D$3:$D240,$D240)=7,D240&amp;"7",IF(COUNTIF($D$3:$D240,$D240)=8,D240&amp;"8",D240)))))))))</f>
        <v/>
      </c>
    </row>
    <row r="241" spans="4:5" x14ac:dyDescent="0.3">
      <c r="D241" s="3" t="str">
        <f t="shared" si="3"/>
        <v/>
      </c>
      <c r="E241" s="3" t="str">
        <f>IF(D241="","",IF(COUNTIF($D$3:$D241,$D241)=1,D241&amp;"1",IF(COUNTIF($D$3:$D241,$D241)=2,D241&amp;"2",IF(COUNTIF($D$3:$D241,$D241)=3,D241&amp;"3",IF(COUNTIF($D$3:$D241,$D241)=4,D241&amp;"4",IF(COUNTIF($D$3:$D241,$D241)=5,D241&amp;"5",IF(COUNTIF($D$3:$D241,$D241)=6,D241&amp;"6",IF(COUNTIF($D$3:$D241,$D241)=7,D241&amp;"7",IF(COUNTIF($D$3:$D241,$D241)=8,D241&amp;"8",D241)))))))))</f>
        <v/>
      </c>
    </row>
    <row r="242" spans="4:5" x14ac:dyDescent="0.3">
      <c r="D242" s="3" t="str">
        <f t="shared" si="3"/>
        <v/>
      </c>
      <c r="E242" s="3" t="str">
        <f>IF(D242="","",IF(COUNTIF($D$3:$D242,$D242)=1,D242&amp;"1",IF(COUNTIF($D$3:$D242,$D242)=2,D242&amp;"2",IF(COUNTIF($D$3:$D242,$D242)=3,D242&amp;"3",IF(COUNTIF($D$3:$D242,$D242)=4,D242&amp;"4",IF(COUNTIF($D$3:$D242,$D242)=5,D242&amp;"5",IF(COUNTIF($D$3:$D242,$D242)=6,D242&amp;"6",IF(COUNTIF($D$3:$D242,$D242)=7,D242&amp;"7",IF(COUNTIF($D$3:$D242,$D242)=8,D242&amp;"8",D242)))))))))</f>
        <v/>
      </c>
    </row>
    <row r="243" spans="4:5" x14ac:dyDescent="0.3">
      <c r="D243" s="3" t="str">
        <f t="shared" si="3"/>
        <v/>
      </c>
      <c r="E243" s="3" t="str">
        <f>IF(D243="","",IF(COUNTIF($D$3:$D243,$D243)=1,D243&amp;"1",IF(COUNTIF($D$3:$D243,$D243)=2,D243&amp;"2",IF(COUNTIF($D$3:$D243,$D243)=3,D243&amp;"3",IF(COUNTIF($D$3:$D243,$D243)=4,D243&amp;"4",IF(COUNTIF($D$3:$D243,$D243)=5,D243&amp;"5",IF(COUNTIF($D$3:$D243,$D243)=6,D243&amp;"6",IF(COUNTIF($D$3:$D243,$D243)=7,D243&amp;"7",IF(COUNTIF($D$3:$D243,$D243)=8,D243&amp;"8",D243)))))))))</f>
        <v/>
      </c>
    </row>
    <row r="244" spans="4:5" x14ac:dyDescent="0.3">
      <c r="D244" s="3" t="str">
        <f t="shared" si="3"/>
        <v/>
      </c>
      <c r="E244" s="3" t="str">
        <f>IF(D244="","",IF(COUNTIF($D$3:$D244,$D244)=1,D244&amp;"1",IF(COUNTIF($D$3:$D244,$D244)=2,D244&amp;"2",IF(COUNTIF($D$3:$D244,$D244)=3,D244&amp;"3",IF(COUNTIF($D$3:$D244,$D244)=4,D244&amp;"4",IF(COUNTIF($D$3:$D244,$D244)=5,D244&amp;"5",IF(COUNTIF($D$3:$D244,$D244)=6,D244&amp;"6",IF(COUNTIF($D$3:$D244,$D244)=7,D244&amp;"7",IF(COUNTIF($D$3:$D244,$D244)=8,D244&amp;"8",D244)))))))))</f>
        <v/>
      </c>
    </row>
    <row r="245" spans="4:5" x14ac:dyDescent="0.3">
      <c r="D245" s="3" t="str">
        <f t="shared" si="3"/>
        <v/>
      </c>
      <c r="E245" s="3" t="str">
        <f>IF(D245="","",IF(COUNTIF($D$3:$D245,$D245)=1,D245&amp;"1",IF(COUNTIF($D$3:$D245,$D245)=2,D245&amp;"2",IF(COUNTIF($D$3:$D245,$D245)=3,D245&amp;"3",IF(COUNTIF($D$3:$D245,$D245)=4,D245&amp;"4",IF(COUNTIF($D$3:$D245,$D245)=5,D245&amp;"5",IF(COUNTIF($D$3:$D245,$D245)=6,D245&amp;"6",IF(COUNTIF($D$3:$D245,$D245)=7,D245&amp;"7",IF(COUNTIF($D$3:$D245,$D245)=8,D245&amp;"8",D245)))))))))</f>
        <v/>
      </c>
    </row>
    <row r="246" spans="4:5" x14ac:dyDescent="0.3">
      <c r="D246" s="3" t="str">
        <f t="shared" si="3"/>
        <v/>
      </c>
      <c r="E246" s="3" t="str">
        <f>IF(D246="","",IF(COUNTIF($D$3:$D246,$D246)=1,D246&amp;"1",IF(COUNTIF($D$3:$D246,$D246)=2,D246&amp;"2",IF(COUNTIF($D$3:$D246,$D246)=3,D246&amp;"3",IF(COUNTIF($D$3:$D246,$D246)=4,D246&amp;"4",IF(COUNTIF($D$3:$D246,$D246)=5,D246&amp;"5",IF(COUNTIF($D$3:$D246,$D246)=6,D246&amp;"6",IF(COUNTIF($D$3:$D246,$D246)=7,D246&amp;"7",IF(COUNTIF($D$3:$D246,$D246)=8,D246&amp;"8",D246)))))))))</f>
        <v/>
      </c>
    </row>
    <row r="247" spans="4:5" x14ac:dyDescent="0.3">
      <c r="D247" s="3" t="str">
        <f t="shared" si="3"/>
        <v/>
      </c>
      <c r="E247" s="3" t="str">
        <f>IF(D247="","",IF(COUNTIF($D$3:$D247,$D247)=1,D247&amp;"1",IF(COUNTIF($D$3:$D247,$D247)=2,D247&amp;"2",IF(COUNTIF($D$3:$D247,$D247)=3,D247&amp;"3",IF(COUNTIF($D$3:$D247,$D247)=4,D247&amp;"4",IF(COUNTIF($D$3:$D247,$D247)=5,D247&amp;"5",IF(COUNTIF($D$3:$D247,$D247)=6,D247&amp;"6",IF(COUNTIF($D$3:$D247,$D247)=7,D247&amp;"7",IF(COUNTIF($D$3:$D247,$D247)=8,D247&amp;"8",D247)))))))))</f>
        <v/>
      </c>
    </row>
    <row r="248" spans="4:5" x14ac:dyDescent="0.3">
      <c r="D248" s="3" t="str">
        <f t="shared" si="3"/>
        <v/>
      </c>
      <c r="E248" s="3" t="str">
        <f>IF(D248="","",IF(COUNTIF($D$3:$D248,$D248)=1,D248&amp;"1",IF(COUNTIF($D$3:$D248,$D248)=2,D248&amp;"2",IF(COUNTIF($D$3:$D248,$D248)=3,D248&amp;"3",IF(COUNTIF($D$3:$D248,$D248)=4,D248&amp;"4",IF(COUNTIF($D$3:$D248,$D248)=5,D248&amp;"5",IF(COUNTIF($D$3:$D248,$D248)=6,D248&amp;"6",IF(COUNTIF($D$3:$D248,$D248)=7,D248&amp;"7",IF(COUNTIF($D$3:$D248,$D248)=8,D248&amp;"8",D248)))))))))</f>
        <v/>
      </c>
    </row>
    <row r="249" spans="4:5" x14ac:dyDescent="0.3">
      <c r="D249" s="3" t="str">
        <f t="shared" si="3"/>
        <v/>
      </c>
      <c r="E249" s="3" t="str">
        <f>IF(D249="","",IF(COUNTIF($D$3:$D249,$D249)=1,D249&amp;"1",IF(COUNTIF($D$3:$D249,$D249)=2,D249&amp;"2",IF(COUNTIF($D$3:$D249,$D249)=3,D249&amp;"3",IF(COUNTIF($D$3:$D249,$D249)=4,D249&amp;"4",IF(COUNTIF($D$3:$D249,$D249)=5,D249&amp;"5",IF(COUNTIF($D$3:$D249,$D249)=6,D249&amp;"6",IF(COUNTIF($D$3:$D249,$D249)=7,D249&amp;"7",IF(COUNTIF($D$3:$D249,$D249)=8,D249&amp;"8",D249)))))))))</f>
        <v/>
      </c>
    </row>
    <row r="250" spans="4:5" x14ac:dyDescent="0.3">
      <c r="D250" s="3" t="str">
        <f t="shared" si="3"/>
        <v/>
      </c>
      <c r="E250" s="3" t="str">
        <f>IF(D250="","",IF(COUNTIF($D$3:$D250,$D250)=1,D250&amp;"1",IF(COUNTIF($D$3:$D250,$D250)=2,D250&amp;"2",IF(COUNTIF($D$3:$D250,$D250)=3,D250&amp;"3",IF(COUNTIF($D$3:$D250,$D250)=4,D250&amp;"4",IF(COUNTIF($D$3:$D250,$D250)=5,D250&amp;"5",IF(COUNTIF($D$3:$D250,$D250)=6,D250&amp;"6",IF(COUNTIF($D$3:$D250,$D250)=7,D250&amp;"7",IF(COUNTIF($D$3:$D250,$D250)=8,D250&amp;"8",D250)))))))))</f>
        <v/>
      </c>
    </row>
    <row r="251" spans="4:5" x14ac:dyDescent="0.3">
      <c r="D251" s="3" t="str">
        <f t="shared" si="3"/>
        <v/>
      </c>
      <c r="E251" s="3" t="str">
        <f>IF(D251="","",IF(COUNTIF($D$3:$D251,$D251)=1,D251&amp;"1",IF(COUNTIF($D$3:$D251,$D251)=2,D251&amp;"2",IF(COUNTIF($D$3:$D251,$D251)=3,D251&amp;"3",IF(COUNTIF($D$3:$D251,$D251)=4,D251&amp;"4",IF(COUNTIF($D$3:$D251,$D251)=5,D251&amp;"5",IF(COUNTIF($D$3:$D251,$D251)=6,D251&amp;"6",IF(COUNTIF($D$3:$D251,$D251)=7,D251&amp;"7",IF(COUNTIF($D$3:$D251,$D251)=8,D251&amp;"8",D251)))))))))</f>
        <v/>
      </c>
    </row>
    <row r="252" spans="4:5" x14ac:dyDescent="0.3">
      <c r="D252" s="3" t="str">
        <f t="shared" si="3"/>
        <v/>
      </c>
      <c r="E252" s="3" t="str">
        <f>IF(D252="","",IF(COUNTIF($D$3:$D252,$D252)=1,D252&amp;"1",IF(COUNTIF($D$3:$D252,$D252)=2,D252&amp;"2",IF(COUNTIF($D$3:$D252,$D252)=3,D252&amp;"3",IF(COUNTIF($D$3:$D252,$D252)=4,D252&amp;"4",IF(COUNTIF($D$3:$D252,$D252)=5,D252&amp;"5",IF(COUNTIF($D$3:$D252,$D252)=6,D252&amp;"6",IF(COUNTIF($D$3:$D252,$D252)=7,D252&amp;"7",IF(COUNTIF($D$3:$D252,$D252)=8,D252&amp;"8",D252)))))))))</f>
        <v/>
      </c>
    </row>
    <row r="253" spans="4:5" x14ac:dyDescent="0.3">
      <c r="D253" s="3" t="str">
        <f t="shared" si="3"/>
        <v/>
      </c>
      <c r="E253" s="3" t="str">
        <f>IF(D253="","",IF(COUNTIF($D$3:$D253,$D253)=1,D253&amp;"1",IF(COUNTIF($D$3:$D253,$D253)=2,D253&amp;"2",IF(COUNTIF($D$3:$D253,$D253)=3,D253&amp;"3",IF(COUNTIF($D$3:$D253,$D253)=4,D253&amp;"4",IF(COUNTIF($D$3:$D253,$D253)=5,D253&amp;"5",IF(COUNTIF($D$3:$D253,$D253)=6,D253&amp;"6",IF(COUNTIF($D$3:$D253,$D253)=7,D253&amp;"7",IF(COUNTIF($D$3:$D253,$D253)=8,D253&amp;"8",D253)))))))))</f>
        <v/>
      </c>
    </row>
    <row r="254" spans="4:5" x14ac:dyDescent="0.3">
      <c r="D254" s="3" t="str">
        <f t="shared" si="3"/>
        <v/>
      </c>
      <c r="E254" s="3" t="str">
        <f>IF(D254="","",IF(COUNTIF($D$3:$D254,$D254)=1,D254&amp;"1",IF(COUNTIF($D$3:$D254,$D254)=2,D254&amp;"2",IF(COUNTIF($D$3:$D254,$D254)=3,D254&amp;"3",IF(COUNTIF($D$3:$D254,$D254)=4,D254&amp;"4",IF(COUNTIF($D$3:$D254,$D254)=5,D254&amp;"5",IF(COUNTIF($D$3:$D254,$D254)=6,D254&amp;"6",IF(COUNTIF($D$3:$D254,$D254)=7,D254&amp;"7",IF(COUNTIF($D$3:$D254,$D254)=8,D254&amp;"8",D254)))))))))</f>
        <v/>
      </c>
    </row>
    <row r="255" spans="4:5" x14ac:dyDescent="0.3">
      <c r="D255" s="3" t="str">
        <f t="shared" si="3"/>
        <v/>
      </c>
      <c r="E255" s="3" t="str">
        <f>IF(D255="","",IF(COUNTIF($D$3:$D255,$D255)=1,D255&amp;"1",IF(COUNTIF($D$3:$D255,$D255)=2,D255&amp;"2",IF(COUNTIF($D$3:$D255,$D255)=3,D255&amp;"3",IF(COUNTIF($D$3:$D255,$D255)=4,D255&amp;"4",IF(COUNTIF($D$3:$D255,$D255)=5,D255&amp;"5",IF(COUNTIF($D$3:$D255,$D255)=6,D255&amp;"6",IF(COUNTIF($D$3:$D255,$D255)=7,D255&amp;"7",IF(COUNTIF($D$3:$D255,$D255)=8,D255&amp;"8",D255)))))))))</f>
        <v/>
      </c>
    </row>
    <row r="256" spans="4:5" x14ac:dyDescent="0.3">
      <c r="D256" s="3" t="str">
        <f t="shared" si="3"/>
        <v/>
      </c>
      <c r="E256" s="3" t="str">
        <f>IF(D256="","",IF(COUNTIF($D$3:$D256,$D256)=1,D256&amp;"1",IF(COUNTIF($D$3:$D256,$D256)=2,D256&amp;"2",IF(COUNTIF($D$3:$D256,$D256)=3,D256&amp;"3",IF(COUNTIF($D$3:$D256,$D256)=4,D256&amp;"4",IF(COUNTIF($D$3:$D256,$D256)=5,D256&amp;"5",IF(COUNTIF($D$3:$D256,$D256)=6,D256&amp;"6",IF(COUNTIF($D$3:$D256,$D256)=7,D256&amp;"7",IF(COUNTIF($D$3:$D256,$D256)=8,D256&amp;"8",D256)))))))))</f>
        <v/>
      </c>
    </row>
    <row r="257" spans="4:5" x14ac:dyDescent="0.3">
      <c r="D257" s="3" t="str">
        <f t="shared" si="3"/>
        <v/>
      </c>
      <c r="E257" s="3" t="str">
        <f>IF(D257="","",IF(COUNTIF($D$3:$D257,$D257)=1,D257&amp;"1",IF(COUNTIF($D$3:$D257,$D257)=2,D257&amp;"2",IF(COUNTIF($D$3:$D257,$D257)=3,D257&amp;"3",IF(COUNTIF($D$3:$D257,$D257)=4,D257&amp;"4",IF(COUNTIF($D$3:$D257,$D257)=5,D257&amp;"5",IF(COUNTIF($D$3:$D257,$D257)=6,D257&amp;"6",IF(COUNTIF($D$3:$D257,$D257)=7,D257&amp;"7",IF(COUNTIF($D$3:$D257,$D257)=8,D257&amp;"8",D257)))))))))</f>
        <v/>
      </c>
    </row>
    <row r="258" spans="4:5" x14ac:dyDescent="0.3">
      <c r="D258" s="3" t="str">
        <f t="shared" si="3"/>
        <v/>
      </c>
      <c r="E258" s="3" t="str">
        <f>IF(D258="","",IF(COUNTIF($D$3:$D258,$D258)=1,D258&amp;"1",IF(COUNTIF($D$3:$D258,$D258)=2,D258&amp;"2",IF(COUNTIF($D$3:$D258,$D258)=3,D258&amp;"3",IF(COUNTIF($D$3:$D258,$D258)=4,D258&amp;"4",IF(COUNTIF($D$3:$D258,$D258)=5,D258&amp;"5",IF(COUNTIF($D$3:$D258,$D258)=6,D258&amp;"6",IF(COUNTIF($D$3:$D258,$D258)=7,D258&amp;"7",IF(COUNTIF($D$3:$D258,$D258)=8,D258&amp;"8",D258)))))))))</f>
        <v/>
      </c>
    </row>
    <row r="259" spans="4:5" x14ac:dyDescent="0.3">
      <c r="D259" s="3" t="str">
        <f t="shared" si="3"/>
        <v/>
      </c>
      <c r="E259" s="3" t="str">
        <f>IF(D259="","",IF(COUNTIF($D$3:$D259,$D259)=1,D259&amp;"1",IF(COUNTIF($D$3:$D259,$D259)=2,D259&amp;"2",IF(COUNTIF($D$3:$D259,$D259)=3,D259&amp;"3",IF(COUNTIF($D$3:$D259,$D259)=4,D259&amp;"4",IF(COUNTIF($D$3:$D259,$D259)=5,D259&amp;"5",IF(COUNTIF($D$3:$D259,$D259)=6,D259&amp;"6",IF(COUNTIF($D$3:$D259,$D259)=7,D259&amp;"7",IF(COUNTIF($D$3:$D259,$D259)=8,D259&amp;"8",D259)))))))))</f>
        <v/>
      </c>
    </row>
    <row r="260" spans="4:5" x14ac:dyDescent="0.3">
      <c r="D260" s="3" t="str">
        <f t="shared" ref="D260:D323" si="4">B260&amp;C260</f>
        <v/>
      </c>
      <c r="E260" s="3" t="str">
        <f>IF(D260="","",IF(COUNTIF($D$3:$D260,$D260)=1,D260&amp;"1",IF(COUNTIF($D$3:$D260,$D260)=2,D260&amp;"2",IF(COUNTIF($D$3:$D260,$D260)=3,D260&amp;"3",IF(COUNTIF($D$3:$D260,$D260)=4,D260&amp;"4",IF(COUNTIF($D$3:$D260,$D260)=5,D260&amp;"5",IF(COUNTIF($D$3:$D260,$D260)=6,D260&amp;"6",IF(COUNTIF($D$3:$D260,$D260)=7,D260&amp;"7",IF(COUNTIF($D$3:$D260,$D260)=8,D260&amp;"8",D260)))))))))</f>
        <v/>
      </c>
    </row>
    <row r="261" spans="4:5" x14ac:dyDescent="0.3">
      <c r="D261" s="3" t="str">
        <f t="shared" si="4"/>
        <v/>
      </c>
      <c r="E261" s="3" t="str">
        <f>IF(D261="","",IF(COUNTIF($D$3:$D261,$D261)=1,D261&amp;"1",IF(COUNTIF($D$3:$D261,$D261)=2,D261&amp;"2",IF(COUNTIF($D$3:$D261,$D261)=3,D261&amp;"3",IF(COUNTIF($D$3:$D261,$D261)=4,D261&amp;"4",IF(COUNTIF($D$3:$D261,$D261)=5,D261&amp;"5",IF(COUNTIF($D$3:$D261,$D261)=6,D261&amp;"6",IF(COUNTIF($D$3:$D261,$D261)=7,D261&amp;"7",IF(COUNTIF($D$3:$D261,$D261)=8,D261&amp;"8",D261)))))))))</f>
        <v/>
      </c>
    </row>
    <row r="262" spans="4:5" x14ac:dyDescent="0.3">
      <c r="D262" s="3" t="str">
        <f t="shared" si="4"/>
        <v/>
      </c>
      <c r="E262" s="3" t="str">
        <f>IF(D262="","",IF(COUNTIF($D$3:$D262,$D262)=1,D262&amp;"1",IF(COUNTIF($D$3:$D262,$D262)=2,D262&amp;"2",IF(COUNTIF($D$3:$D262,$D262)=3,D262&amp;"3",IF(COUNTIF($D$3:$D262,$D262)=4,D262&amp;"4",IF(COUNTIF($D$3:$D262,$D262)=5,D262&amp;"5",IF(COUNTIF($D$3:$D262,$D262)=6,D262&amp;"6",IF(COUNTIF($D$3:$D262,$D262)=7,D262&amp;"7",IF(COUNTIF($D$3:$D262,$D262)=8,D262&amp;"8",D262)))))))))</f>
        <v/>
      </c>
    </row>
    <row r="263" spans="4:5" x14ac:dyDescent="0.3">
      <c r="D263" s="3" t="str">
        <f t="shared" si="4"/>
        <v/>
      </c>
      <c r="E263" s="3" t="str">
        <f>IF(D263="","",IF(COUNTIF($D$3:$D263,$D263)=1,D263&amp;"1",IF(COUNTIF($D$3:$D263,$D263)=2,D263&amp;"2",IF(COUNTIF($D$3:$D263,$D263)=3,D263&amp;"3",IF(COUNTIF($D$3:$D263,$D263)=4,D263&amp;"4",IF(COUNTIF($D$3:$D263,$D263)=5,D263&amp;"5",IF(COUNTIF($D$3:$D263,$D263)=6,D263&amp;"6",IF(COUNTIF($D$3:$D263,$D263)=7,D263&amp;"7",IF(COUNTIF($D$3:$D263,$D263)=8,D263&amp;"8",D263)))))))))</f>
        <v/>
      </c>
    </row>
    <row r="264" spans="4:5" x14ac:dyDescent="0.3">
      <c r="D264" s="3" t="str">
        <f t="shared" si="4"/>
        <v/>
      </c>
      <c r="E264" s="3" t="str">
        <f>IF(D264="","",IF(COUNTIF($D$3:$D264,$D264)=1,D264&amp;"1",IF(COUNTIF($D$3:$D264,$D264)=2,D264&amp;"2",IF(COUNTIF($D$3:$D264,$D264)=3,D264&amp;"3",IF(COUNTIF($D$3:$D264,$D264)=4,D264&amp;"4",IF(COUNTIF($D$3:$D264,$D264)=5,D264&amp;"5",IF(COUNTIF($D$3:$D264,$D264)=6,D264&amp;"6",IF(COUNTIF($D$3:$D264,$D264)=7,D264&amp;"7",IF(COUNTIF($D$3:$D264,$D264)=8,D264&amp;"8",D264)))))))))</f>
        <v/>
      </c>
    </row>
    <row r="265" spans="4:5" x14ac:dyDescent="0.3">
      <c r="D265" s="3" t="str">
        <f t="shared" si="4"/>
        <v/>
      </c>
      <c r="E265" s="3" t="str">
        <f>IF(D265="","",IF(COUNTIF($D$3:$D265,$D265)=1,D265&amp;"1",IF(COUNTIF($D$3:$D265,$D265)=2,D265&amp;"2",IF(COUNTIF($D$3:$D265,$D265)=3,D265&amp;"3",IF(COUNTIF($D$3:$D265,$D265)=4,D265&amp;"4",IF(COUNTIF($D$3:$D265,$D265)=5,D265&amp;"5",IF(COUNTIF($D$3:$D265,$D265)=6,D265&amp;"6",IF(COUNTIF($D$3:$D265,$D265)=7,D265&amp;"7",IF(COUNTIF($D$3:$D265,$D265)=8,D265&amp;"8",D265)))))))))</f>
        <v/>
      </c>
    </row>
    <row r="266" spans="4:5" x14ac:dyDescent="0.3">
      <c r="D266" s="3" t="str">
        <f t="shared" si="4"/>
        <v/>
      </c>
      <c r="E266" s="3" t="str">
        <f>IF(D266="","",IF(COUNTIF($D$3:$D266,$D266)=1,D266&amp;"1",IF(COUNTIF($D$3:$D266,$D266)=2,D266&amp;"2",IF(COUNTIF($D$3:$D266,$D266)=3,D266&amp;"3",IF(COUNTIF($D$3:$D266,$D266)=4,D266&amp;"4",IF(COUNTIF($D$3:$D266,$D266)=5,D266&amp;"5",IF(COUNTIF($D$3:$D266,$D266)=6,D266&amp;"6",IF(COUNTIF($D$3:$D266,$D266)=7,D266&amp;"7",IF(COUNTIF($D$3:$D266,$D266)=8,D266&amp;"8",D266)))))))))</f>
        <v/>
      </c>
    </row>
    <row r="267" spans="4:5" x14ac:dyDescent="0.3">
      <c r="D267" s="3" t="str">
        <f t="shared" si="4"/>
        <v/>
      </c>
      <c r="E267" s="3" t="str">
        <f>IF(D267="","",IF(COUNTIF($D$3:$D267,$D267)=1,D267&amp;"1",IF(COUNTIF($D$3:$D267,$D267)=2,D267&amp;"2",IF(COUNTIF($D$3:$D267,$D267)=3,D267&amp;"3",IF(COUNTIF($D$3:$D267,$D267)=4,D267&amp;"4",IF(COUNTIF($D$3:$D267,$D267)=5,D267&amp;"5",IF(COUNTIF($D$3:$D267,$D267)=6,D267&amp;"6",IF(COUNTIF($D$3:$D267,$D267)=7,D267&amp;"7",IF(COUNTIF($D$3:$D267,$D267)=8,D267&amp;"8",D267)))))))))</f>
        <v/>
      </c>
    </row>
    <row r="268" spans="4:5" x14ac:dyDescent="0.3">
      <c r="D268" s="3" t="str">
        <f t="shared" si="4"/>
        <v/>
      </c>
      <c r="E268" s="3" t="str">
        <f>IF(D268="","",IF(COUNTIF($D$3:$D268,$D268)=1,D268&amp;"1",IF(COUNTIF($D$3:$D268,$D268)=2,D268&amp;"2",IF(COUNTIF($D$3:$D268,$D268)=3,D268&amp;"3",IF(COUNTIF($D$3:$D268,$D268)=4,D268&amp;"4",IF(COUNTIF($D$3:$D268,$D268)=5,D268&amp;"5",IF(COUNTIF($D$3:$D268,$D268)=6,D268&amp;"6",IF(COUNTIF($D$3:$D268,$D268)=7,D268&amp;"7",IF(COUNTIF($D$3:$D268,$D268)=8,D268&amp;"8",D268)))))))))</f>
        <v/>
      </c>
    </row>
    <row r="269" spans="4:5" x14ac:dyDescent="0.3">
      <c r="D269" s="3" t="str">
        <f t="shared" si="4"/>
        <v/>
      </c>
      <c r="E269" s="3" t="str">
        <f>IF(D269="","",IF(COUNTIF($D$3:$D269,$D269)=1,D269&amp;"1",IF(COUNTIF($D$3:$D269,$D269)=2,D269&amp;"2",IF(COUNTIF($D$3:$D269,$D269)=3,D269&amp;"3",IF(COUNTIF($D$3:$D269,$D269)=4,D269&amp;"4",IF(COUNTIF($D$3:$D269,$D269)=5,D269&amp;"5",IF(COUNTIF($D$3:$D269,$D269)=6,D269&amp;"6",IF(COUNTIF($D$3:$D269,$D269)=7,D269&amp;"7",IF(COUNTIF($D$3:$D269,$D269)=8,D269&amp;"8",D269)))))))))</f>
        <v/>
      </c>
    </row>
    <row r="270" spans="4:5" x14ac:dyDescent="0.3">
      <c r="D270" s="3" t="str">
        <f t="shared" si="4"/>
        <v/>
      </c>
      <c r="E270" s="3" t="str">
        <f>IF(D270="","",IF(COUNTIF($D$3:$D270,$D270)=1,D270&amp;"1",IF(COUNTIF($D$3:$D270,$D270)=2,D270&amp;"2",IF(COUNTIF($D$3:$D270,$D270)=3,D270&amp;"3",IF(COUNTIF($D$3:$D270,$D270)=4,D270&amp;"4",IF(COUNTIF($D$3:$D270,$D270)=5,D270&amp;"5",IF(COUNTIF($D$3:$D270,$D270)=6,D270&amp;"6",IF(COUNTIF($D$3:$D270,$D270)=7,D270&amp;"7",IF(COUNTIF($D$3:$D270,$D270)=8,D270&amp;"8",D270)))))))))</f>
        <v/>
      </c>
    </row>
    <row r="271" spans="4:5" x14ac:dyDescent="0.3">
      <c r="D271" s="3" t="str">
        <f t="shared" si="4"/>
        <v/>
      </c>
      <c r="E271" s="3" t="str">
        <f>IF(D271="","",IF(COUNTIF($D$3:$D271,$D271)=1,D271&amp;"1",IF(COUNTIF($D$3:$D271,$D271)=2,D271&amp;"2",IF(COUNTIF($D$3:$D271,$D271)=3,D271&amp;"3",IF(COUNTIF($D$3:$D271,$D271)=4,D271&amp;"4",IF(COUNTIF($D$3:$D271,$D271)=5,D271&amp;"5",IF(COUNTIF($D$3:$D271,$D271)=6,D271&amp;"6",IF(COUNTIF($D$3:$D271,$D271)=7,D271&amp;"7",IF(COUNTIF($D$3:$D271,$D271)=8,D271&amp;"8",D271)))))))))</f>
        <v/>
      </c>
    </row>
    <row r="272" spans="4:5" x14ac:dyDescent="0.3">
      <c r="D272" s="3" t="str">
        <f t="shared" si="4"/>
        <v/>
      </c>
      <c r="E272" s="3" t="str">
        <f>IF(D272="","",IF(COUNTIF($D$3:$D272,$D272)=1,D272&amp;"1",IF(COUNTIF($D$3:$D272,$D272)=2,D272&amp;"2",IF(COUNTIF($D$3:$D272,$D272)=3,D272&amp;"3",IF(COUNTIF($D$3:$D272,$D272)=4,D272&amp;"4",IF(COUNTIF($D$3:$D272,$D272)=5,D272&amp;"5",IF(COUNTIF($D$3:$D272,$D272)=6,D272&amp;"6",IF(COUNTIF($D$3:$D272,$D272)=7,D272&amp;"7",IF(COUNTIF($D$3:$D272,$D272)=8,D272&amp;"8",D272)))))))))</f>
        <v/>
      </c>
    </row>
    <row r="273" spans="4:5" x14ac:dyDescent="0.3">
      <c r="D273" s="3" t="str">
        <f t="shared" si="4"/>
        <v/>
      </c>
      <c r="E273" s="3" t="str">
        <f>IF(D273="","",IF(COUNTIF($D$3:$D273,$D273)=1,D273&amp;"1",IF(COUNTIF($D$3:$D273,$D273)=2,D273&amp;"2",IF(COUNTIF($D$3:$D273,$D273)=3,D273&amp;"3",IF(COUNTIF($D$3:$D273,$D273)=4,D273&amp;"4",IF(COUNTIF($D$3:$D273,$D273)=5,D273&amp;"5",IF(COUNTIF($D$3:$D273,$D273)=6,D273&amp;"6",IF(COUNTIF($D$3:$D273,$D273)=7,D273&amp;"7",IF(COUNTIF($D$3:$D273,$D273)=8,D273&amp;"8",D273)))))))))</f>
        <v/>
      </c>
    </row>
    <row r="274" spans="4:5" x14ac:dyDescent="0.3">
      <c r="D274" s="3" t="str">
        <f t="shared" si="4"/>
        <v/>
      </c>
      <c r="E274" s="3" t="str">
        <f>IF(D274="","",IF(COUNTIF($D$3:$D274,$D274)=1,D274&amp;"1",IF(COUNTIF($D$3:$D274,$D274)=2,D274&amp;"2",IF(COUNTIF($D$3:$D274,$D274)=3,D274&amp;"3",IF(COUNTIF($D$3:$D274,$D274)=4,D274&amp;"4",IF(COUNTIF($D$3:$D274,$D274)=5,D274&amp;"5",IF(COUNTIF($D$3:$D274,$D274)=6,D274&amp;"6",IF(COUNTIF($D$3:$D274,$D274)=7,D274&amp;"7",IF(COUNTIF($D$3:$D274,$D274)=8,D274&amp;"8",D274)))))))))</f>
        <v/>
      </c>
    </row>
    <row r="275" spans="4:5" x14ac:dyDescent="0.3">
      <c r="D275" s="3" t="str">
        <f t="shared" si="4"/>
        <v/>
      </c>
      <c r="E275" s="3" t="str">
        <f>IF(D275="","",IF(COUNTIF($D$3:$D275,$D275)=1,D275&amp;"1",IF(COUNTIF($D$3:$D275,$D275)=2,D275&amp;"2",IF(COUNTIF($D$3:$D275,$D275)=3,D275&amp;"3",IF(COUNTIF($D$3:$D275,$D275)=4,D275&amp;"4",IF(COUNTIF($D$3:$D275,$D275)=5,D275&amp;"5",IF(COUNTIF($D$3:$D275,$D275)=6,D275&amp;"6",IF(COUNTIF($D$3:$D275,$D275)=7,D275&amp;"7",IF(COUNTIF($D$3:$D275,$D275)=8,D275&amp;"8",D275)))))))))</f>
        <v/>
      </c>
    </row>
    <row r="276" spans="4:5" x14ac:dyDescent="0.3">
      <c r="D276" s="3" t="str">
        <f t="shared" si="4"/>
        <v/>
      </c>
      <c r="E276" s="3" t="str">
        <f>IF(D276="","",IF(COUNTIF($D$3:$D276,$D276)=1,D276&amp;"1",IF(COUNTIF($D$3:$D276,$D276)=2,D276&amp;"2",IF(COUNTIF($D$3:$D276,$D276)=3,D276&amp;"3",IF(COUNTIF($D$3:$D276,$D276)=4,D276&amp;"4",IF(COUNTIF($D$3:$D276,$D276)=5,D276&amp;"5",IF(COUNTIF($D$3:$D276,$D276)=6,D276&amp;"6",IF(COUNTIF($D$3:$D276,$D276)=7,D276&amp;"7",IF(COUNTIF($D$3:$D276,$D276)=8,D276&amp;"8",D276)))))))))</f>
        <v/>
      </c>
    </row>
    <row r="277" spans="4:5" x14ac:dyDescent="0.3">
      <c r="D277" s="3" t="str">
        <f t="shared" si="4"/>
        <v/>
      </c>
      <c r="E277" s="3" t="str">
        <f>IF(D277="","",IF(COUNTIF($D$3:$D277,$D277)=1,D277&amp;"1",IF(COUNTIF($D$3:$D277,$D277)=2,D277&amp;"2",IF(COUNTIF($D$3:$D277,$D277)=3,D277&amp;"3",IF(COUNTIF($D$3:$D277,$D277)=4,D277&amp;"4",IF(COUNTIF($D$3:$D277,$D277)=5,D277&amp;"5",IF(COUNTIF($D$3:$D277,$D277)=6,D277&amp;"6",IF(COUNTIF($D$3:$D277,$D277)=7,D277&amp;"7",IF(COUNTIF($D$3:$D277,$D277)=8,D277&amp;"8",D277)))))))))</f>
        <v/>
      </c>
    </row>
    <row r="278" spans="4:5" x14ac:dyDescent="0.3">
      <c r="D278" s="3" t="str">
        <f t="shared" si="4"/>
        <v/>
      </c>
      <c r="E278" s="3" t="str">
        <f>IF(D278="","",IF(COUNTIF($D$3:$D278,$D278)=1,D278&amp;"1",IF(COUNTIF($D$3:$D278,$D278)=2,D278&amp;"2",IF(COUNTIF($D$3:$D278,$D278)=3,D278&amp;"3",IF(COUNTIF($D$3:$D278,$D278)=4,D278&amp;"4",IF(COUNTIF($D$3:$D278,$D278)=5,D278&amp;"5",IF(COUNTIF($D$3:$D278,$D278)=6,D278&amp;"6",IF(COUNTIF($D$3:$D278,$D278)=7,D278&amp;"7",IF(COUNTIF($D$3:$D278,$D278)=8,D278&amp;"8",D278)))))))))</f>
        <v/>
      </c>
    </row>
    <row r="279" spans="4:5" x14ac:dyDescent="0.3">
      <c r="D279" s="3" t="str">
        <f t="shared" si="4"/>
        <v/>
      </c>
      <c r="E279" s="3" t="str">
        <f>IF(D279="","",IF(COUNTIF($D$3:$D279,$D279)=1,D279&amp;"1",IF(COUNTIF($D$3:$D279,$D279)=2,D279&amp;"2",IF(COUNTIF($D$3:$D279,$D279)=3,D279&amp;"3",IF(COUNTIF($D$3:$D279,$D279)=4,D279&amp;"4",IF(COUNTIF($D$3:$D279,$D279)=5,D279&amp;"5",IF(COUNTIF($D$3:$D279,$D279)=6,D279&amp;"6",IF(COUNTIF($D$3:$D279,$D279)=7,D279&amp;"7",IF(COUNTIF($D$3:$D279,$D279)=8,D279&amp;"8",D279)))))))))</f>
        <v/>
      </c>
    </row>
    <row r="280" spans="4:5" x14ac:dyDescent="0.3">
      <c r="D280" s="3" t="str">
        <f t="shared" si="4"/>
        <v/>
      </c>
      <c r="E280" s="3" t="str">
        <f>IF(D280="","",IF(COUNTIF($D$3:$D280,$D280)=1,D280&amp;"1",IF(COUNTIF($D$3:$D280,$D280)=2,D280&amp;"2",IF(COUNTIF($D$3:$D280,$D280)=3,D280&amp;"3",IF(COUNTIF($D$3:$D280,$D280)=4,D280&amp;"4",IF(COUNTIF($D$3:$D280,$D280)=5,D280&amp;"5",IF(COUNTIF($D$3:$D280,$D280)=6,D280&amp;"6",IF(COUNTIF($D$3:$D280,$D280)=7,D280&amp;"7",IF(COUNTIF($D$3:$D280,$D280)=8,D280&amp;"8",D280)))))))))</f>
        <v/>
      </c>
    </row>
    <row r="281" spans="4:5" x14ac:dyDescent="0.3">
      <c r="D281" s="3" t="str">
        <f t="shared" si="4"/>
        <v/>
      </c>
      <c r="E281" s="3" t="str">
        <f>IF(D281="","",IF(COUNTIF($D$3:$D281,$D281)=1,D281&amp;"1",IF(COUNTIF($D$3:$D281,$D281)=2,D281&amp;"2",IF(COUNTIF($D$3:$D281,$D281)=3,D281&amp;"3",IF(COUNTIF($D$3:$D281,$D281)=4,D281&amp;"4",IF(COUNTIF($D$3:$D281,$D281)=5,D281&amp;"5",IF(COUNTIF($D$3:$D281,$D281)=6,D281&amp;"6",IF(COUNTIF($D$3:$D281,$D281)=7,D281&amp;"7",IF(COUNTIF($D$3:$D281,$D281)=8,D281&amp;"8",D281)))))))))</f>
        <v/>
      </c>
    </row>
    <row r="282" spans="4:5" x14ac:dyDescent="0.3">
      <c r="D282" s="3" t="str">
        <f t="shared" si="4"/>
        <v/>
      </c>
      <c r="E282" s="3" t="str">
        <f>IF(D282="","",IF(COUNTIF($D$3:$D282,$D282)=1,D282&amp;"1",IF(COUNTIF($D$3:$D282,$D282)=2,D282&amp;"2",IF(COUNTIF($D$3:$D282,$D282)=3,D282&amp;"3",IF(COUNTIF($D$3:$D282,$D282)=4,D282&amp;"4",IF(COUNTIF($D$3:$D282,$D282)=5,D282&amp;"5",IF(COUNTIF($D$3:$D282,$D282)=6,D282&amp;"6",IF(COUNTIF($D$3:$D282,$D282)=7,D282&amp;"7",IF(COUNTIF($D$3:$D282,$D282)=8,D282&amp;"8",D282)))))))))</f>
        <v/>
      </c>
    </row>
    <row r="283" spans="4:5" x14ac:dyDescent="0.3">
      <c r="D283" s="3" t="str">
        <f t="shared" si="4"/>
        <v/>
      </c>
      <c r="E283" s="3" t="str">
        <f>IF(D283="","",IF(COUNTIF($D$3:$D283,$D283)=1,D283&amp;"1",IF(COUNTIF($D$3:$D283,$D283)=2,D283&amp;"2",IF(COUNTIF($D$3:$D283,$D283)=3,D283&amp;"3",IF(COUNTIF($D$3:$D283,$D283)=4,D283&amp;"4",IF(COUNTIF($D$3:$D283,$D283)=5,D283&amp;"5",IF(COUNTIF($D$3:$D283,$D283)=6,D283&amp;"6",IF(COUNTIF($D$3:$D283,$D283)=7,D283&amp;"7",IF(COUNTIF($D$3:$D283,$D283)=8,D283&amp;"8",D283)))))))))</f>
        <v/>
      </c>
    </row>
    <row r="284" spans="4:5" x14ac:dyDescent="0.3">
      <c r="D284" s="3" t="str">
        <f t="shared" si="4"/>
        <v/>
      </c>
      <c r="E284" s="3" t="str">
        <f>IF(D284="","",IF(COUNTIF($D$3:$D284,$D284)=1,D284&amp;"1",IF(COUNTIF($D$3:$D284,$D284)=2,D284&amp;"2",IF(COUNTIF($D$3:$D284,$D284)=3,D284&amp;"3",IF(COUNTIF($D$3:$D284,$D284)=4,D284&amp;"4",IF(COUNTIF($D$3:$D284,$D284)=5,D284&amp;"5",IF(COUNTIF($D$3:$D284,$D284)=6,D284&amp;"6",IF(COUNTIF($D$3:$D284,$D284)=7,D284&amp;"7",IF(COUNTIF($D$3:$D284,$D284)=8,D284&amp;"8",D284)))))))))</f>
        <v/>
      </c>
    </row>
    <row r="285" spans="4:5" x14ac:dyDescent="0.3">
      <c r="D285" s="3" t="str">
        <f t="shared" si="4"/>
        <v/>
      </c>
      <c r="E285" s="3" t="str">
        <f>IF(D285="","",IF(COUNTIF($D$3:$D285,$D285)=1,D285&amp;"1",IF(COUNTIF($D$3:$D285,$D285)=2,D285&amp;"2",IF(COUNTIF($D$3:$D285,$D285)=3,D285&amp;"3",IF(COUNTIF($D$3:$D285,$D285)=4,D285&amp;"4",IF(COUNTIF($D$3:$D285,$D285)=5,D285&amp;"5",IF(COUNTIF($D$3:$D285,$D285)=6,D285&amp;"6",IF(COUNTIF($D$3:$D285,$D285)=7,D285&amp;"7",IF(COUNTIF($D$3:$D285,$D285)=8,D285&amp;"8",D285)))))))))</f>
        <v/>
      </c>
    </row>
    <row r="286" spans="4:5" x14ac:dyDescent="0.3">
      <c r="D286" s="3" t="str">
        <f t="shared" si="4"/>
        <v/>
      </c>
      <c r="E286" s="3" t="str">
        <f>IF(D286="","",IF(COUNTIF($D$3:$D286,$D286)=1,D286&amp;"1",IF(COUNTIF($D$3:$D286,$D286)=2,D286&amp;"2",IF(COUNTIF($D$3:$D286,$D286)=3,D286&amp;"3",IF(COUNTIF($D$3:$D286,$D286)=4,D286&amp;"4",IF(COUNTIF($D$3:$D286,$D286)=5,D286&amp;"5",IF(COUNTIF($D$3:$D286,$D286)=6,D286&amp;"6",IF(COUNTIF($D$3:$D286,$D286)=7,D286&amp;"7",IF(COUNTIF($D$3:$D286,$D286)=8,D286&amp;"8",D286)))))))))</f>
        <v/>
      </c>
    </row>
    <row r="287" spans="4:5" x14ac:dyDescent="0.3">
      <c r="D287" s="3" t="str">
        <f t="shared" si="4"/>
        <v/>
      </c>
      <c r="E287" s="3" t="str">
        <f>IF(D287="","",IF(COUNTIF($D$3:$D287,$D287)=1,D287&amp;"1",IF(COUNTIF($D$3:$D287,$D287)=2,D287&amp;"2",IF(COUNTIF($D$3:$D287,$D287)=3,D287&amp;"3",IF(COUNTIF($D$3:$D287,$D287)=4,D287&amp;"4",IF(COUNTIF($D$3:$D287,$D287)=5,D287&amp;"5",IF(COUNTIF($D$3:$D287,$D287)=6,D287&amp;"6",IF(COUNTIF($D$3:$D287,$D287)=7,D287&amp;"7",IF(COUNTIF($D$3:$D287,$D287)=8,D287&amp;"8",D287)))))))))</f>
        <v/>
      </c>
    </row>
    <row r="288" spans="4:5" x14ac:dyDescent="0.3">
      <c r="D288" s="3" t="str">
        <f t="shared" si="4"/>
        <v/>
      </c>
      <c r="E288" s="3" t="str">
        <f>IF(D288="","",IF(COUNTIF($D$3:$D288,$D288)=1,D288&amp;"1",IF(COUNTIF($D$3:$D288,$D288)=2,D288&amp;"2",IF(COUNTIF($D$3:$D288,$D288)=3,D288&amp;"3",IF(COUNTIF($D$3:$D288,$D288)=4,D288&amp;"4",IF(COUNTIF($D$3:$D288,$D288)=5,D288&amp;"5",IF(COUNTIF($D$3:$D288,$D288)=6,D288&amp;"6",IF(COUNTIF($D$3:$D288,$D288)=7,D288&amp;"7",IF(COUNTIF($D$3:$D288,$D288)=8,D288&amp;"8",D288)))))))))</f>
        <v/>
      </c>
    </row>
    <row r="289" spans="4:5" x14ac:dyDescent="0.3">
      <c r="D289" s="3" t="str">
        <f t="shared" si="4"/>
        <v/>
      </c>
      <c r="E289" s="3" t="str">
        <f>IF(D289="","",IF(COUNTIF($D$3:$D289,$D289)=1,D289&amp;"1",IF(COUNTIF($D$3:$D289,$D289)=2,D289&amp;"2",IF(COUNTIF($D$3:$D289,$D289)=3,D289&amp;"3",IF(COUNTIF($D$3:$D289,$D289)=4,D289&amp;"4",IF(COUNTIF($D$3:$D289,$D289)=5,D289&amp;"5",IF(COUNTIF($D$3:$D289,$D289)=6,D289&amp;"6",IF(COUNTIF($D$3:$D289,$D289)=7,D289&amp;"7",IF(COUNTIF($D$3:$D289,$D289)=8,D289&amp;"8",D289)))))))))</f>
        <v/>
      </c>
    </row>
    <row r="290" spans="4:5" x14ac:dyDescent="0.3">
      <c r="D290" s="3" t="str">
        <f t="shared" si="4"/>
        <v/>
      </c>
      <c r="E290" s="3" t="str">
        <f>IF(D290="","",IF(COUNTIF($D$3:$D290,$D290)=1,D290&amp;"1",IF(COUNTIF($D$3:$D290,$D290)=2,D290&amp;"2",IF(COUNTIF($D$3:$D290,$D290)=3,D290&amp;"3",IF(COUNTIF($D$3:$D290,$D290)=4,D290&amp;"4",IF(COUNTIF($D$3:$D290,$D290)=5,D290&amp;"5",IF(COUNTIF($D$3:$D290,$D290)=6,D290&amp;"6",IF(COUNTIF($D$3:$D290,$D290)=7,D290&amp;"7",IF(COUNTIF($D$3:$D290,$D290)=8,D290&amp;"8",D290)))))))))</f>
        <v/>
      </c>
    </row>
    <row r="291" spans="4:5" x14ac:dyDescent="0.3">
      <c r="D291" s="3" t="str">
        <f t="shared" si="4"/>
        <v/>
      </c>
      <c r="E291" s="3" t="str">
        <f>IF(D291="","",IF(COUNTIF($D$3:$D291,$D291)=1,D291&amp;"1",IF(COUNTIF($D$3:$D291,$D291)=2,D291&amp;"2",IF(COUNTIF($D$3:$D291,$D291)=3,D291&amp;"3",IF(COUNTIF($D$3:$D291,$D291)=4,D291&amp;"4",IF(COUNTIF($D$3:$D291,$D291)=5,D291&amp;"5",IF(COUNTIF($D$3:$D291,$D291)=6,D291&amp;"6",IF(COUNTIF($D$3:$D291,$D291)=7,D291&amp;"7",IF(COUNTIF($D$3:$D291,$D291)=8,D291&amp;"8",D291)))))))))</f>
        <v/>
      </c>
    </row>
    <row r="292" spans="4:5" x14ac:dyDescent="0.3">
      <c r="D292" s="3" t="str">
        <f t="shared" si="4"/>
        <v/>
      </c>
      <c r="E292" s="3" t="str">
        <f>IF(D292="","",IF(COUNTIF($D$3:$D292,$D292)=1,D292&amp;"1",IF(COUNTIF($D$3:$D292,$D292)=2,D292&amp;"2",IF(COUNTIF($D$3:$D292,$D292)=3,D292&amp;"3",IF(COUNTIF($D$3:$D292,$D292)=4,D292&amp;"4",IF(COUNTIF($D$3:$D292,$D292)=5,D292&amp;"5",IF(COUNTIF($D$3:$D292,$D292)=6,D292&amp;"6",IF(COUNTIF($D$3:$D292,$D292)=7,D292&amp;"7",IF(COUNTIF($D$3:$D292,$D292)=8,D292&amp;"8",D292)))))))))</f>
        <v/>
      </c>
    </row>
    <row r="293" spans="4:5" x14ac:dyDescent="0.3">
      <c r="D293" s="3" t="str">
        <f t="shared" si="4"/>
        <v/>
      </c>
      <c r="E293" s="3" t="str">
        <f>IF(D293="","",IF(COUNTIF($D$3:$D293,$D293)=1,D293&amp;"1",IF(COUNTIF($D$3:$D293,$D293)=2,D293&amp;"2",IF(COUNTIF($D$3:$D293,$D293)=3,D293&amp;"3",IF(COUNTIF($D$3:$D293,$D293)=4,D293&amp;"4",IF(COUNTIF($D$3:$D293,$D293)=5,D293&amp;"5",IF(COUNTIF($D$3:$D293,$D293)=6,D293&amp;"6",IF(COUNTIF($D$3:$D293,$D293)=7,D293&amp;"7",IF(COUNTIF($D$3:$D293,$D293)=8,D293&amp;"8",D293)))))))))</f>
        <v/>
      </c>
    </row>
    <row r="294" spans="4:5" x14ac:dyDescent="0.3">
      <c r="D294" s="3" t="str">
        <f t="shared" si="4"/>
        <v/>
      </c>
      <c r="E294" s="3" t="str">
        <f>IF(D294="","",IF(COUNTIF($D$3:$D294,$D294)=1,D294&amp;"1",IF(COUNTIF($D$3:$D294,$D294)=2,D294&amp;"2",IF(COUNTIF($D$3:$D294,$D294)=3,D294&amp;"3",IF(COUNTIF($D$3:$D294,$D294)=4,D294&amp;"4",IF(COUNTIF($D$3:$D294,$D294)=5,D294&amp;"5",IF(COUNTIF($D$3:$D294,$D294)=6,D294&amp;"6",IF(COUNTIF($D$3:$D294,$D294)=7,D294&amp;"7",IF(COUNTIF($D$3:$D294,$D294)=8,D294&amp;"8",D294)))))))))</f>
        <v/>
      </c>
    </row>
    <row r="295" spans="4:5" x14ac:dyDescent="0.3">
      <c r="D295" s="3" t="str">
        <f t="shared" si="4"/>
        <v/>
      </c>
      <c r="E295" s="3" t="str">
        <f>IF(D295="","",IF(COUNTIF($D$3:$D295,$D295)=1,D295&amp;"1",IF(COUNTIF($D$3:$D295,$D295)=2,D295&amp;"2",IF(COUNTIF($D$3:$D295,$D295)=3,D295&amp;"3",IF(COUNTIF($D$3:$D295,$D295)=4,D295&amp;"4",IF(COUNTIF($D$3:$D295,$D295)=5,D295&amp;"5",IF(COUNTIF($D$3:$D295,$D295)=6,D295&amp;"6",IF(COUNTIF($D$3:$D295,$D295)=7,D295&amp;"7",IF(COUNTIF($D$3:$D295,$D295)=8,D295&amp;"8",D295)))))))))</f>
        <v/>
      </c>
    </row>
    <row r="296" spans="4:5" x14ac:dyDescent="0.3">
      <c r="D296" s="3" t="str">
        <f t="shared" si="4"/>
        <v/>
      </c>
      <c r="E296" s="3" t="str">
        <f>IF(D296="","",IF(COUNTIF($D$3:$D296,$D296)=1,D296&amp;"1",IF(COUNTIF($D$3:$D296,$D296)=2,D296&amp;"2",IF(COUNTIF($D$3:$D296,$D296)=3,D296&amp;"3",IF(COUNTIF($D$3:$D296,$D296)=4,D296&amp;"4",IF(COUNTIF($D$3:$D296,$D296)=5,D296&amp;"5",IF(COUNTIF($D$3:$D296,$D296)=6,D296&amp;"6",IF(COUNTIF($D$3:$D296,$D296)=7,D296&amp;"7",IF(COUNTIF($D$3:$D296,$D296)=8,D296&amp;"8",D296)))))))))</f>
        <v/>
      </c>
    </row>
    <row r="297" spans="4:5" x14ac:dyDescent="0.3">
      <c r="D297" s="3" t="str">
        <f t="shared" si="4"/>
        <v/>
      </c>
      <c r="E297" s="3" t="str">
        <f>IF(D297="","",IF(COUNTIF($D$3:$D297,$D297)=1,D297&amp;"1",IF(COUNTIF($D$3:$D297,$D297)=2,D297&amp;"2",IF(COUNTIF($D$3:$D297,$D297)=3,D297&amp;"3",IF(COUNTIF($D$3:$D297,$D297)=4,D297&amp;"4",IF(COUNTIF($D$3:$D297,$D297)=5,D297&amp;"5",IF(COUNTIF($D$3:$D297,$D297)=6,D297&amp;"6",IF(COUNTIF($D$3:$D297,$D297)=7,D297&amp;"7",IF(COUNTIF($D$3:$D297,$D297)=8,D297&amp;"8",D297)))))))))</f>
        <v/>
      </c>
    </row>
    <row r="298" spans="4:5" x14ac:dyDescent="0.3">
      <c r="D298" s="3" t="str">
        <f t="shared" si="4"/>
        <v/>
      </c>
      <c r="E298" s="3" t="str">
        <f>IF(D298="","",IF(COUNTIF($D$3:$D298,$D298)=1,D298&amp;"1",IF(COUNTIF($D$3:$D298,$D298)=2,D298&amp;"2",IF(COUNTIF($D$3:$D298,$D298)=3,D298&amp;"3",IF(COUNTIF($D$3:$D298,$D298)=4,D298&amp;"4",IF(COUNTIF($D$3:$D298,$D298)=5,D298&amp;"5",IF(COUNTIF($D$3:$D298,$D298)=6,D298&amp;"6",IF(COUNTIF($D$3:$D298,$D298)=7,D298&amp;"7",IF(COUNTIF($D$3:$D298,$D298)=8,D298&amp;"8",D298)))))))))</f>
        <v/>
      </c>
    </row>
    <row r="299" spans="4:5" x14ac:dyDescent="0.3">
      <c r="D299" s="3" t="str">
        <f t="shared" si="4"/>
        <v/>
      </c>
      <c r="E299" s="3" t="str">
        <f>IF(D299="","",IF(COUNTIF($D$3:$D299,$D299)=1,D299&amp;"1",IF(COUNTIF($D$3:$D299,$D299)=2,D299&amp;"2",IF(COUNTIF($D$3:$D299,$D299)=3,D299&amp;"3",IF(COUNTIF($D$3:$D299,$D299)=4,D299&amp;"4",IF(COUNTIF($D$3:$D299,$D299)=5,D299&amp;"5",IF(COUNTIF($D$3:$D299,$D299)=6,D299&amp;"6",IF(COUNTIF($D$3:$D299,$D299)=7,D299&amp;"7",IF(COUNTIF($D$3:$D299,$D299)=8,D299&amp;"8",D299)))))))))</f>
        <v/>
      </c>
    </row>
    <row r="300" spans="4:5" x14ac:dyDescent="0.3">
      <c r="D300" s="3" t="str">
        <f t="shared" si="4"/>
        <v/>
      </c>
      <c r="E300" s="3" t="str">
        <f>IF(D300="","",IF(COUNTIF($D$3:$D300,$D300)=1,D300&amp;"1",IF(COUNTIF($D$3:$D300,$D300)=2,D300&amp;"2",IF(COUNTIF($D$3:$D300,$D300)=3,D300&amp;"3",IF(COUNTIF($D$3:$D300,$D300)=4,D300&amp;"4",IF(COUNTIF($D$3:$D300,$D300)=5,D300&amp;"5",IF(COUNTIF($D$3:$D300,$D300)=6,D300&amp;"6",IF(COUNTIF($D$3:$D300,$D300)=7,D300&amp;"7",IF(COUNTIF($D$3:$D300,$D300)=8,D300&amp;"8",D300)))))))))</f>
        <v/>
      </c>
    </row>
    <row r="301" spans="4:5" x14ac:dyDescent="0.3">
      <c r="D301" s="3" t="str">
        <f t="shared" si="4"/>
        <v/>
      </c>
      <c r="E301" s="3" t="str">
        <f>IF(D301="","",IF(COUNTIF($D$3:$D301,$D301)=1,D301&amp;"1",IF(COUNTIF($D$3:$D301,$D301)=2,D301&amp;"2",IF(COUNTIF($D$3:$D301,$D301)=3,D301&amp;"3",IF(COUNTIF($D$3:$D301,$D301)=4,D301&amp;"4",IF(COUNTIF($D$3:$D301,$D301)=5,D301&amp;"5",IF(COUNTIF($D$3:$D301,$D301)=6,D301&amp;"6",IF(COUNTIF($D$3:$D301,$D301)=7,D301&amp;"7",IF(COUNTIF($D$3:$D301,$D301)=8,D301&amp;"8",D301)))))))))</f>
        <v/>
      </c>
    </row>
    <row r="302" spans="4:5" x14ac:dyDescent="0.3">
      <c r="D302" s="3" t="str">
        <f t="shared" si="4"/>
        <v/>
      </c>
      <c r="E302" s="3" t="str">
        <f>IF(D302="","",IF(COUNTIF($D$3:$D302,$D302)=1,D302&amp;"1",IF(COUNTIF($D$3:$D302,$D302)=2,D302&amp;"2",IF(COUNTIF($D$3:$D302,$D302)=3,D302&amp;"3",IF(COUNTIF($D$3:$D302,$D302)=4,D302&amp;"4",IF(COUNTIF($D$3:$D302,$D302)=5,D302&amp;"5",IF(COUNTIF($D$3:$D302,$D302)=6,D302&amp;"6",IF(COUNTIF($D$3:$D302,$D302)=7,D302&amp;"7",IF(COUNTIF($D$3:$D302,$D302)=8,D302&amp;"8",D302)))))))))</f>
        <v/>
      </c>
    </row>
    <row r="303" spans="4:5" x14ac:dyDescent="0.3">
      <c r="D303" s="3" t="str">
        <f t="shared" si="4"/>
        <v/>
      </c>
      <c r="E303" s="3" t="str">
        <f>IF(D303="","",IF(COUNTIF($D$3:$D303,$D303)=1,D303&amp;"1",IF(COUNTIF($D$3:$D303,$D303)=2,D303&amp;"2",IF(COUNTIF($D$3:$D303,$D303)=3,D303&amp;"3",IF(COUNTIF($D$3:$D303,$D303)=4,D303&amp;"4",IF(COUNTIF($D$3:$D303,$D303)=5,D303&amp;"5",IF(COUNTIF($D$3:$D303,$D303)=6,D303&amp;"6",IF(COUNTIF($D$3:$D303,$D303)=7,D303&amp;"7",IF(COUNTIF($D$3:$D303,$D303)=8,D303&amp;"8",D303)))))))))</f>
        <v/>
      </c>
    </row>
    <row r="304" spans="4:5" x14ac:dyDescent="0.3">
      <c r="D304" s="3" t="str">
        <f t="shared" si="4"/>
        <v/>
      </c>
      <c r="E304" s="3" t="str">
        <f>IF(D304="","",IF(COUNTIF($D$3:$D304,$D304)=1,D304&amp;"1",IF(COUNTIF($D$3:$D304,$D304)=2,D304&amp;"2",IF(COUNTIF($D$3:$D304,$D304)=3,D304&amp;"3",IF(COUNTIF($D$3:$D304,$D304)=4,D304&amp;"4",IF(COUNTIF($D$3:$D304,$D304)=5,D304&amp;"5",IF(COUNTIF($D$3:$D304,$D304)=6,D304&amp;"6",IF(COUNTIF($D$3:$D304,$D304)=7,D304&amp;"7",IF(COUNTIF($D$3:$D304,$D304)=8,D304&amp;"8",D304)))))))))</f>
        <v/>
      </c>
    </row>
    <row r="305" spans="4:5" x14ac:dyDescent="0.3">
      <c r="D305" s="3" t="str">
        <f t="shared" si="4"/>
        <v/>
      </c>
      <c r="E305" s="3" t="str">
        <f>IF(D305="","",IF(COUNTIF($D$3:$D305,$D305)=1,D305&amp;"1",IF(COUNTIF($D$3:$D305,$D305)=2,D305&amp;"2",IF(COUNTIF($D$3:$D305,$D305)=3,D305&amp;"3",IF(COUNTIF($D$3:$D305,$D305)=4,D305&amp;"4",IF(COUNTIF($D$3:$D305,$D305)=5,D305&amp;"5",IF(COUNTIF($D$3:$D305,$D305)=6,D305&amp;"6",IF(COUNTIF($D$3:$D305,$D305)=7,D305&amp;"7",IF(COUNTIF($D$3:$D305,$D305)=8,D305&amp;"8",D305)))))))))</f>
        <v/>
      </c>
    </row>
    <row r="306" spans="4:5" x14ac:dyDescent="0.3">
      <c r="D306" s="3" t="str">
        <f t="shared" si="4"/>
        <v/>
      </c>
      <c r="E306" s="3" t="str">
        <f>IF(D306="","",IF(COUNTIF($D$3:$D306,$D306)=1,D306&amp;"1",IF(COUNTIF($D$3:$D306,$D306)=2,D306&amp;"2",IF(COUNTIF($D$3:$D306,$D306)=3,D306&amp;"3",IF(COUNTIF($D$3:$D306,$D306)=4,D306&amp;"4",IF(COUNTIF($D$3:$D306,$D306)=5,D306&amp;"5",IF(COUNTIF($D$3:$D306,$D306)=6,D306&amp;"6",IF(COUNTIF($D$3:$D306,$D306)=7,D306&amp;"7",IF(COUNTIF($D$3:$D306,$D306)=8,D306&amp;"8",D306)))))))))</f>
        <v/>
      </c>
    </row>
    <row r="307" spans="4:5" x14ac:dyDescent="0.3">
      <c r="D307" s="3" t="str">
        <f t="shared" si="4"/>
        <v/>
      </c>
      <c r="E307" s="3" t="str">
        <f>IF(D307="","",IF(COUNTIF($D$3:$D307,$D307)=1,D307&amp;"1",IF(COUNTIF($D$3:$D307,$D307)=2,D307&amp;"2",IF(COUNTIF($D$3:$D307,$D307)=3,D307&amp;"3",IF(COUNTIF($D$3:$D307,$D307)=4,D307&amp;"4",IF(COUNTIF($D$3:$D307,$D307)=5,D307&amp;"5",IF(COUNTIF($D$3:$D307,$D307)=6,D307&amp;"6",IF(COUNTIF($D$3:$D307,$D307)=7,D307&amp;"7",IF(COUNTIF($D$3:$D307,$D307)=8,D307&amp;"8",D307)))))))))</f>
        <v/>
      </c>
    </row>
    <row r="308" spans="4:5" x14ac:dyDescent="0.3">
      <c r="D308" s="3" t="str">
        <f t="shared" si="4"/>
        <v/>
      </c>
      <c r="E308" s="3" t="str">
        <f>IF(D308="","",IF(COUNTIF($D$3:$D308,$D308)=1,D308&amp;"1",IF(COUNTIF($D$3:$D308,$D308)=2,D308&amp;"2",IF(COUNTIF($D$3:$D308,$D308)=3,D308&amp;"3",IF(COUNTIF($D$3:$D308,$D308)=4,D308&amp;"4",IF(COUNTIF($D$3:$D308,$D308)=5,D308&amp;"5",IF(COUNTIF($D$3:$D308,$D308)=6,D308&amp;"6",IF(COUNTIF($D$3:$D308,$D308)=7,D308&amp;"7",IF(COUNTIF($D$3:$D308,$D308)=8,D308&amp;"8",D308)))))))))</f>
        <v/>
      </c>
    </row>
    <row r="309" spans="4:5" x14ac:dyDescent="0.3">
      <c r="D309" s="3" t="str">
        <f t="shared" si="4"/>
        <v/>
      </c>
      <c r="E309" s="3" t="str">
        <f>IF(D309="","",IF(COUNTIF($D$3:$D309,$D309)=1,D309&amp;"1",IF(COUNTIF($D$3:$D309,$D309)=2,D309&amp;"2",IF(COUNTIF($D$3:$D309,$D309)=3,D309&amp;"3",IF(COUNTIF($D$3:$D309,$D309)=4,D309&amp;"4",IF(COUNTIF($D$3:$D309,$D309)=5,D309&amp;"5",IF(COUNTIF($D$3:$D309,$D309)=6,D309&amp;"6",IF(COUNTIF($D$3:$D309,$D309)=7,D309&amp;"7",IF(COUNTIF($D$3:$D309,$D309)=8,D309&amp;"8",D309)))))))))</f>
        <v/>
      </c>
    </row>
    <row r="310" spans="4:5" x14ac:dyDescent="0.3">
      <c r="D310" s="3" t="str">
        <f t="shared" si="4"/>
        <v/>
      </c>
      <c r="E310" s="3" t="str">
        <f>IF(D310="","",IF(COUNTIF($D$3:$D310,$D310)=1,D310&amp;"1",IF(COUNTIF($D$3:$D310,$D310)=2,D310&amp;"2",IF(COUNTIF($D$3:$D310,$D310)=3,D310&amp;"3",IF(COUNTIF($D$3:$D310,$D310)=4,D310&amp;"4",IF(COUNTIF($D$3:$D310,$D310)=5,D310&amp;"5",IF(COUNTIF($D$3:$D310,$D310)=6,D310&amp;"6",IF(COUNTIF($D$3:$D310,$D310)=7,D310&amp;"7",IF(COUNTIF($D$3:$D310,$D310)=8,D310&amp;"8",D310)))))))))</f>
        <v/>
      </c>
    </row>
    <row r="311" spans="4:5" x14ac:dyDescent="0.3">
      <c r="D311" s="3" t="str">
        <f t="shared" si="4"/>
        <v/>
      </c>
      <c r="E311" s="3" t="str">
        <f>IF(D311="","",IF(COUNTIF($D$3:$D311,$D311)=1,D311&amp;"1",IF(COUNTIF($D$3:$D311,$D311)=2,D311&amp;"2",IF(COUNTIF($D$3:$D311,$D311)=3,D311&amp;"3",IF(COUNTIF($D$3:$D311,$D311)=4,D311&amp;"4",IF(COUNTIF($D$3:$D311,$D311)=5,D311&amp;"5",IF(COUNTIF($D$3:$D311,$D311)=6,D311&amp;"6",IF(COUNTIF($D$3:$D311,$D311)=7,D311&amp;"7",IF(COUNTIF($D$3:$D311,$D311)=8,D311&amp;"8",D311)))))))))</f>
        <v/>
      </c>
    </row>
    <row r="312" spans="4:5" x14ac:dyDescent="0.3">
      <c r="D312" s="3" t="str">
        <f t="shared" si="4"/>
        <v/>
      </c>
      <c r="E312" s="3" t="str">
        <f>IF(D312="","",IF(COUNTIF($D$3:$D312,$D312)=1,D312&amp;"1",IF(COUNTIF($D$3:$D312,$D312)=2,D312&amp;"2",IF(COUNTIF($D$3:$D312,$D312)=3,D312&amp;"3",IF(COUNTIF($D$3:$D312,$D312)=4,D312&amp;"4",IF(COUNTIF($D$3:$D312,$D312)=5,D312&amp;"5",IF(COUNTIF($D$3:$D312,$D312)=6,D312&amp;"6",IF(COUNTIF($D$3:$D312,$D312)=7,D312&amp;"7",IF(COUNTIF($D$3:$D312,$D312)=8,D312&amp;"8",D312)))))))))</f>
        <v/>
      </c>
    </row>
    <row r="313" spans="4:5" x14ac:dyDescent="0.3">
      <c r="D313" s="3" t="str">
        <f t="shared" si="4"/>
        <v/>
      </c>
      <c r="E313" s="3" t="str">
        <f>IF(D313="","",IF(COUNTIF($D$3:$D313,$D313)=1,D313&amp;"1",IF(COUNTIF($D$3:$D313,$D313)=2,D313&amp;"2",IF(COUNTIF($D$3:$D313,$D313)=3,D313&amp;"3",IF(COUNTIF($D$3:$D313,$D313)=4,D313&amp;"4",IF(COUNTIF($D$3:$D313,$D313)=5,D313&amp;"5",IF(COUNTIF($D$3:$D313,$D313)=6,D313&amp;"6",IF(COUNTIF($D$3:$D313,$D313)=7,D313&amp;"7",IF(COUNTIF($D$3:$D313,$D313)=8,D313&amp;"8",D313)))))))))</f>
        <v/>
      </c>
    </row>
    <row r="314" spans="4:5" x14ac:dyDescent="0.3">
      <c r="D314" s="3" t="str">
        <f t="shared" si="4"/>
        <v/>
      </c>
      <c r="E314" s="3" t="str">
        <f>IF(D314="","",IF(COUNTIF($D$3:$D314,$D314)=1,D314&amp;"1",IF(COUNTIF($D$3:$D314,$D314)=2,D314&amp;"2",IF(COUNTIF($D$3:$D314,$D314)=3,D314&amp;"3",IF(COUNTIF($D$3:$D314,$D314)=4,D314&amp;"4",IF(COUNTIF($D$3:$D314,$D314)=5,D314&amp;"5",IF(COUNTIF($D$3:$D314,$D314)=6,D314&amp;"6",IF(COUNTIF($D$3:$D314,$D314)=7,D314&amp;"7",IF(COUNTIF($D$3:$D314,$D314)=8,D314&amp;"8",D314)))))))))</f>
        <v/>
      </c>
    </row>
    <row r="315" spans="4:5" x14ac:dyDescent="0.3">
      <c r="D315" s="3" t="str">
        <f t="shared" si="4"/>
        <v/>
      </c>
      <c r="E315" s="3" t="str">
        <f>IF(D315="","",IF(COUNTIF($D$3:$D315,$D315)=1,D315&amp;"1",IF(COUNTIF($D$3:$D315,$D315)=2,D315&amp;"2",IF(COUNTIF($D$3:$D315,$D315)=3,D315&amp;"3",IF(COUNTIF($D$3:$D315,$D315)=4,D315&amp;"4",IF(COUNTIF($D$3:$D315,$D315)=5,D315&amp;"5",IF(COUNTIF($D$3:$D315,$D315)=6,D315&amp;"6",IF(COUNTIF($D$3:$D315,$D315)=7,D315&amp;"7",IF(COUNTIF($D$3:$D315,$D315)=8,D315&amp;"8",D315)))))))))</f>
        <v/>
      </c>
    </row>
    <row r="316" spans="4:5" x14ac:dyDescent="0.3">
      <c r="D316" s="3" t="str">
        <f t="shared" si="4"/>
        <v/>
      </c>
      <c r="E316" s="3" t="str">
        <f>IF(D316="","",IF(COUNTIF($D$3:$D316,$D316)=1,D316&amp;"1",IF(COUNTIF($D$3:$D316,$D316)=2,D316&amp;"2",IF(COUNTIF($D$3:$D316,$D316)=3,D316&amp;"3",IF(COUNTIF($D$3:$D316,$D316)=4,D316&amp;"4",IF(COUNTIF($D$3:$D316,$D316)=5,D316&amp;"5",IF(COUNTIF($D$3:$D316,$D316)=6,D316&amp;"6",IF(COUNTIF($D$3:$D316,$D316)=7,D316&amp;"7",IF(COUNTIF($D$3:$D316,$D316)=8,D316&amp;"8",D316)))))))))</f>
        <v/>
      </c>
    </row>
    <row r="317" spans="4:5" x14ac:dyDescent="0.3">
      <c r="D317" s="3" t="str">
        <f t="shared" si="4"/>
        <v/>
      </c>
      <c r="E317" s="3" t="str">
        <f>IF(D317="","",IF(COUNTIF($D$3:$D317,$D317)=1,D317&amp;"1",IF(COUNTIF($D$3:$D317,$D317)=2,D317&amp;"2",IF(COUNTIF($D$3:$D317,$D317)=3,D317&amp;"3",IF(COUNTIF($D$3:$D317,$D317)=4,D317&amp;"4",IF(COUNTIF($D$3:$D317,$D317)=5,D317&amp;"5",IF(COUNTIF($D$3:$D317,$D317)=6,D317&amp;"6",IF(COUNTIF($D$3:$D317,$D317)=7,D317&amp;"7",IF(COUNTIF($D$3:$D317,$D317)=8,D317&amp;"8",D317)))))))))</f>
        <v/>
      </c>
    </row>
    <row r="318" spans="4:5" x14ac:dyDescent="0.3">
      <c r="D318" s="3" t="str">
        <f t="shared" si="4"/>
        <v/>
      </c>
      <c r="E318" s="3" t="str">
        <f>IF(D318="","",IF(COUNTIF($D$3:$D318,$D318)=1,D318&amp;"1",IF(COUNTIF($D$3:$D318,$D318)=2,D318&amp;"2",IF(COUNTIF($D$3:$D318,$D318)=3,D318&amp;"3",IF(COUNTIF($D$3:$D318,$D318)=4,D318&amp;"4",IF(COUNTIF($D$3:$D318,$D318)=5,D318&amp;"5",IF(COUNTIF($D$3:$D318,$D318)=6,D318&amp;"6",IF(COUNTIF($D$3:$D318,$D318)=7,D318&amp;"7",IF(COUNTIF($D$3:$D318,$D318)=8,D318&amp;"8",D318)))))))))</f>
        <v/>
      </c>
    </row>
    <row r="319" spans="4:5" x14ac:dyDescent="0.3">
      <c r="D319" s="3" t="str">
        <f t="shared" si="4"/>
        <v/>
      </c>
      <c r="E319" s="3" t="str">
        <f>IF(D319="","",IF(COUNTIF($D$3:$D319,$D319)=1,D319&amp;"1",IF(COUNTIF($D$3:$D319,$D319)=2,D319&amp;"2",IF(COUNTIF($D$3:$D319,$D319)=3,D319&amp;"3",IF(COUNTIF($D$3:$D319,$D319)=4,D319&amp;"4",IF(COUNTIF($D$3:$D319,$D319)=5,D319&amp;"5",IF(COUNTIF($D$3:$D319,$D319)=6,D319&amp;"6",IF(COUNTIF($D$3:$D319,$D319)=7,D319&amp;"7",IF(COUNTIF($D$3:$D319,$D319)=8,D319&amp;"8",D319)))))))))</f>
        <v/>
      </c>
    </row>
    <row r="320" spans="4:5" x14ac:dyDescent="0.3">
      <c r="D320" s="3" t="str">
        <f t="shared" si="4"/>
        <v/>
      </c>
      <c r="E320" s="3" t="str">
        <f>IF(D320="","",IF(COUNTIF($D$3:$D320,$D320)=1,D320&amp;"1",IF(COUNTIF($D$3:$D320,$D320)=2,D320&amp;"2",IF(COUNTIF($D$3:$D320,$D320)=3,D320&amp;"3",IF(COUNTIF($D$3:$D320,$D320)=4,D320&amp;"4",IF(COUNTIF($D$3:$D320,$D320)=5,D320&amp;"5",IF(COUNTIF($D$3:$D320,$D320)=6,D320&amp;"6",IF(COUNTIF($D$3:$D320,$D320)=7,D320&amp;"7",IF(COUNTIF($D$3:$D320,$D320)=8,D320&amp;"8",D320)))))))))</f>
        <v/>
      </c>
    </row>
    <row r="321" spans="4:5" x14ac:dyDescent="0.3">
      <c r="D321" s="3" t="str">
        <f t="shared" si="4"/>
        <v/>
      </c>
      <c r="E321" s="3" t="str">
        <f>IF(D321="","",IF(COUNTIF($D$3:$D321,$D321)=1,D321&amp;"1",IF(COUNTIF($D$3:$D321,$D321)=2,D321&amp;"2",IF(COUNTIF($D$3:$D321,$D321)=3,D321&amp;"3",IF(COUNTIF($D$3:$D321,$D321)=4,D321&amp;"4",IF(COUNTIF($D$3:$D321,$D321)=5,D321&amp;"5",IF(COUNTIF($D$3:$D321,$D321)=6,D321&amp;"6",IF(COUNTIF($D$3:$D321,$D321)=7,D321&amp;"7",IF(COUNTIF($D$3:$D321,$D321)=8,D321&amp;"8",D321)))))))))</f>
        <v/>
      </c>
    </row>
    <row r="322" spans="4:5" x14ac:dyDescent="0.3">
      <c r="D322" s="3" t="str">
        <f t="shared" si="4"/>
        <v/>
      </c>
      <c r="E322" s="3" t="str">
        <f>IF(D322="","",IF(COUNTIF($D$3:$D322,$D322)=1,D322&amp;"1",IF(COUNTIF($D$3:$D322,$D322)=2,D322&amp;"2",IF(COUNTIF($D$3:$D322,$D322)=3,D322&amp;"3",IF(COUNTIF($D$3:$D322,$D322)=4,D322&amp;"4",IF(COUNTIF($D$3:$D322,$D322)=5,D322&amp;"5",IF(COUNTIF($D$3:$D322,$D322)=6,D322&amp;"6",IF(COUNTIF($D$3:$D322,$D322)=7,D322&amp;"7",IF(COUNTIF($D$3:$D322,$D322)=8,D322&amp;"8",D322)))))))))</f>
        <v/>
      </c>
    </row>
    <row r="323" spans="4:5" x14ac:dyDescent="0.3">
      <c r="D323" s="3" t="str">
        <f t="shared" si="4"/>
        <v/>
      </c>
      <c r="E323" s="3" t="str">
        <f>IF(D323="","",IF(COUNTIF($D$3:$D323,$D323)=1,D323&amp;"1",IF(COUNTIF($D$3:$D323,$D323)=2,D323&amp;"2",IF(COUNTIF($D$3:$D323,$D323)=3,D323&amp;"3",IF(COUNTIF($D$3:$D323,$D323)=4,D323&amp;"4",IF(COUNTIF($D$3:$D323,$D323)=5,D323&amp;"5",IF(COUNTIF($D$3:$D323,$D323)=6,D323&amp;"6",IF(COUNTIF($D$3:$D323,$D323)=7,D323&amp;"7",IF(COUNTIF($D$3:$D323,$D323)=8,D323&amp;"8",D323)))))))))</f>
        <v/>
      </c>
    </row>
    <row r="324" spans="4:5" x14ac:dyDescent="0.3">
      <c r="D324" s="3" t="str">
        <f t="shared" ref="D324:D387" si="5">B324&amp;C324</f>
        <v/>
      </c>
      <c r="E324" s="3" t="str">
        <f>IF(D324="","",IF(COUNTIF($D$3:$D324,$D324)=1,D324&amp;"1",IF(COUNTIF($D$3:$D324,$D324)=2,D324&amp;"2",IF(COUNTIF($D$3:$D324,$D324)=3,D324&amp;"3",IF(COUNTIF($D$3:$D324,$D324)=4,D324&amp;"4",IF(COUNTIF($D$3:$D324,$D324)=5,D324&amp;"5",IF(COUNTIF($D$3:$D324,$D324)=6,D324&amp;"6",IF(COUNTIF($D$3:$D324,$D324)=7,D324&amp;"7",IF(COUNTIF($D$3:$D324,$D324)=8,D324&amp;"8",D324)))))))))</f>
        <v/>
      </c>
    </row>
    <row r="325" spans="4:5" x14ac:dyDescent="0.3">
      <c r="D325" s="3" t="str">
        <f t="shared" si="5"/>
        <v/>
      </c>
      <c r="E325" s="3" t="str">
        <f>IF(D325="","",IF(COUNTIF($D$3:$D325,$D325)=1,D325&amp;"1",IF(COUNTIF($D$3:$D325,$D325)=2,D325&amp;"2",IF(COUNTIF($D$3:$D325,$D325)=3,D325&amp;"3",IF(COUNTIF($D$3:$D325,$D325)=4,D325&amp;"4",IF(COUNTIF($D$3:$D325,$D325)=5,D325&amp;"5",IF(COUNTIF($D$3:$D325,$D325)=6,D325&amp;"6",IF(COUNTIF($D$3:$D325,$D325)=7,D325&amp;"7",IF(COUNTIF($D$3:$D325,$D325)=8,D325&amp;"8",D325)))))))))</f>
        <v/>
      </c>
    </row>
    <row r="326" spans="4:5" x14ac:dyDescent="0.3">
      <c r="D326" s="3" t="str">
        <f t="shared" si="5"/>
        <v/>
      </c>
      <c r="E326" s="3" t="str">
        <f>IF(D326="","",IF(COUNTIF($D$3:$D326,$D326)=1,D326&amp;"1",IF(COUNTIF($D$3:$D326,$D326)=2,D326&amp;"2",IF(COUNTIF($D$3:$D326,$D326)=3,D326&amp;"3",IF(COUNTIF($D$3:$D326,$D326)=4,D326&amp;"4",IF(COUNTIF($D$3:$D326,$D326)=5,D326&amp;"5",IF(COUNTIF($D$3:$D326,$D326)=6,D326&amp;"6",IF(COUNTIF($D$3:$D326,$D326)=7,D326&amp;"7",IF(COUNTIF($D$3:$D326,$D326)=8,D326&amp;"8",D326)))))))))</f>
        <v/>
      </c>
    </row>
    <row r="327" spans="4:5" x14ac:dyDescent="0.3">
      <c r="D327" s="3" t="str">
        <f t="shared" si="5"/>
        <v/>
      </c>
      <c r="E327" s="3" t="str">
        <f>IF(D327="","",IF(COUNTIF($D$3:$D327,$D327)=1,D327&amp;"1",IF(COUNTIF($D$3:$D327,$D327)=2,D327&amp;"2",IF(COUNTIF($D$3:$D327,$D327)=3,D327&amp;"3",IF(COUNTIF($D$3:$D327,$D327)=4,D327&amp;"4",IF(COUNTIF($D$3:$D327,$D327)=5,D327&amp;"5",IF(COUNTIF($D$3:$D327,$D327)=6,D327&amp;"6",IF(COUNTIF($D$3:$D327,$D327)=7,D327&amp;"7",IF(COUNTIF($D$3:$D327,$D327)=8,D327&amp;"8",D327)))))))))</f>
        <v/>
      </c>
    </row>
    <row r="328" spans="4:5" x14ac:dyDescent="0.3">
      <c r="D328" s="3" t="str">
        <f t="shared" si="5"/>
        <v/>
      </c>
      <c r="E328" s="3" t="str">
        <f>IF(D328="","",IF(COUNTIF($D$3:$D328,$D328)=1,D328&amp;"1",IF(COUNTIF($D$3:$D328,$D328)=2,D328&amp;"2",IF(COUNTIF($D$3:$D328,$D328)=3,D328&amp;"3",IF(COUNTIF($D$3:$D328,$D328)=4,D328&amp;"4",IF(COUNTIF($D$3:$D328,$D328)=5,D328&amp;"5",IF(COUNTIF($D$3:$D328,$D328)=6,D328&amp;"6",IF(COUNTIF($D$3:$D328,$D328)=7,D328&amp;"7",IF(COUNTIF($D$3:$D328,$D328)=8,D328&amp;"8",D328)))))))))</f>
        <v/>
      </c>
    </row>
    <row r="329" spans="4:5" x14ac:dyDescent="0.3">
      <c r="D329" s="3" t="str">
        <f t="shared" si="5"/>
        <v/>
      </c>
      <c r="E329" s="3" t="str">
        <f>IF(D329="","",IF(COUNTIF($D$3:$D329,$D329)=1,D329&amp;"1",IF(COUNTIF($D$3:$D329,$D329)=2,D329&amp;"2",IF(COUNTIF($D$3:$D329,$D329)=3,D329&amp;"3",IF(COUNTIF($D$3:$D329,$D329)=4,D329&amp;"4",IF(COUNTIF($D$3:$D329,$D329)=5,D329&amp;"5",IF(COUNTIF($D$3:$D329,$D329)=6,D329&amp;"6",IF(COUNTIF($D$3:$D329,$D329)=7,D329&amp;"7",IF(COUNTIF($D$3:$D329,$D329)=8,D329&amp;"8",D329)))))))))</f>
        <v/>
      </c>
    </row>
    <row r="330" spans="4:5" x14ac:dyDescent="0.3">
      <c r="D330" s="3" t="str">
        <f t="shared" si="5"/>
        <v/>
      </c>
      <c r="E330" s="3" t="str">
        <f>IF(D330="","",IF(COUNTIF($D$3:$D330,$D330)=1,D330&amp;"1",IF(COUNTIF($D$3:$D330,$D330)=2,D330&amp;"2",IF(COUNTIF($D$3:$D330,$D330)=3,D330&amp;"3",IF(COUNTIF($D$3:$D330,$D330)=4,D330&amp;"4",IF(COUNTIF($D$3:$D330,$D330)=5,D330&amp;"5",IF(COUNTIF($D$3:$D330,$D330)=6,D330&amp;"6",IF(COUNTIF($D$3:$D330,$D330)=7,D330&amp;"7",IF(COUNTIF($D$3:$D330,$D330)=8,D330&amp;"8",D330)))))))))</f>
        <v/>
      </c>
    </row>
    <row r="331" spans="4:5" x14ac:dyDescent="0.3">
      <c r="D331" s="3" t="str">
        <f t="shared" si="5"/>
        <v/>
      </c>
      <c r="E331" s="3" t="str">
        <f>IF(D331="","",IF(COUNTIF($D$3:$D331,$D331)=1,D331&amp;"1",IF(COUNTIF($D$3:$D331,$D331)=2,D331&amp;"2",IF(COUNTIF($D$3:$D331,$D331)=3,D331&amp;"3",IF(COUNTIF($D$3:$D331,$D331)=4,D331&amp;"4",IF(COUNTIF($D$3:$D331,$D331)=5,D331&amp;"5",IF(COUNTIF($D$3:$D331,$D331)=6,D331&amp;"6",IF(COUNTIF($D$3:$D331,$D331)=7,D331&amp;"7",IF(COUNTIF($D$3:$D331,$D331)=8,D331&amp;"8",D331)))))))))</f>
        <v/>
      </c>
    </row>
    <row r="332" spans="4:5" x14ac:dyDescent="0.3">
      <c r="D332" s="3" t="str">
        <f t="shared" si="5"/>
        <v/>
      </c>
      <c r="E332" s="3" t="str">
        <f>IF(D332="","",IF(COUNTIF($D$3:$D332,$D332)=1,D332&amp;"1",IF(COUNTIF($D$3:$D332,$D332)=2,D332&amp;"2",IF(COUNTIF($D$3:$D332,$D332)=3,D332&amp;"3",IF(COUNTIF($D$3:$D332,$D332)=4,D332&amp;"4",IF(COUNTIF($D$3:$D332,$D332)=5,D332&amp;"5",IF(COUNTIF($D$3:$D332,$D332)=6,D332&amp;"6",IF(COUNTIF($D$3:$D332,$D332)=7,D332&amp;"7",IF(COUNTIF($D$3:$D332,$D332)=8,D332&amp;"8",D332)))))))))</f>
        <v/>
      </c>
    </row>
    <row r="333" spans="4:5" x14ac:dyDescent="0.3">
      <c r="D333" s="3" t="str">
        <f t="shared" si="5"/>
        <v/>
      </c>
      <c r="E333" s="3" t="str">
        <f>IF(D333="","",IF(COUNTIF($D$3:$D333,$D333)=1,D333&amp;"1",IF(COUNTIF($D$3:$D333,$D333)=2,D333&amp;"2",IF(COUNTIF($D$3:$D333,$D333)=3,D333&amp;"3",IF(COUNTIF($D$3:$D333,$D333)=4,D333&amp;"4",IF(COUNTIF($D$3:$D333,$D333)=5,D333&amp;"5",IF(COUNTIF($D$3:$D333,$D333)=6,D333&amp;"6",IF(COUNTIF($D$3:$D333,$D333)=7,D333&amp;"7",IF(COUNTIF($D$3:$D333,$D333)=8,D333&amp;"8",D333)))))))))</f>
        <v/>
      </c>
    </row>
    <row r="334" spans="4:5" x14ac:dyDescent="0.3">
      <c r="D334" s="3" t="str">
        <f t="shared" si="5"/>
        <v/>
      </c>
      <c r="E334" s="3" t="str">
        <f>IF(D334="","",IF(COUNTIF($D$3:$D334,$D334)=1,D334&amp;"1",IF(COUNTIF($D$3:$D334,$D334)=2,D334&amp;"2",IF(COUNTIF($D$3:$D334,$D334)=3,D334&amp;"3",IF(COUNTIF($D$3:$D334,$D334)=4,D334&amp;"4",IF(COUNTIF($D$3:$D334,$D334)=5,D334&amp;"5",IF(COUNTIF($D$3:$D334,$D334)=6,D334&amp;"6",IF(COUNTIF($D$3:$D334,$D334)=7,D334&amp;"7",IF(COUNTIF($D$3:$D334,$D334)=8,D334&amp;"8",D334)))))))))</f>
        <v/>
      </c>
    </row>
    <row r="335" spans="4:5" x14ac:dyDescent="0.3">
      <c r="D335" s="3" t="str">
        <f t="shared" si="5"/>
        <v/>
      </c>
      <c r="E335" s="3" t="str">
        <f>IF(D335="","",IF(COUNTIF($D$3:$D335,$D335)=1,D335&amp;"1",IF(COUNTIF($D$3:$D335,$D335)=2,D335&amp;"2",IF(COUNTIF($D$3:$D335,$D335)=3,D335&amp;"3",IF(COUNTIF($D$3:$D335,$D335)=4,D335&amp;"4",IF(COUNTIF($D$3:$D335,$D335)=5,D335&amp;"5",IF(COUNTIF($D$3:$D335,$D335)=6,D335&amp;"6",IF(COUNTIF($D$3:$D335,$D335)=7,D335&amp;"7",IF(COUNTIF($D$3:$D335,$D335)=8,D335&amp;"8",D335)))))))))</f>
        <v/>
      </c>
    </row>
    <row r="336" spans="4:5" x14ac:dyDescent="0.3">
      <c r="D336" s="3" t="str">
        <f t="shared" si="5"/>
        <v/>
      </c>
      <c r="E336" s="3" t="str">
        <f>IF(D336="","",IF(COUNTIF($D$3:$D336,$D336)=1,D336&amp;"1",IF(COUNTIF($D$3:$D336,$D336)=2,D336&amp;"2",IF(COUNTIF($D$3:$D336,$D336)=3,D336&amp;"3",IF(COUNTIF($D$3:$D336,$D336)=4,D336&amp;"4",IF(COUNTIF($D$3:$D336,$D336)=5,D336&amp;"5",IF(COUNTIF($D$3:$D336,$D336)=6,D336&amp;"6",IF(COUNTIF($D$3:$D336,$D336)=7,D336&amp;"7",IF(COUNTIF($D$3:$D336,$D336)=8,D336&amp;"8",D336)))))))))</f>
        <v/>
      </c>
    </row>
    <row r="337" spans="4:5" x14ac:dyDescent="0.3">
      <c r="D337" s="3" t="str">
        <f t="shared" si="5"/>
        <v/>
      </c>
      <c r="E337" s="3" t="str">
        <f>IF(D337="","",IF(COUNTIF($D$3:$D337,$D337)=1,D337&amp;"1",IF(COUNTIF($D$3:$D337,$D337)=2,D337&amp;"2",IF(COUNTIF($D$3:$D337,$D337)=3,D337&amp;"3",IF(COUNTIF($D$3:$D337,$D337)=4,D337&amp;"4",IF(COUNTIF($D$3:$D337,$D337)=5,D337&amp;"5",IF(COUNTIF($D$3:$D337,$D337)=6,D337&amp;"6",IF(COUNTIF($D$3:$D337,$D337)=7,D337&amp;"7",IF(COUNTIF($D$3:$D337,$D337)=8,D337&amp;"8",D337)))))))))</f>
        <v/>
      </c>
    </row>
    <row r="338" spans="4:5" x14ac:dyDescent="0.3">
      <c r="D338" s="3" t="str">
        <f t="shared" si="5"/>
        <v/>
      </c>
      <c r="E338" s="3" t="str">
        <f>IF(D338="","",IF(COUNTIF($D$3:$D338,$D338)=1,D338&amp;"1",IF(COUNTIF($D$3:$D338,$D338)=2,D338&amp;"2",IF(COUNTIF($D$3:$D338,$D338)=3,D338&amp;"3",IF(COUNTIF($D$3:$D338,$D338)=4,D338&amp;"4",IF(COUNTIF($D$3:$D338,$D338)=5,D338&amp;"5",IF(COUNTIF($D$3:$D338,$D338)=6,D338&amp;"6",IF(COUNTIF($D$3:$D338,$D338)=7,D338&amp;"7",IF(COUNTIF($D$3:$D338,$D338)=8,D338&amp;"8",D338)))))))))</f>
        <v/>
      </c>
    </row>
    <row r="339" spans="4:5" x14ac:dyDescent="0.3">
      <c r="D339" s="3" t="str">
        <f t="shared" si="5"/>
        <v/>
      </c>
      <c r="E339" s="3" t="str">
        <f>IF(D339="","",IF(COUNTIF($D$3:$D339,$D339)=1,D339&amp;"1",IF(COUNTIF($D$3:$D339,$D339)=2,D339&amp;"2",IF(COUNTIF($D$3:$D339,$D339)=3,D339&amp;"3",IF(COUNTIF($D$3:$D339,$D339)=4,D339&amp;"4",IF(COUNTIF($D$3:$D339,$D339)=5,D339&amp;"5",IF(COUNTIF($D$3:$D339,$D339)=6,D339&amp;"6",IF(COUNTIF($D$3:$D339,$D339)=7,D339&amp;"7",IF(COUNTIF($D$3:$D339,$D339)=8,D339&amp;"8",D339)))))))))</f>
        <v/>
      </c>
    </row>
    <row r="340" spans="4:5" x14ac:dyDescent="0.3">
      <c r="D340" s="3" t="str">
        <f t="shared" si="5"/>
        <v/>
      </c>
      <c r="E340" s="3" t="str">
        <f>IF(D340="","",IF(COUNTIF($D$3:$D340,$D340)=1,D340&amp;"1",IF(COUNTIF($D$3:$D340,$D340)=2,D340&amp;"2",IF(COUNTIF($D$3:$D340,$D340)=3,D340&amp;"3",IF(COUNTIF($D$3:$D340,$D340)=4,D340&amp;"4",IF(COUNTIF($D$3:$D340,$D340)=5,D340&amp;"5",IF(COUNTIF($D$3:$D340,$D340)=6,D340&amp;"6",IF(COUNTIF($D$3:$D340,$D340)=7,D340&amp;"7",IF(COUNTIF($D$3:$D340,$D340)=8,D340&amp;"8",D340)))))))))</f>
        <v/>
      </c>
    </row>
    <row r="341" spans="4:5" x14ac:dyDescent="0.3">
      <c r="D341" s="3" t="str">
        <f t="shared" si="5"/>
        <v/>
      </c>
      <c r="E341" s="3" t="str">
        <f>IF(D341="","",IF(COUNTIF($D$3:$D341,$D341)=1,D341&amp;"1",IF(COUNTIF($D$3:$D341,$D341)=2,D341&amp;"2",IF(COUNTIF($D$3:$D341,$D341)=3,D341&amp;"3",IF(COUNTIF($D$3:$D341,$D341)=4,D341&amp;"4",IF(COUNTIF($D$3:$D341,$D341)=5,D341&amp;"5",IF(COUNTIF($D$3:$D341,$D341)=6,D341&amp;"6",IF(COUNTIF($D$3:$D341,$D341)=7,D341&amp;"7",IF(COUNTIF($D$3:$D341,$D341)=8,D341&amp;"8",D341)))))))))</f>
        <v/>
      </c>
    </row>
    <row r="342" spans="4:5" x14ac:dyDescent="0.3">
      <c r="D342" s="3" t="str">
        <f t="shared" si="5"/>
        <v/>
      </c>
      <c r="E342" s="3" t="str">
        <f>IF(D342="","",IF(COUNTIF($D$3:$D342,$D342)=1,D342&amp;"1",IF(COUNTIF($D$3:$D342,$D342)=2,D342&amp;"2",IF(COUNTIF($D$3:$D342,$D342)=3,D342&amp;"3",IF(COUNTIF($D$3:$D342,$D342)=4,D342&amp;"4",IF(COUNTIF($D$3:$D342,$D342)=5,D342&amp;"5",IF(COUNTIF($D$3:$D342,$D342)=6,D342&amp;"6",IF(COUNTIF($D$3:$D342,$D342)=7,D342&amp;"7",IF(COUNTIF($D$3:$D342,$D342)=8,D342&amp;"8",D342)))))))))</f>
        <v/>
      </c>
    </row>
    <row r="343" spans="4:5" x14ac:dyDescent="0.3">
      <c r="D343" s="3" t="str">
        <f t="shared" si="5"/>
        <v/>
      </c>
      <c r="E343" s="3" t="str">
        <f>IF(D343="","",IF(COUNTIF($D$3:$D343,$D343)=1,D343&amp;"1",IF(COUNTIF($D$3:$D343,$D343)=2,D343&amp;"2",IF(COUNTIF($D$3:$D343,$D343)=3,D343&amp;"3",IF(COUNTIF($D$3:$D343,$D343)=4,D343&amp;"4",IF(COUNTIF($D$3:$D343,$D343)=5,D343&amp;"5",IF(COUNTIF($D$3:$D343,$D343)=6,D343&amp;"6",IF(COUNTIF($D$3:$D343,$D343)=7,D343&amp;"7",IF(COUNTIF($D$3:$D343,$D343)=8,D343&amp;"8",D343)))))))))</f>
        <v/>
      </c>
    </row>
    <row r="344" spans="4:5" x14ac:dyDescent="0.3">
      <c r="D344" s="3" t="str">
        <f t="shared" si="5"/>
        <v/>
      </c>
      <c r="E344" s="3" t="str">
        <f>IF(D344="","",IF(COUNTIF($D$3:$D344,$D344)=1,D344&amp;"1",IF(COUNTIF($D$3:$D344,$D344)=2,D344&amp;"2",IF(COUNTIF($D$3:$D344,$D344)=3,D344&amp;"3",IF(COUNTIF($D$3:$D344,$D344)=4,D344&amp;"4",IF(COUNTIF($D$3:$D344,$D344)=5,D344&amp;"5",IF(COUNTIF($D$3:$D344,$D344)=6,D344&amp;"6",IF(COUNTIF($D$3:$D344,$D344)=7,D344&amp;"7",IF(COUNTIF($D$3:$D344,$D344)=8,D344&amp;"8",D344)))))))))</f>
        <v/>
      </c>
    </row>
    <row r="345" spans="4:5" x14ac:dyDescent="0.3">
      <c r="D345" s="3" t="str">
        <f t="shared" si="5"/>
        <v/>
      </c>
      <c r="E345" s="3" t="str">
        <f>IF(D345="","",IF(COUNTIF($D$3:$D345,$D345)=1,D345&amp;"1",IF(COUNTIF($D$3:$D345,$D345)=2,D345&amp;"2",IF(COUNTIF($D$3:$D345,$D345)=3,D345&amp;"3",IF(COUNTIF($D$3:$D345,$D345)=4,D345&amp;"4",IF(COUNTIF($D$3:$D345,$D345)=5,D345&amp;"5",IF(COUNTIF($D$3:$D345,$D345)=6,D345&amp;"6",IF(COUNTIF($D$3:$D345,$D345)=7,D345&amp;"7",IF(COUNTIF($D$3:$D345,$D345)=8,D345&amp;"8",D345)))))))))</f>
        <v/>
      </c>
    </row>
    <row r="346" spans="4:5" x14ac:dyDescent="0.3">
      <c r="D346" s="3" t="str">
        <f t="shared" si="5"/>
        <v/>
      </c>
      <c r="E346" s="3" t="str">
        <f>IF(D346="","",IF(COUNTIF($D$3:$D346,$D346)=1,D346&amp;"1",IF(COUNTIF($D$3:$D346,$D346)=2,D346&amp;"2",IF(COUNTIF($D$3:$D346,$D346)=3,D346&amp;"3",IF(COUNTIF($D$3:$D346,$D346)=4,D346&amp;"4",IF(COUNTIF($D$3:$D346,$D346)=5,D346&amp;"5",IF(COUNTIF($D$3:$D346,$D346)=6,D346&amp;"6",IF(COUNTIF($D$3:$D346,$D346)=7,D346&amp;"7",IF(COUNTIF($D$3:$D346,$D346)=8,D346&amp;"8",D346)))))))))</f>
        <v/>
      </c>
    </row>
    <row r="347" spans="4:5" x14ac:dyDescent="0.3">
      <c r="D347" s="3" t="str">
        <f t="shared" si="5"/>
        <v/>
      </c>
      <c r="E347" s="3" t="str">
        <f>IF(D347="","",IF(COUNTIF($D$3:$D347,$D347)=1,D347&amp;"1",IF(COUNTIF($D$3:$D347,$D347)=2,D347&amp;"2",IF(COUNTIF($D$3:$D347,$D347)=3,D347&amp;"3",IF(COUNTIF($D$3:$D347,$D347)=4,D347&amp;"4",IF(COUNTIF($D$3:$D347,$D347)=5,D347&amp;"5",IF(COUNTIF($D$3:$D347,$D347)=6,D347&amp;"6",IF(COUNTIF($D$3:$D347,$D347)=7,D347&amp;"7",IF(COUNTIF($D$3:$D347,$D347)=8,D347&amp;"8",D347)))))))))</f>
        <v/>
      </c>
    </row>
    <row r="348" spans="4:5" x14ac:dyDescent="0.3">
      <c r="D348" s="3" t="str">
        <f t="shared" si="5"/>
        <v/>
      </c>
      <c r="E348" s="3" t="str">
        <f>IF(D348="","",IF(COUNTIF($D$3:$D348,$D348)=1,D348&amp;"1",IF(COUNTIF($D$3:$D348,$D348)=2,D348&amp;"2",IF(COUNTIF($D$3:$D348,$D348)=3,D348&amp;"3",IF(COUNTIF($D$3:$D348,$D348)=4,D348&amp;"4",IF(COUNTIF($D$3:$D348,$D348)=5,D348&amp;"5",IF(COUNTIF($D$3:$D348,$D348)=6,D348&amp;"6",IF(COUNTIF($D$3:$D348,$D348)=7,D348&amp;"7",IF(COUNTIF($D$3:$D348,$D348)=8,D348&amp;"8",D348)))))))))</f>
        <v/>
      </c>
    </row>
    <row r="349" spans="4:5" x14ac:dyDescent="0.3">
      <c r="D349" s="3" t="str">
        <f t="shared" si="5"/>
        <v/>
      </c>
      <c r="E349" s="3" t="str">
        <f>IF(D349="","",IF(COUNTIF($D$3:$D349,$D349)=1,D349&amp;"1",IF(COUNTIF($D$3:$D349,$D349)=2,D349&amp;"2",IF(COUNTIF($D$3:$D349,$D349)=3,D349&amp;"3",IF(COUNTIF($D$3:$D349,$D349)=4,D349&amp;"4",IF(COUNTIF($D$3:$D349,$D349)=5,D349&amp;"5",IF(COUNTIF($D$3:$D349,$D349)=6,D349&amp;"6",IF(COUNTIF($D$3:$D349,$D349)=7,D349&amp;"7",IF(COUNTIF($D$3:$D349,$D349)=8,D349&amp;"8",D349)))))))))</f>
        <v/>
      </c>
    </row>
    <row r="350" spans="4:5" x14ac:dyDescent="0.3">
      <c r="D350" s="3" t="str">
        <f t="shared" si="5"/>
        <v/>
      </c>
      <c r="E350" s="3" t="str">
        <f>IF(D350="","",IF(COUNTIF($D$3:$D350,$D350)=1,D350&amp;"1",IF(COUNTIF($D$3:$D350,$D350)=2,D350&amp;"2",IF(COUNTIF($D$3:$D350,$D350)=3,D350&amp;"3",IF(COUNTIF($D$3:$D350,$D350)=4,D350&amp;"4",IF(COUNTIF($D$3:$D350,$D350)=5,D350&amp;"5",IF(COUNTIF($D$3:$D350,$D350)=6,D350&amp;"6",IF(COUNTIF($D$3:$D350,$D350)=7,D350&amp;"7",IF(COUNTIF($D$3:$D350,$D350)=8,D350&amp;"8",D350)))))))))</f>
        <v/>
      </c>
    </row>
    <row r="351" spans="4:5" x14ac:dyDescent="0.3">
      <c r="D351" s="3" t="str">
        <f t="shared" si="5"/>
        <v/>
      </c>
      <c r="E351" s="3" t="str">
        <f>IF(D351="","",IF(COUNTIF($D$3:$D351,$D351)=1,D351&amp;"1",IF(COUNTIF($D$3:$D351,$D351)=2,D351&amp;"2",IF(COUNTIF($D$3:$D351,$D351)=3,D351&amp;"3",IF(COUNTIF($D$3:$D351,$D351)=4,D351&amp;"4",IF(COUNTIF($D$3:$D351,$D351)=5,D351&amp;"5",IF(COUNTIF($D$3:$D351,$D351)=6,D351&amp;"6",IF(COUNTIF($D$3:$D351,$D351)=7,D351&amp;"7",IF(COUNTIF($D$3:$D351,$D351)=8,D351&amp;"8",D351)))))))))</f>
        <v/>
      </c>
    </row>
    <row r="352" spans="4:5" x14ac:dyDescent="0.3">
      <c r="D352" s="3" t="str">
        <f t="shared" si="5"/>
        <v/>
      </c>
      <c r="E352" s="3" t="str">
        <f>IF(D352="","",IF(COUNTIF($D$3:$D352,$D352)=1,D352&amp;"1",IF(COUNTIF($D$3:$D352,$D352)=2,D352&amp;"2",IF(COUNTIF($D$3:$D352,$D352)=3,D352&amp;"3",IF(COUNTIF($D$3:$D352,$D352)=4,D352&amp;"4",IF(COUNTIF($D$3:$D352,$D352)=5,D352&amp;"5",IF(COUNTIF($D$3:$D352,$D352)=6,D352&amp;"6",IF(COUNTIF($D$3:$D352,$D352)=7,D352&amp;"7",IF(COUNTIF($D$3:$D352,$D352)=8,D352&amp;"8",D352)))))))))</f>
        <v/>
      </c>
    </row>
    <row r="353" spans="4:5" x14ac:dyDescent="0.3">
      <c r="D353" s="3" t="str">
        <f t="shared" si="5"/>
        <v/>
      </c>
      <c r="E353" s="3" t="str">
        <f>IF(D353="","",IF(COUNTIF($D$3:$D353,$D353)=1,D353&amp;"1",IF(COUNTIF($D$3:$D353,$D353)=2,D353&amp;"2",IF(COUNTIF($D$3:$D353,$D353)=3,D353&amp;"3",IF(COUNTIF($D$3:$D353,$D353)=4,D353&amp;"4",IF(COUNTIF($D$3:$D353,$D353)=5,D353&amp;"5",IF(COUNTIF($D$3:$D353,$D353)=6,D353&amp;"6",IF(COUNTIF($D$3:$D353,$D353)=7,D353&amp;"7",IF(COUNTIF($D$3:$D353,$D353)=8,D353&amp;"8",D353)))))))))</f>
        <v/>
      </c>
    </row>
    <row r="354" spans="4:5" x14ac:dyDescent="0.3">
      <c r="D354" s="3" t="str">
        <f t="shared" si="5"/>
        <v/>
      </c>
      <c r="E354" s="3" t="str">
        <f>IF(D354="","",IF(COUNTIF($D$3:$D354,$D354)=1,D354&amp;"1",IF(COUNTIF($D$3:$D354,$D354)=2,D354&amp;"2",IF(COUNTIF($D$3:$D354,$D354)=3,D354&amp;"3",IF(COUNTIF($D$3:$D354,$D354)=4,D354&amp;"4",IF(COUNTIF($D$3:$D354,$D354)=5,D354&amp;"5",IF(COUNTIF($D$3:$D354,$D354)=6,D354&amp;"6",IF(COUNTIF($D$3:$D354,$D354)=7,D354&amp;"7",IF(COUNTIF($D$3:$D354,$D354)=8,D354&amp;"8",D354)))))))))</f>
        <v/>
      </c>
    </row>
    <row r="355" spans="4:5" x14ac:dyDescent="0.3">
      <c r="D355" s="3" t="str">
        <f t="shared" si="5"/>
        <v/>
      </c>
      <c r="E355" s="3" t="str">
        <f>IF(D355="","",IF(COUNTIF($D$3:$D355,$D355)=1,D355&amp;"1",IF(COUNTIF($D$3:$D355,$D355)=2,D355&amp;"2",IF(COUNTIF($D$3:$D355,$D355)=3,D355&amp;"3",IF(COUNTIF($D$3:$D355,$D355)=4,D355&amp;"4",IF(COUNTIF($D$3:$D355,$D355)=5,D355&amp;"5",IF(COUNTIF($D$3:$D355,$D355)=6,D355&amp;"6",IF(COUNTIF($D$3:$D355,$D355)=7,D355&amp;"7",IF(COUNTIF($D$3:$D355,$D355)=8,D355&amp;"8",D355)))))))))</f>
        <v/>
      </c>
    </row>
    <row r="356" spans="4:5" x14ac:dyDescent="0.3">
      <c r="D356" s="3" t="str">
        <f t="shared" si="5"/>
        <v/>
      </c>
      <c r="E356" s="3" t="str">
        <f>IF(D356="","",IF(COUNTIF($D$3:$D356,$D356)=1,D356&amp;"1",IF(COUNTIF($D$3:$D356,$D356)=2,D356&amp;"2",IF(COUNTIF($D$3:$D356,$D356)=3,D356&amp;"3",IF(COUNTIF($D$3:$D356,$D356)=4,D356&amp;"4",IF(COUNTIF($D$3:$D356,$D356)=5,D356&amp;"5",IF(COUNTIF($D$3:$D356,$D356)=6,D356&amp;"6",IF(COUNTIF($D$3:$D356,$D356)=7,D356&amp;"7",IF(COUNTIF($D$3:$D356,$D356)=8,D356&amp;"8",D356)))))))))</f>
        <v/>
      </c>
    </row>
    <row r="357" spans="4:5" x14ac:dyDescent="0.3">
      <c r="D357" s="3" t="str">
        <f t="shared" si="5"/>
        <v/>
      </c>
      <c r="E357" s="3" t="str">
        <f>IF(D357="","",IF(COUNTIF($D$3:$D357,$D357)=1,D357&amp;"1",IF(COUNTIF($D$3:$D357,$D357)=2,D357&amp;"2",IF(COUNTIF($D$3:$D357,$D357)=3,D357&amp;"3",IF(COUNTIF($D$3:$D357,$D357)=4,D357&amp;"4",IF(COUNTIF($D$3:$D357,$D357)=5,D357&amp;"5",IF(COUNTIF($D$3:$D357,$D357)=6,D357&amp;"6",IF(COUNTIF($D$3:$D357,$D357)=7,D357&amp;"7",IF(COUNTIF($D$3:$D357,$D357)=8,D357&amp;"8",D357)))))))))</f>
        <v/>
      </c>
    </row>
    <row r="358" spans="4:5" x14ac:dyDescent="0.3">
      <c r="D358" s="3" t="str">
        <f t="shared" si="5"/>
        <v/>
      </c>
      <c r="E358" s="3" t="str">
        <f>IF(D358="","",IF(COUNTIF($D$3:$D358,$D358)=1,D358&amp;"1",IF(COUNTIF($D$3:$D358,$D358)=2,D358&amp;"2",IF(COUNTIF($D$3:$D358,$D358)=3,D358&amp;"3",IF(COUNTIF($D$3:$D358,$D358)=4,D358&amp;"4",IF(COUNTIF($D$3:$D358,$D358)=5,D358&amp;"5",IF(COUNTIF($D$3:$D358,$D358)=6,D358&amp;"6",IF(COUNTIF($D$3:$D358,$D358)=7,D358&amp;"7",IF(COUNTIF($D$3:$D358,$D358)=8,D358&amp;"8",D358)))))))))</f>
        <v/>
      </c>
    </row>
    <row r="359" spans="4:5" x14ac:dyDescent="0.3">
      <c r="D359" s="3" t="str">
        <f t="shared" si="5"/>
        <v/>
      </c>
      <c r="E359" s="3" t="str">
        <f>IF(D359="","",IF(COUNTIF($D$3:$D359,$D359)=1,D359&amp;"1",IF(COUNTIF($D$3:$D359,$D359)=2,D359&amp;"2",IF(COUNTIF($D$3:$D359,$D359)=3,D359&amp;"3",IF(COUNTIF($D$3:$D359,$D359)=4,D359&amp;"4",IF(COUNTIF($D$3:$D359,$D359)=5,D359&amp;"5",IF(COUNTIF($D$3:$D359,$D359)=6,D359&amp;"6",IF(COUNTIF($D$3:$D359,$D359)=7,D359&amp;"7",IF(COUNTIF($D$3:$D359,$D359)=8,D359&amp;"8",D359)))))))))</f>
        <v/>
      </c>
    </row>
    <row r="360" spans="4:5" x14ac:dyDescent="0.3">
      <c r="D360" s="3" t="str">
        <f t="shared" si="5"/>
        <v/>
      </c>
      <c r="E360" s="3" t="str">
        <f>IF(D360="","",IF(COUNTIF($D$3:$D360,$D360)=1,D360&amp;"1",IF(COUNTIF($D$3:$D360,$D360)=2,D360&amp;"2",IF(COUNTIF($D$3:$D360,$D360)=3,D360&amp;"3",IF(COUNTIF($D$3:$D360,$D360)=4,D360&amp;"4",IF(COUNTIF($D$3:$D360,$D360)=5,D360&amp;"5",IF(COUNTIF($D$3:$D360,$D360)=6,D360&amp;"6",IF(COUNTIF($D$3:$D360,$D360)=7,D360&amp;"7",IF(COUNTIF($D$3:$D360,$D360)=8,D360&amp;"8",D360)))))))))</f>
        <v/>
      </c>
    </row>
    <row r="361" spans="4:5" x14ac:dyDescent="0.3">
      <c r="D361" s="3" t="str">
        <f t="shared" si="5"/>
        <v/>
      </c>
      <c r="E361" s="3" t="str">
        <f>IF(D361="","",IF(COUNTIF($D$3:$D361,$D361)=1,D361&amp;"1",IF(COUNTIF($D$3:$D361,$D361)=2,D361&amp;"2",IF(COUNTIF($D$3:$D361,$D361)=3,D361&amp;"3",IF(COUNTIF($D$3:$D361,$D361)=4,D361&amp;"4",IF(COUNTIF($D$3:$D361,$D361)=5,D361&amp;"5",IF(COUNTIF($D$3:$D361,$D361)=6,D361&amp;"6",IF(COUNTIF($D$3:$D361,$D361)=7,D361&amp;"7",IF(COUNTIF($D$3:$D361,$D361)=8,D361&amp;"8",D361)))))))))</f>
        <v/>
      </c>
    </row>
    <row r="362" spans="4:5" x14ac:dyDescent="0.3">
      <c r="D362" s="3" t="str">
        <f t="shared" si="5"/>
        <v/>
      </c>
      <c r="E362" s="3" t="str">
        <f>IF(D362="","",IF(COUNTIF($D$3:$D362,$D362)=1,D362&amp;"1",IF(COUNTIF($D$3:$D362,$D362)=2,D362&amp;"2",IF(COUNTIF($D$3:$D362,$D362)=3,D362&amp;"3",IF(COUNTIF($D$3:$D362,$D362)=4,D362&amp;"4",IF(COUNTIF($D$3:$D362,$D362)=5,D362&amp;"5",IF(COUNTIF($D$3:$D362,$D362)=6,D362&amp;"6",IF(COUNTIF($D$3:$D362,$D362)=7,D362&amp;"7",IF(COUNTIF($D$3:$D362,$D362)=8,D362&amp;"8",D362)))))))))</f>
        <v/>
      </c>
    </row>
    <row r="363" spans="4:5" x14ac:dyDescent="0.3">
      <c r="D363" s="3" t="str">
        <f t="shared" si="5"/>
        <v/>
      </c>
      <c r="E363" s="3" t="str">
        <f>IF(D363="","",IF(COUNTIF($D$3:$D363,$D363)=1,D363&amp;"1",IF(COUNTIF($D$3:$D363,$D363)=2,D363&amp;"2",IF(COUNTIF($D$3:$D363,$D363)=3,D363&amp;"3",IF(COUNTIF($D$3:$D363,$D363)=4,D363&amp;"4",IF(COUNTIF($D$3:$D363,$D363)=5,D363&amp;"5",IF(COUNTIF($D$3:$D363,$D363)=6,D363&amp;"6",IF(COUNTIF($D$3:$D363,$D363)=7,D363&amp;"7",IF(COUNTIF($D$3:$D363,$D363)=8,D363&amp;"8",D363)))))))))</f>
        <v/>
      </c>
    </row>
    <row r="364" spans="4:5" x14ac:dyDescent="0.3">
      <c r="D364" s="3" t="str">
        <f t="shared" si="5"/>
        <v/>
      </c>
      <c r="E364" s="3" t="str">
        <f>IF(D364="","",IF(COUNTIF($D$3:$D364,$D364)=1,D364&amp;"1",IF(COUNTIF($D$3:$D364,$D364)=2,D364&amp;"2",IF(COUNTIF($D$3:$D364,$D364)=3,D364&amp;"3",IF(COUNTIF($D$3:$D364,$D364)=4,D364&amp;"4",IF(COUNTIF($D$3:$D364,$D364)=5,D364&amp;"5",IF(COUNTIF($D$3:$D364,$D364)=6,D364&amp;"6",IF(COUNTIF($D$3:$D364,$D364)=7,D364&amp;"7",IF(COUNTIF($D$3:$D364,$D364)=8,D364&amp;"8",D364)))))))))</f>
        <v/>
      </c>
    </row>
    <row r="365" spans="4:5" x14ac:dyDescent="0.3">
      <c r="D365" s="3" t="str">
        <f t="shared" si="5"/>
        <v/>
      </c>
      <c r="E365" s="3" t="str">
        <f>IF(D365="","",IF(COUNTIF($D$3:$D365,$D365)=1,D365&amp;"1",IF(COUNTIF($D$3:$D365,$D365)=2,D365&amp;"2",IF(COUNTIF($D$3:$D365,$D365)=3,D365&amp;"3",IF(COUNTIF($D$3:$D365,$D365)=4,D365&amp;"4",IF(COUNTIF($D$3:$D365,$D365)=5,D365&amp;"5",IF(COUNTIF($D$3:$D365,$D365)=6,D365&amp;"6",IF(COUNTIF($D$3:$D365,$D365)=7,D365&amp;"7",IF(COUNTIF($D$3:$D365,$D365)=8,D365&amp;"8",D365)))))))))</f>
        <v/>
      </c>
    </row>
    <row r="366" spans="4:5" x14ac:dyDescent="0.3">
      <c r="D366" s="3" t="str">
        <f t="shared" si="5"/>
        <v/>
      </c>
      <c r="E366" s="3" t="str">
        <f>IF(D366="","",IF(COUNTIF($D$3:$D366,$D366)=1,D366&amp;"1",IF(COUNTIF($D$3:$D366,$D366)=2,D366&amp;"2",IF(COUNTIF($D$3:$D366,$D366)=3,D366&amp;"3",IF(COUNTIF($D$3:$D366,$D366)=4,D366&amp;"4",IF(COUNTIF($D$3:$D366,$D366)=5,D366&amp;"5",IF(COUNTIF($D$3:$D366,$D366)=6,D366&amp;"6",IF(COUNTIF($D$3:$D366,$D366)=7,D366&amp;"7",IF(COUNTIF($D$3:$D366,$D366)=8,D366&amp;"8",D366)))))))))</f>
        <v/>
      </c>
    </row>
    <row r="367" spans="4:5" x14ac:dyDescent="0.3">
      <c r="D367" s="3" t="str">
        <f t="shared" si="5"/>
        <v/>
      </c>
      <c r="E367" s="3" t="str">
        <f>IF(D367="","",IF(COUNTIF($D$3:$D367,$D367)=1,D367&amp;"1",IF(COUNTIF($D$3:$D367,$D367)=2,D367&amp;"2",IF(COUNTIF($D$3:$D367,$D367)=3,D367&amp;"3",IF(COUNTIF($D$3:$D367,$D367)=4,D367&amp;"4",IF(COUNTIF($D$3:$D367,$D367)=5,D367&amp;"5",IF(COUNTIF($D$3:$D367,$D367)=6,D367&amp;"6",IF(COUNTIF($D$3:$D367,$D367)=7,D367&amp;"7",IF(COUNTIF($D$3:$D367,$D367)=8,D367&amp;"8",D367)))))))))</f>
        <v/>
      </c>
    </row>
    <row r="368" spans="4:5" x14ac:dyDescent="0.3">
      <c r="D368" s="3" t="str">
        <f t="shared" si="5"/>
        <v/>
      </c>
      <c r="E368" s="3" t="str">
        <f>IF(D368="","",IF(COUNTIF($D$3:$D368,$D368)=1,D368&amp;"1",IF(COUNTIF($D$3:$D368,$D368)=2,D368&amp;"2",IF(COUNTIF($D$3:$D368,$D368)=3,D368&amp;"3",IF(COUNTIF($D$3:$D368,$D368)=4,D368&amp;"4",IF(COUNTIF($D$3:$D368,$D368)=5,D368&amp;"5",IF(COUNTIF($D$3:$D368,$D368)=6,D368&amp;"6",IF(COUNTIF($D$3:$D368,$D368)=7,D368&amp;"7",IF(COUNTIF($D$3:$D368,$D368)=8,D368&amp;"8",D368)))))))))</f>
        <v/>
      </c>
    </row>
    <row r="369" spans="4:5" x14ac:dyDescent="0.3">
      <c r="D369" s="3" t="str">
        <f t="shared" si="5"/>
        <v/>
      </c>
      <c r="E369" s="3" t="str">
        <f>IF(D369="","",IF(COUNTIF($D$3:$D369,$D369)=1,D369&amp;"1",IF(COUNTIF($D$3:$D369,$D369)=2,D369&amp;"2",IF(COUNTIF($D$3:$D369,$D369)=3,D369&amp;"3",IF(COUNTIF($D$3:$D369,$D369)=4,D369&amp;"4",IF(COUNTIF($D$3:$D369,$D369)=5,D369&amp;"5",IF(COUNTIF($D$3:$D369,$D369)=6,D369&amp;"6",IF(COUNTIF($D$3:$D369,$D369)=7,D369&amp;"7",IF(COUNTIF($D$3:$D369,$D369)=8,D369&amp;"8",D369)))))))))</f>
        <v/>
      </c>
    </row>
    <row r="370" spans="4:5" x14ac:dyDescent="0.3">
      <c r="D370" s="3" t="str">
        <f t="shared" si="5"/>
        <v/>
      </c>
      <c r="E370" s="3" t="str">
        <f>IF(D370="","",IF(COUNTIF($D$3:$D370,$D370)=1,D370&amp;"1",IF(COUNTIF($D$3:$D370,$D370)=2,D370&amp;"2",IF(COUNTIF($D$3:$D370,$D370)=3,D370&amp;"3",IF(COUNTIF($D$3:$D370,$D370)=4,D370&amp;"4",IF(COUNTIF($D$3:$D370,$D370)=5,D370&amp;"5",IF(COUNTIF($D$3:$D370,$D370)=6,D370&amp;"6",IF(COUNTIF($D$3:$D370,$D370)=7,D370&amp;"7",IF(COUNTIF($D$3:$D370,$D370)=8,D370&amp;"8",D370)))))))))</f>
        <v/>
      </c>
    </row>
    <row r="371" spans="4:5" x14ac:dyDescent="0.3">
      <c r="D371" s="3" t="str">
        <f t="shared" si="5"/>
        <v/>
      </c>
      <c r="E371" s="3" t="str">
        <f>IF(D371="","",IF(COUNTIF($D$3:$D371,$D371)=1,D371&amp;"1",IF(COUNTIF($D$3:$D371,$D371)=2,D371&amp;"2",IF(COUNTIF($D$3:$D371,$D371)=3,D371&amp;"3",IF(COUNTIF($D$3:$D371,$D371)=4,D371&amp;"4",IF(COUNTIF($D$3:$D371,$D371)=5,D371&amp;"5",IF(COUNTIF($D$3:$D371,$D371)=6,D371&amp;"6",IF(COUNTIF($D$3:$D371,$D371)=7,D371&amp;"7",IF(COUNTIF($D$3:$D371,$D371)=8,D371&amp;"8",D371)))))))))</f>
        <v/>
      </c>
    </row>
    <row r="372" spans="4:5" x14ac:dyDescent="0.3">
      <c r="D372" s="3" t="str">
        <f t="shared" si="5"/>
        <v/>
      </c>
      <c r="E372" s="3" t="str">
        <f>IF(D372="","",IF(COUNTIF($D$3:$D372,$D372)=1,D372&amp;"1",IF(COUNTIF($D$3:$D372,$D372)=2,D372&amp;"2",IF(COUNTIF($D$3:$D372,$D372)=3,D372&amp;"3",IF(COUNTIF($D$3:$D372,$D372)=4,D372&amp;"4",IF(COUNTIF($D$3:$D372,$D372)=5,D372&amp;"5",IF(COUNTIF($D$3:$D372,$D372)=6,D372&amp;"6",IF(COUNTIF($D$3:$D372,$D372)=7,D372&amp;"7",IF(COUNTIF($D$3:$D372,$D372)=8,D372&amp;"8",D372)))))))))</f>
        <v/>
      </c>
    </row>
    <row r="373" spans="4:5" x14ac:dyDescent="0.3">
      <c r="D373" s="3" t="str">
        <f t="shared" si="5"/>
        <v/>
      </c>
      <c r="E373" s="3" t="str">
        <f>IF(D373="","",IF(COUNTIF($D$3:$D373,$D373)=1,D373&amp;"1",IF(COUNTIF($D$3:$D373,$D373)=2,D373&amp;"2",IF(COUNTIF($D$3:$D373,$D373)=3,D373&amp;"3",IF(COUNTIF($D$3:$D373,$D373)=4,D373&amp;"4",IF(COUNTIF($D$3:$D373,$D373)=5,D373&amp;"5",IF(COUNTIF($D$3:$D373,$D373)=6,D373&amp;"6",IF(COUNTIF($D$3:$D373,$D373)=7,D373&amp;"7",IF(COUNTIF($D$3:$D373,$D373)=8,D373&amp;"8",D373)))))))))</f>
        <v/>
      </c>
    </row>
    <row r="374" spans="4:5" x14ac:dyDescent="0.3">
      <c r="D374" s="3" t="str">
        <f t="shared" si="5"/>
        <v/>
      </c>
      <c r="E374" s="3" t="str">
        <f>IF(D374="","",IF(COUNTIF($D$3:$D374,$D374)=1,D374&amp;"1",IF(COUNTIF($D$3:$D374,$D374)=2,D374&amp;"2",IF(COUNTIF($D$3:$D374,$D374)=3,D374&amp;"3",IF(COUNTIF($D$3:$D374,$D374)=4,D374&amp;"4",IF(COUNTIF($D$3:$D374,$D374)=5,D374&amp;"5",IF(COUNTIF($D$3:$D374,$D374)=6,D374&amp;"6",IF(COUNTIF($D$3:$D374,$D374)=7,D374&amp;"7",IF(COUNTIF($D$3:$D374,$D374)=8,D374&amp;"8",D374)))))))))</f>
        <v/>
      </c>
    </row>
    <row r="375" spans="4:5" x14ac:dyDescent="0.3">
      <c r="D375" s="3" t="str">
        <f t="shared" si="5"/>
        <v/>
      </c>
      <c r="E375" s="3" t="str">
        <f>IF(D375="","",IF(COUNTIF($D$3:$D375,$D375)=1,D375&amp;"1",IF(COUNTIF($D$3:$D375,$D375)=2,D375&amp;"2",IF(COUNTIF($D$3:$D375,$D375)=3,D375&amp;"3",IF(COUNTIF($D$3:$D375,$D375)=4,D375&amp;"4",IF(COUNTIF($D$3:$D375,$D375)=5,D375&amp;"5",IF(COUNTIF($D$3:$D375,$D375)=6,D375&amp;"6",IF(COUNTIF($D$3:$D375,$D375)=7,D375&amp;"7",IF(COUNTIF($D$3:$D375,$D375)=8,D375&amp;"8",D375)))))))))</f>
        <v/>
      </c>
    </row>
    <row r="376" spans="4:5" x14ac:dyDescent="0.3">
      <c r="D376" s="3" t="str">
        <f t="shared" si="5"/>
        <v/>
      </c>
      <c r="E376" s="3" t="str">
        <f>IF(D376="","",IF(COUNTIF($D$3:$D376,$D376)=1,D376&amp;"1",IF(COUNTIF($D$3:$D376,$D376)=2,D376&amp;"2",IF(COUNTIF($D$3:$D376,$D376)=3,D376&amp;"3",IF(COUNTIF($D$3:$D376,$D376)=4,D376&amp;"4",IF(COUNTIF($D$3:$D376,$D376)=5,D376&amp;"5",IF(COUNTIF($D$3:$D376,$D376)=6,D376&amp;"6",IF(COUNTIF($D$3:$D376,$D376)=7,D376&amp;"7",IF(COUNTIF($D$3:$D376,$D376)=8,D376&amp;"8",D376)))))))))</f>
        <v/>
      </c>
    </row>
    <row r="377" spans="4:5" x14ac:dyDescent="0.3">
      <c r="D377" s="3" t="str">
        <f t="shared" si="5"/>
        <v/>
      </c>
      <c r="E377" s="3" t="str">
        <f>IF(D377="","",IF(COUNTIF($D$3:$D377,$D377)=1,D377&amp;"1",IF(COUNTIF($D$3:$D377,$D377)=2,D377&amp;"2",IF(COUNTIF($D$3:$D377,$D377)=3,D377&amp;"3",IF(COUNTIF($D$3:$D377,$D377)=4,D377&amp;"4",IF(COUNTIF($D$3:$D377,$D377)=5,D377&amp;"5",IF(COUNTIF($D$3:$D377,$D377)=6,D377&amp;"6",IF(COUNTIF($D$3:$D377,$D377)=7,D377&amp;"7",IF(COUNTIF($D$3:$D377,$D377)=8,D377&amp;"8",D377)))))))))</f>
        <v/>
      </c>
    </row>
    <row r="378" spans="4:5" x14ac:dyDescent="0.3">
      <c r="D378" s="3" t="str">
        <f t="shared" si="5"/>
        <v/>
      </c>
      <c r="E378" s="3" t="str">
        <f>IF(D378="","",IF(COUNTIF($D$3:$D378,$D378)=1,D378&amp;"1",IF(COUNTIF($D$3:$D378,$D378)=2,D378&amp;"2",IF(COUNTIF($D$3:$D378,$D378)=3,D378&amp;"3",IF(COUNTIF($D$3:$D378,$D378)=4,D378&amp;"4",IF(COUNTIF($D$3:$D378,$D378)=5,D378&amp;"5",IF(COUNTIF($D$3:$D378,$D378)=6,D378&amp;"6",IF(COUNTIF($D$3:$D378,$D378)=7,D378&amp;"7",IF(COUNTIF($D$3:$D378,$D378)=8,D378&amp;"8",D378)))))))))</f>
        <v/>
      </c>
    </row>
    <row r="379" spans="4:5" x14ac:dyDescent="0.3">
      <c r="D379" s="3" t="str">
        <f t="shared" si="5"/>
        <v/>
      </c>
      <c r="E379" s="3" t="str">
        <f>IF(D379="","",IF(COUNTIF($D$3:$D379,$D379)=1,D379&amp;"1",IF(COUNTIF($D$3:$D379,$D379)=2,D379&amp;"2",IF(COUNTIF($D$3:$D379,$D379)=3,D379&amp;"3",IF(COUNTIF($D$3:$D379,$D379)=4,D379&amp;"4",IF(COUNTIF($D$3:$D379,$D379)=5,D379&amp;"5",IF(COUNTIF($D$3:$D379,$D379)=6,D379&amp;"6",IF(COUNTIF($D$3:$D379,$D379)=7,D379&amp;"7",IF(COUNTIF($D$3:$D379,$D379)=8,D379&amp;"8",D379)))))))))</f>
        <v/>
      </c>
    </row>
    <row r="380" spans="4:5" x14ac:dyDescent="0.3">
      <c r="D380" s="3" t="str">
        <f t="shared" si="5"/>
        <v/>
      </c>
      <c r="E380" s="3" t="str">
        <f>IF(D380="","",IF(COUNTIF($D$3:$D380,$D380)=1,D380&amp;"1",IF(COUNTIF($D$3:$D380,$D380)=2,D380&amp;"2",IF(COUNTIF($D$3:$D380,$D380)=3,D380&amp;"3",IF(COUNTIF($D$3:$D380,$D380)=4,D380&amp;"4",IF(COUNTIF($D$3:$D380,$D380)=5,D380&amp;"5",IF(COUNTIF($D$3:$D380,$D380)=6,D380&amp;"6",IF(COUNTIF($D$3:$D380,$D380)=7,D380&amp;"7",IF(COUNTIF($D$3:$D380,$D380)=8,D380&amp;"8",D380)))))))))</f>
        <v/>
      </c>
    </row>
    <row r="381" spans="4:5" x14ac:dyDescent="0.3">
      <c r="D381" s="3" t="str">
        <f t="shared" si="5"/>
        <v/>
      </c>
      <c r="E381" s="3" t="str">
        <f>IF(D381="","",IF(COUNTIF($D$3:$D381,$D381)=1,D381&amp;"1",IF(COUNTIF($D$3:$D381,$D381)=2,D381&amp;"2",IF(COUNTIF($D$3:$D381,$D381)=3,D381&amp;"3",IF(COUNTIF($D$3:$D381,$D381)=4,D381&amp;"4",IF(COUNTIF($D$3:$D381,$D381)=5,D381&amp;"5",IF(COUNTIF($D$3:$D381,$D381)=6,D381&amp;"6",IF(COUNTIF($D$3:$D381,$D381)=7,D381&amp;"7",IF(COUNTIF($D$3:$D381,$D381)=8,D381&amp;"8",D381)))))))))</f>
        <v/>
      </c>
    </row>
    <row r="382" spans="4:5" x14ac:dyDescent="0.3">
      <c r="D382" s="3" t="str">
        <f t="shared" si="5"/>
        <v/>
      </c>
      <c r="E382" s="3" t="str">
        <f>IF(D382="","",IF(COUNTIF($D$3:$D382,$D382)=1,D382&amp;"1",IF(COUNTIF($D$3:$D382,$D382)=2,D382&amp;"2",IF(COUNTIF($D$3:$D382,$D382)=3,D382&amp;"3",IF(COUNTIF($D$3:$D382,$D382)=4,D382&amp;"4",IF(COUNTIF($D$3:$D382,$D382)=5,D382&amp;"5",IF(COUNTIF($D$3:$D382,$D382)=6,D382&amp;"6",IF(COUNTIF($D$3:$D382,$D382)=7,D382&amp;"7",IF(COUNTIF($D$3:$D382,$D382)=8,D382&amp;"8",D382)))))))))</f>
        <v/>
      </c>
    </row>
    <row r="383" spans="4:5" x14ac:dyDescent="0.3">
      <c r="D383" s="3" t="str">
        <f t="shared" si="5"/>
        <v/>
      </c>
      <c r="E383" s="3" t="str">
        <f>IF(D383="","",IF(COUNTIF($D$3:$D383,$D383)=1,D383&amp;"1",IF(COUNTIF($D$3:$D383,$D383)=2,D383&amp;"2",IF(COUNTIF($D$3:$D383,$D383)=3,D383&amp;"3",IF(COUNTIF($D$3:$D383,$D383)=4,D383&amp;"4",IF(COUNTIF($D$3:$D383,$D383)=5,D383&amp;"5",IF(COUNTIF($D$3:$D383,$D383)=6,D383&amp;"6",IF(COUNTIF($D$3:$D383,$D383)=7,D383&amp;"7",IF(COUNTIF($D$3:$D383,$D383)=8,D383&amp;"8",D383)))))))))</f>
        <v/>
      </c>
    </row>
    <row r="384" spans="4:5" x14ac:dyDescent="0.3">
      <c r="D384" s="3" t="str">
        <f t="shared" si="5"/>
        <v/>
      </c>
      <c r="E384" s="3" t="str">
        <f>IF(D384="","",IF(COUNTIF($D$3:$D384,$D384)=1,D384&amp;"1",IF(COUNTIF($D$3:$D384,$D384)=2,D384&amp;"2",IF(COUNTIF($D$3:$D384,$D384)=3,D384&amp;"3",IF(COUNTIF($D$3:$D384,$D384)=4,D384&amp;"4",IF(COUNTIF($D$3:$D384,$D384)=5,D384&amp;"5",IF(COUNTIF($D$3:$D384,$D384)=6,D384&amp;"6",IF(COUNTIF($D$3:$D384,$D384)=7,D384&amp;"7",IF(COUNTIF($D$3:$D384,$D384)=8,D384&amp;"8",D384)))))))))</f>
        <v/>
      </c>
    </row>
    <row r="385" spans="4:5" x14ac:dyDescent="0.3">
      <c r="D385" s="3" t="str">
        <f t="shared" si="5"/>
        <v/>
      </c>
      <c r="E385" s="3" t="str">
        <f>IF(D385="","",IF(COUNTIF($D$3:$D385,$D385)=1,D385&amp;"1",IF(COUNTIF($D$3:$D385,$D385)=2,D385&amp;"2",IF(COUNTIF($D$3:$D385,$D385)=3,D385&amp;"3",IF(COUNTIF($D$3:$D385,$D385)=4,D385&amp;"4",IF(COUNTIF($D$3:$D385,$D385)=5,D385&amp;"5",IF(COUNTIF($D$3:$D385,$D385)=6,D385&amp;"6",IF(COUNTIF($D$3:$D385,$D385)=7,D385&amp;"7",IF(COUNTIF($D$3:$D385,$D385)=8,D385&amp;"8",D385)))))))))</f>
        <v/>
      </c>
    </row>
    <row r="386" spans="4:5" x14ac:dyDescent="0.3">
      <c r="D386" s="3" t="str">
        <f t="shared" si="5"/>
        <v/>
      </c>
      <c r="E386" s="3" t="str">
        <f>IF(D386="","",IF(COUNTIF($D$3:$D386,$D386)=1,D386&amp;"1",IF(COUNTIF($D$3:$D386,$D386)=2,D386&amp;"2",IF(COUNTIF($D$3:$D386,$D386)=3,D386&amp;"3",IF(COUNTIF($D$3:$D386,$D386)=4,D386&amp;"4",IF(COUNTIF($D$3:$D386,$D386)=5,D386&amp;"5",IF(COUNTIF($D$3:$D386,$D386)=6,D386&amp;"6",IF(COUNTIF($D$3:$D386,$D386)=7,D386&amp;"7",IF(COUNTIF($D$3:$D386,$D386)=8,D386&amp;"8",D386)))))))))</f>
        <v/>
      </c>
    </row>
    <row r="387" spans="4:5" x14ac:dyDescent="0.3">
      <c r="D387" s="3" t="str">
        <f t="shared" si="5"/>
        <v/>
      </c>
      <c r="E387" s="3" t="str">
        <f>IF(D387="","",IF(COUNTIF($D$3:$D387,$D387)=1,D387&amp;"1",IF(COUNTIF($D$3:$D387,$D387)=2,D387&amp;"2",IF(COUNTIF($D$3:$D387,$D387)=3,D387&amp;"3",IF(COUNTIF($D$3:$D387,$D387)=4,D387&amp;"4",IF(COUNTIF($D$3:$D387,$D387)=5,D387&amp;"5",IF(COUNTIF($D$3:$D387,$D387)=6,D387&amp;"6",IF(COUNTIF($D$3:$D387,$D387)=7,D387&amp;"7",IF(COUNTIF($D$3:$D387,$D387)=8,D387&amp;"8",D387)))))))))</f>
        <v/>
      </c>
    </row>
    <row r="388" spans="4:5" x14ac:dyDescent="0.3">
      <c r="D388" s="3" t="str">
        <f t="shared" ref="D388:D451" si="6">B388&amp;C388</f>
        <v/>
      </c>
      <c r="E388" s="3" t="str">
        <f>IF(D388="","",IF(COUNTIF($D$3:$D388,$D388)=1,D388&amp;"1",IF(COUNTIF($D$3:$D388,$D388)=2,D388&amp;"2",IF(COUNTIF($D$3:$D388,$D388)=3,D388&amp;"3",IF(COUNTIF($D$3:$D388,$D388)=4,D388&amp;"4",IF(COUNTIF($D$3:$D388,$D388)=5,D388&amp;"5",IF(COUNTIF($D$3:$D388,$D388)=6,D388&amp;"6",IF(COUNTIF($D$3:$D388,$D388)=7,D388&amp;"7",IF(COUNTIF($D$3:$D388,$D388)=8,D388&amp;"8",D388)))))))))</f>
        <v/>
      </c>
    </row>
    <row r="389" spans="4:5" x14ac:dyDescent="0.3">
      <c r="D389" s="3" t="str">
        <f t="shared" si="6"/>
        <v/>
      </c>
      <c r="E389" s="3" t="str">
        <f>IF(D389="","",IF(COUNTIF($D$3:$D389,$D389)=1,D389&amp;"1",IF(COUNTIF($D$3:$D389,$D389)=2,D389&amp;"2",IF(COUNTIF($D$3:$D389,$D389)=3,D389&amp;"3",IF(COUNTIF($D$3:$D389,$D389)=4,D389&amp;"4",IF(COUNTIF($D$3:$D389,$D389)=5,D389&amp;"5",IF(COUNTIF($D$3:$D389,$D389)=6,D389&amp;"6",IF(COUNTIF($D$3:$D389,$D389)=7,D389&amp;"7",IF(COUNTIF($D$3:$D389,$D389)=8,D389&amp;"8",D389)))))))))</f>
        <v/>
      </c>
    </row>
    <row r="390" spans="4:5" x14ac:dyDescent="0.3">
      <c r="D390" s="3" t="str">
        <f t="shared" si="6"/>
        <v/>
      </c>
      <c r="E390" s="3" t="str">
        <f>IF(D390="","",IF(COUNTIF($D$3:$D390,$D390)=1,D390&amp;"1",IF(COUNTIF($D$3:$D390,$D390)=2,D390&amp;"2",IF(COUNTIF($D$3:$D390,$D390)=3,D390&amp;"3",IF(COUNTIF($D$3:$D390,$D390)=4,D390&amp;"4",IF(COUNTIF($D$3:$D390,$D390)=5,D390&amp;"5",IF(COUNTIF($D$3:$D390,$D390)=6,D390&amp;"6",IF(COUNTIF($D$3:$D390,$D390)=7,D390&amp;"7",IF(COUNTIF($D$3:$D390,$D390)=8,D390&amp;"8",D390)))))))))</f>
        <v/>
      </c>
    </row>
    <row r="391" spans="4:5" x14ac:dyDescent="0.3">
      <c r="D391" s="3" t="str">
        <f t="shared" si="6"/>
        <v/>
      </c>
      <c r="E391" s="3" t="str">
        <f>IF(D391="","",IF(COUNTIF($D$3:$D391,$D391)=1,D391&amp;"1",IF(COUNTIF($D$3:$D391,$D391)=2,D391&amp;"2",IF(COUNTIF($D$3:$D391,$D391)=3,D391&amp;"3",IF(COUNTIF($D$3:$D391,$D391)=4,D391&amp;"4",IF(COUNTIF($D$3:$D391,$D391)=5,D391&amp;"5",IF(COUNTIF($D$3:$D391,$D391)=6,D391&amp;"6",IF(COUNTIF($D$3:$D391,$D391)=7,D391&amp;"7",IF(COUNTIF($D$3:$D391,$D391)=8,D391&amp;"8",D391)))))))))</f>
        <v/>
      </c>
    </row>
    <row r="392" spans="4:5" x14ac:dyDescent="0.3">
      <c r="D392" s="3" t="str">
        <f t="shared" si="6"/>
        <v/>
      </c>
      <c r="E392" s="3" t="str">
        <f>IF(D392="","",IF(COUNTIF($D$3:$D392,$D392)=1,D392&amp;"1",IF(COUNTIF($D$3:$D392,$D392)=2,D392&amp;"2",IF(COUNTIF($D$3:$D392,$D392)=3,D392&amp;"3",IF(COUNTIF($D$3:$D392,$D392)=4,D392&amp;"4",IF(COUNTIF($D$3:$D392,$D392)=5,D392&amp;"5",IF(COUNTIF($D$3:$D392,$D392)=6,D392&amp;"6",IF(COUNTIF($D$3:$D392,$D392)=7,D392&amp;"7",IF(COUNTIF($D$3:$D392,$D392)=8,D392&amp;"8",D392)))))))))</f>
        <v/>
      </c>
    </row>
    <row r="393" spans="4:5" x14ac:dyDescent="0.3">
      <c r="D393" s="3" t="str">
        <f t="shared" si="6"/>
        <v/>
      </c>
      <c r="E393" s="3" t="str">
        <f>IF(D393="","",IF(COUNTIF($D$3:$D393,$D393)=1,D393&amp;"1",IF(COUNTIF($D$3:$D393,$D393)=2,D393&amp;"2",IF(COUNTIF($D$3:$D393,$D393)=3,D393&amp;"3",IF(COUNTIF($D$3:$D393,$D393)=4,D393&amp;"4",IF(COUNTIF($D$3:$D393,$D393)=5,D393&amp;"5",IF(COUNTIF($D$3:$D393,$D393)=6,D393&amp;"6",IF(COUNTIF($D$3:$D393,$D393)=7,D393&amp;"7",IF(COUNTIF($D$3:$D393,$D393)=8,D393&amp;"8",D393)))))))))</f>
        <v/>
      </c>
    </row>
    <row r="394" spans="4:5" x14ac:dyDescent="0.3">
      <c r="D394" s="3" t="str">
        <f t="shared" si="6"/>
        <v/>
      </c>
      <c r="E394" s="3" t="str">
        <f>IF(D394="","",IF(COUNTIF($D$3:$D394,$D394)=1,D394&amp;"1",IF(COUNTIF($D$3:$D394,$D394)=2,D394&amp;"2",IF(COUNTIF($D$3:$D394,$D394)=3,D394&amp;"3",IF(COUNTIF($D$3:$D394,$D394)=4,D394&amp;"4",IF(COUNTIF($D$3:$D394,$D394)=5,D394&amp;"5",IF(COUNTIF($D$3:$D394,$D394)=6,D394&amp;"6",IF(COUNTIF($D$3:$D394,$D394)=7,D394&amp;"7",IF(COUNTIF($D$3:$D394,$D394)=8,D394&amp;"8",D394)))))))))</f>
        <v/>
      </c>
    </row>
    <row r="395" spans="4:5" x14ac:dyDescent="0.3">
      <c r="D395" s="3" t="str">
        <f t="shared" si="6"/>
        <v/>
      </c>
      <c r="E395" s="3" t="str">
        <f>IF(D395="","",IF(COUNTIF($D$3:$D395,$D395)=1,D395&amp;"1",IF(COUNTIF($D$3:$D395,$D395)=2,D395&amp;"2",IF(COUNTIF($D$3:$D395,$D395)=3,D395&amp;"3",IF(COUNTIF($D$3:$D395,$D395)=4,D395&amp;"4",IF(COUNTIF($D$3:$D395,$D395)=5,D395&amp;"5",IF(COUNTIF($D$3:$D395,$D395)=6,D395&amp;"6",IF(COUNTIF($D$3:$D395,$D395)=7,D395&amp;"7",IF(COUNTIF($D$3:$D395,$D395)=8,D395&amp;"8",D395)))))))))</f>
        <v/>
      </c>
    </row>
    <row r="396" spans="4:5" x14ac:dyDescent="0.3">
      <c r="D396" s="3" t="str">
        <f t="shared" si="6"/>
        <v/>
      </c>
      <c r="E396" s="3" t="str">
        <f>IF(D396="","",IF(COUNTIF($D$3:$D396,$D396)=1,D396&amp;"1",IF(COUNTIF($D$3:$D396,$D396)=2,D396&amp;"2",IF(COUNTIF($D$3:$D396,$D396)=3,D396&amp;"3",IF(COUNTIF($D$3:$D396,$D396)=4,D396&amp;"4",IF(COUNTIF($D$3:$D396,$D396)=5,D396&amp;"5",IF(COUNTIF($D$3:$D396,$D396)=6,D396&amp;"6",IF(COUNTIF($D$3:$D396,$D396)=7,D396&amp;"7",IF(COUNTIF($D$3:$D396,$D396)=8,D396&amp;"8",D396)))))))))</f>
        <v/>
      </c>
    </row>
    <row r="397" spans="4:5" x14ac:dyDescent="0.3">
      <c r="D397" s="3" t="str">
        <f t="shared" si="6"/>
        <v/>
      </c>
      <c r="E397" s="3" t="str">
        <f>IF(D397="","",IF(COUNTIF($D$3:$D397,$D397)=1,D397&amp;"1",IF(COUNTIF($D$3:$D397,$D397)=2,D397&amp;"2",IF(COUNTIF($D$3:$D397,$D397)=3,D397&amp;"3",IF(COUNTIF($D$3:$D397,$D397)=4,D397&amp;"4",IF(COUNTIF($D$3:$D397,$D397)=5,D397&amp;"5",IF(COUNTIF($D$3:$D397,$D397)=6,D397&amp;"6",IF(COUNTIF($D$3:$D397,$D397)=7,D397&amp;"7",IF(COUNTIF($D$3:$D397,$D397)=8,D397&amp;"8",D397)))))))))</f>
        <v/>
      </c>
    </row>
    <row r="398" spans="4:5" x14ac:dyDescent="0.3">
      <c r="D398" s="3" t="str">
        <f t="shared" si="6"/>
        <v/>
      </c>
      <c r="E398" s="3" t="str">
        <f>IF(D398="","",IF(COUNTIF($D$3:$D398,$D398)=1,D398&amp;"1",IF(COUNTIF($D$3:$D398,$D398)=2,D398&amp;"2",IF(COUNTIF($D$3:$D398,$D398)=3,D398&amp;"3",IF(COUNTIF($D$3:$D398,$D398)=4,D398&amp;"4",IF(COUNTIF($D$3:$D398,$D398)=5,D398&amp;"5",IF(COUNTIF($D$3:$D398,$D398)=6,D398&amp;"6",IF(COUNTIF($D$3:$D398,$D398)=7,D398&amp;"7",IF(COUNTIF($D$3:$D398,$D398)=8,D398&amp;"8",D398)))))))))</f>
        <v/>
      </c>
    </row>
    <row r="399" spans="4:5" x14ac:dyDescent="0.3">
      <c r="D399" s="3" t="str">
        <f t="shared" si="6"/>
        <v/>
      </c>
      <c r="E399" s="3" t="str">
        <f>IF(D399="","",IF(COUNTIF($D$3:$D399,$D399)=1,D399&amp;"1",IF(COUNTIF($D$3:$D399,$D399)=2,D399&amp;"2",IF(COUNTIF($D$3:$D399,$D399)=3,D399&amp;"3",IF(COUNTIF($D$3:$D399,$D399)=4,D399&amp;"4",IF(COUNTIF($D$3:$D399,$D399)=5,D399&amp;"5",IF(COUNTIF($D$3:$D399,$D399)=6,D399&amp;"6",IF(COUNTIF($D$3:$D399,$D399)=7,D399&amp;"7",IF(COUNTIF($D$3:$D399,$D399)=8,D399&amp;"8",D399)))))))))</f>
        <v/>
      </c>
    </row>
    <row r="400" spans="4:5" x14ac:dyDescent="0.3">
      <c r="D400" s="3" t="str">
        <f t="shared" si="6"/>
        <v/>
      </c>
      <c r="E400" s="3" t="str">
        <f>IF(D400="","",IF(COUNTIF($D$3:$D400,$D400)=1,D400&amp;"1",IF(COUNTIF($D$3:$D400,$D400)=2,D400&amp;"2",IF(COUNTIF($D$3:$D400,$D400)=3,D400&amp;"3",IF(COUNTIF($D$3:$D400,$D400)=4,D400&amp;"4",IF(COUNTIF($D$3:$D400,$D400)=5,D400&amp;"5",IF(COUNTIF($D$3:$D400,$D400)=6,D400&amp;"6",IF(COUNTIF($D$3:$D400,$D400)=7,D400&amp;"7",IF(COUNTIF($D$3:$D400,$D400)=8,D400&amp;"8",D400)))))))))</f>
        <v/>
      </c>
    </row>
    <row r="401" spans="4:5" x14ac:dyDescent="0.3">
      <c r="D401" s="3" t="str">
        <f t="shared" si="6"/>
        <v/>
      </c>
      <c r="E401" s="3" t="str">
        <f>IF(D401="","",IF(COUNTIF($D$3:$D401,$D401)=1,D401&amp;"1",IF(COUNTIF($D$3:$D401,$D401)=2,D401&amp;"2",IF(COUNTIF($D$3:$D401,$D401)=3,D401&amp;"3",IF(COUNTIF($D$3:$D401,$D401)=4,D401&amp;"4",IF(COUNTIF($D$3:$D401,$D401)=5,D401&amp;"5",IF(COUNTIF($D$3:$D401,$D401)=6,D401&amp;"6",IF(COUNTIF($D$3:$D401,$D401)=7,D401&amp;"7",IF(COUNTIF($D$3:$D401,$D401)=8,D401&amp;"8",D401)))))))))</f>
        <v/>
      </c>
    </row>
    <row r="402" spans="4:5" x14ac:dyDescent="0.3">
      <c r="D402" s="3" t="str">
        <f t="shared" si="6"/>
        <v/>
      </c>
      <c r="E402" s="3" t="str">
        <f>IF(D402="","",IF(COUNTIF($D$3:$D402,$D402)=1,D402&amp;"1",IF(COUNTIF($D$3:$D402,$D402)=2,D402&amp;"2",IF(COUNTIF($D$3:$D402,$D402)=3,D402&amp;"3",IF(COUNTIF($D$3:$D402,$D402)=4,D402&amp;"4",IF(COUNTIF($D$3:$D402,$D402)=5,D402&amp;"5",IF(COUNTIF($D$3:$D402,$D402)=6,D402&amp;"6",IF(COUNTIF($D$3:$D402,$D402)=7,D402&amp;"7",IF(COUNTIF($D$3:$D402,$D402)=8,D402&amp;"8",D402)))))))))</f>
        <v/>
      </c>
    </row>
    <row r="403" spans="4:5" x14ac:dyDescent="0.3">
      <c r="D403" s="3" t="str">
        <f t="shared" si="6"/>
        <v/>
      </c>
      <c r="E403" s="3" t="str">
        <f>IF(D403="","",IF(COUNTIF($D$3:$D403,$D403)=1,D403&amp;"1",IF(COUNTIF($D$3:$D403,$D403)=2,D403&amp;"2",IF(COUNTIF($D$3:$D403,$D403)=3,D403&amp;"3",IF(COUNTIF($D$3:$D403,$D403)=4,D403&amp;"4",IF(COUNTIF($D$3:$D403,$D403)=5,D403&amp;"5",IF(COUNTIF($D$3:$D403,$D403)=6,D403&amp;"6",IF(COUNTIF($D$3:$D403,$D403)=7,D403&amp;"7",IF(COUNTIF($D$3:$D403,$D403)=8,D403&amp;"8",D403)))))))))</f>
        <v/>
      </c>
    </row>
    <row r="404" spans="4:5" x14ac:dyDescent="0.3">
      <c r="D404" s="3" t="str">
        <f t="shared" si="6"/>
        <v/>
      </c>
      <c r="E404" s="3" t="str">
        <f>IF(D404="","",IF(COUNTIF($D$3:$D404,$D404)=1,D404&amp;"1",IF(COUNTIF($D$3:$D404,$D404)=2,D404&amp;"2",IF(COUNTIF($D$3:$D404,$D404)=3,D404&amp;"3",IF(COUNTIF($D$3:$D404,$D404)=4,D404&amp;"4",IF(COUNTIF($D$3:$D404,$D404)=5,D404&amp;"5",IF(COUNTIF($D$3:$D404,$D404)=6,D404&amp;"6",IF(COUNTIF($D$3:$D404,$D404)=7,D404&amp;"7",IF(COUNTIF($D$3:$D404,$D404)=8,D404&amp;"8",D404)))))))))</f>
        <v/>
      </c>
    </row>
    <row r="405" spans="4:5" x14ac:dyDescent="0.3">
      <c r="D405" s="3" t="str">
        <f t="shared" si="6"/>
        <v/>
      </c>
      <c r="E405" s="3" t="str">
        <f>IF(D405="","",IF(COUNTIF($D$3:$D405,$D405)=1,D405&amp;"1",IF(COUNTIF($D$3:$D405,$D405)=2,D405&amp;"2",IF(COUNTIF($D$3:$D405,$D405)=3,D405&amp;"3",IF(COUNTIF($D$3:$D405,$D405)=4,D405&amp;"4",IF(COUNTIF($D$3:$D405,$D405)=5,D405&amp;"5",IF(COUNTIF($D$3:$D405,$D405)=6,D405&amp;"6",IF(COUNTIF($D$3:$D405,$D405)=7,D405&amp;"7",IF(COUNTIF($D$3:$D405,$D405)=8,D405&amp;"8",D405)))))))))</f>
        <v/>
      </c>
    </row>
    <row r="406" spans="4:5" x14ac:dyDescent="0.3">
      <c r="D406" s="3" t="str">
        <f t="shared" si="6"/>
        <v/>
      </c>
      <c r="E406" s="3" t="str">
        <f>IF(D406="","",IF(COUNTIF($D$3:$D406,$D406)=1,D406&amp;"1",IF(COUNTIF($D$3:$D406,$D406)=2,D406&amp;"2",IF(COUNTIF($D$3:$D406,$D406)=3,D406&amp;"3",IF(COUNTIF($D$3:$D406,$D406)=4,D406&amp;"4",IF(COUNTIF($D$3:$D406,$D406)=5,D406&amp;"5",IF(COUNTIF($D$3:$D406,$D406)=6,D406&amp;"6",IF(COUNTIF($D$3:$D406,$D406)=7,D406&amp;"7",IF(COUNTIF($D$3:$D406,$D406)=8,D406&amp;"8",D406)))))))))</f>
        <v/>
      </c>
    </row>
    <row r="407" spans="4:5" x14ac:dyDescent="0.3">
      <c r="D407" s="3" t="str">
        <f t="shared" si="6"/>
        <v/>
      </c>
      <c r="E407" s="3" t="str">
        <f>IF(D407="","",IF(COUNTIF($D$3:$D407,$D407)=1,D407&amp;"1",IF(COUNTIF($D$3:$D407,$D407)=2,D407&amp;"2",IF(COUNTIF($D$3:$D407,$D407)=3,D407&amp;"3",IF(COUNTIF($D$3:$D407,$D407)=4,D407&amp;"4",IF(COUNTIF($D$3:$D407,$D407)=5,D407&amp;"5",IF(COUNTIF($D$3:$D407,$D407)=6,D407&amp;"6",IF(COUNTIF($D$3:$D407,$D407)=7,D407&amp;"7",IF(COUNTIF($D$3:$D407,$D407)=8,D407&amp;"8",D407)))))))))</f>
        <v/>
      </c>
    </row>
    <row r="408" spans="4:5" x14ac:dyDescent="0.3">
      <c r="D408" s="3" t="str">
        <f t="shared" si="6"/>
        <v/>
      </c>
      <c r="E408" s="3" t="str">
        <f>IF(D408="","",IF(COUNTIF($D$3:$D408,$D408)=1,D408&amp;"1",IF(COUNTIF($D$3:$D408,$D408)=2,D408&amp;"2",IF(COUNTIF($D$3:$D408,$D408)=3,D408&amp;"3",IF(COUNTIF($D$3:$D408,$D408)=4,D408&amp;"4",IF(COUNTIF($D$3:$D408,$D408)=5,D408&amp;"5",IF(COUNTIF($D$3:$D408,$D408)=6,D408&amp;"6",IF(COUNTIF($D$3:$D408,$D408)=7,D408&amp;"7",IF(COUNTIF($D$3:$D408,$D408)=8,D408&amp;"8",D408)))))))))</f>
        <v/>
      </c>
    </row>
    <row r="409" spans="4:5" x14ac:dyDescent="0.3">
      <c r="D409" s="3" t="str">
        <f t="shared" si="6"/>
        <v/>
      </c>
      <c r="E409" s="3" t="str">
        <f>IF(D409="","",IF(COUNTIF($D$3:$D409,$D409)=1,D409&amp;"1",IF(COUNTIF($D$3:$D409,$D409)=2,D409&amp;"2",IF(COUNTIF($D$3:$D409,$D409)=3,D409&amp;"3",IF(COUNTIF($D$3:$D409,$D409)=4,D409&amp;"4",IF(COUNTIF($D$3:$D409,$D409)=5,D409&amp;"5",IF(COUNTIF($D$3:$D409,$D409)=6,D409&amp;"6",IF(COUNTIF($D$3:$D409,$D409)=7,D409&amp;"7",IF(COUNTIF($D$3:$D409,$D409)=8,D409&amp;"8",D409)))))))))</f>
        <v/>
      </c>
    </row>
    <row r="410" spans="4:5" x14ac:dyDescent="0.3">
      <c r="D410" s="3" t="str">
        <f t="shared" si="6"/>
        <v/>
      </c>
      <c r="E410" s="3" t="str">
        <f>IF(D410="","",IF(COUNTIF($D$3:$D410,$D410)=1,D410&amp;"1",IF(COUNTIF($D$3:$D410,$D410)=2,D410&amp;"2",IF(COUNTIF($D$3:$D410,$D410)=3,D410&amp;"3",IF(COUNTIF($D$3:$D410,$D410)=4,D410&amp;"4",IF(COUNTIF($D$3:$D410,$D410)=5,D410&amp;"5",IF(COUNTIF($D$3:$D410,$D410)=6,D410&amp;"6",IF(COUNTIF($D$3:$D410,$D410)=7,D410&amp;"7",IF(COUNTIF($D$3:$D410,$D410)=8,D410&amp;"8",D410)))))))))</f>
        <v/>
      </c>
    </row>
    <row r="411" spans="4:5" x14ac:dyDescent="0.3">
      <c r="D411" s="3" t="str">
        <f t="shared" si="6"/>
        <v/>
      </c>
      <c r="E411" s="3" t="str">
        <f>IF(D411="","",IF(COUNTIF($D$3:$D411,$D411)=1,D411&amp;"1",IF(COUNTIF($D$3:$D411,$D411)=2,D411&amp;"2",IF(COUNTIF($D$3:$D411,$D411)=3,D411&amp;"3",IF(COUNTIF($D$3:$D411,$D411)=4,D411&amp;"4",IF(COUNTIF($D$3:$D411,$D411)=5,D411&amp;"5",IF(COUNTIF($D$3:$D411,$D411)=6,D411&amp;"6",IF(COUNTIF($D$3:$D411,$D411)=7,D411&amp;"7",IF(COUNTIF($D$3:$D411,$D411)=8,D411&amp;"8",D411)))))))))</f>
        <v/>
      </c>
    </row>
    <row r="412" spans="4:5" x14ac:dyDescent="0.3">
      <c r="D412" s="3" t="str">
        <f t="shared" si="6"/>
        <v/>
      </c>
      <c r="E412" s="3" t="str">
        <f>IF(D412="","",IF(COUNTIF($D$3:$D412,$D412)=1,D412&amp;"1",IF(COUNTIF($D$3:$D412,$D412)=2,D412&amp;"2",IF(COUNTIF($D$3:$D412,$D412)=3,D412&amp;"3",IF(COUNTIF($D$3:$D412,$D412)=4,D412&amp;"4",IF(COUNTIF($D$3:$D412,$D412)=5,D412&amp;"5",IF(COUNTIF($D$3:$D412,$D412)=6,D412&amp;"6",IF(COUNTIF($D$3:$D412,$D412)=7,D412&amp;"7",IF(COUNTIF($D$3:$D412,$D412)=8,D412&amp;"8",D412)))))))))</f>
        <v/>
      </c>
    </row>
    <row r="413" spans="4:5" x14ac:dyDescent="0.3">
      <c r="D413" s="3" t="str">
        <f t="shared" si="6"/>
        <v/>
      </c>
      <c r="E413" s="3" t="str">
        <f>IF(D413="","",IF(COUNTIF($D$3:$D413,$D413)=1,D413&amp;"1",IF(COUNTIF($D$3:$D413,$D413)=2,D413&amp;"2",IF(COUNTIF($D$3:$D413,$D413)=3,D413&amp;"3",IF(COUNTIF($D$3:$D413,$D413)=4,D413&amp;"4",IF(COUNTIF($D$3:$D413,$D413)=5,D413&amp;"5",IF(COUNTIF($D$3:$D413,$D413)=6,D413&amp;"6",IF(COUNTIF($D$3:$D413,$D413)=7,D413&amp;"7",IF(COUNTIF($D$3:$D413,$D413)=8,D413&amp;"8",D413)))))))))</f>
        <v/>
      </c>
    </row>
    <row r="414" spans="4:5" x14ac:dyDescent="0.3">
      <c r="D414" s="3" t="str">
        <f t="shared" si="6"/>
        <v/>
      </c>
      <c r="E414" s="3" t="str">
        <f>IF(D414="","",IF(COUNTIF($D$3:$D414,$D414)=1,D414&amp;"1",IF(COUNTIF($D$3:$D414,$D414)=2,D414&amp;"2",IF(COUNTIF($D$3:$D414,$D414)=3,D414&amp;"3",IF(COUNTIF($D$3:$D414,$D414)=4,D414&amp;"4",IF(COUNTIF($D$3:$D414,$D414)=5,D414&amp;"5",IF(COUNTIF($D$3:$D414,$D414)=6,D414&amp;"6",IF(COUNTIF($D$3:$D414,$D414)=7,D414&amp;"7",IF(COUNTIF($D$3:$D414,$D414)=8,D414&amp;"8",D414)))))))))</f>
        <v/>
      </c>
    </row>
    <row r="415" spans="4:5" x14ac:dyDescent="0.3">
      <c r="D415" s="3" t="str">
        <f t="shared" si="6"/>
        <v/>
      </c>
      <c r="E415" s="3" t="str">
        <f>IF(D415="","",IF(COUNTIF($D$3:$D415,$D415)=1,D415&amp;"1",IF(COUNTIF($D$3:$D415,$D415)=2,D415&amp;"2",IF(COUNTIF($D$3:$D415,$D415)=3,D415&amp;"3",IF(COUNTIF($D$3:$D415,$D415)=4,D415&amp;"4",IF(COUNTIF($D$3:$D415,$D415)=5,D415&amp;"5",IF(COUNTIF($D$3:$D415,$D415)=6,D415&amp;"6",IF(COUNTIF($D$3:$D415,$D415)=7,D415&amp;"7",IF(COUNTIF($D$3:$D415,$D415)=8,D415&amp;"8",D415)))))))))</f>
        <v/>
      </c>
    </row>
    <row r="416" spans="4:5" x14ac:dyDescent="0.3">
      <c r="D416" s="3" t="str">
        <f t="shared" si="6"/>
        <v/>
      </c>
      <c r="E416" s="3" t="str">
        <f>IF(D416="","",IF(COUNTIF($D$3:$D416,$D416)=1,D416&amp;"1",IF(COUNTIF($D$3:$D416,$D416)=2,D416&amp;"2",IF(COUNTIF($D$3:$D416,$D416)=3,D416&amp;"3",IF(COUNTIF($D$3:$D416,$D416)=4,D416&amp;"4",IF(COUNTIF($D$3:$D416,$D416)=5,D416&amp;"5",IF(COUNTIF($D$3:$D416,$D416)=6,D416&amp;"6",IF(COUNTIF($D$3:$D416,$D416)=7,D416&amp;"7",IF(COUNTIF($D$3:$D416,$D416)=8,D416&amp;"8",D416)))))))))</f>
        <v/>
      </c>
    </row>
    <row r="417" spans="4:5" x14ac:dyDescent="0.3">
      <c r="D417" s="3" t="str">
        <f t="shared" si="6"/>
        <v/>
      </c>
      <c r="E417" s="3" t="str">
        <f>IF(D417="","",IF(COUNTIF($D$3:$D417,$D417)=1,D417&amp;"1",IF(COUNTIF($D$3:$D417,$D417)=2,D417&amp;"2",IF(COUNTIF($D$3:$D417,$D417)=3,D417&amp;"3",IF(COUNTIF($D$3:$D417,$D417)=4,D417&amp;"4",IF(COUNTIF($D$3:$D417,$D417)=5,D417&amp;"5",IF(COUNTIF($D$3:$D417,$D417)=6,D417&amp;"6",IF(COUNTIF($D$3:$D417,$D417)=7,D417&amp;"7",IF(COUNTIF($D$3:$D417,$D417)=8,D417&amp;"8",D417)))))))))</f>
        <v/>
      </c>
    </row>
    <row r="418" spans="4:5" x14ac:dyDescent="0.3">
      <c r="D418" s="3" t="str">
        <f t="shared" si="6"/>
        <v/>
      </c>
      <c r="E418" s="3" t="str">
        <f>IF(D418="","",IF(COUNTIF($D$3:$D418,$D418)=1,D418&amp;"1",IF(COUNTIF($D$3:$D418,$D418)=2,D418&amp;"2",IF(COUNTIF($D$3:$D418,$D418)=3,D418&amp;"3",IF(COUNTIF($D$3:$D418,$D418)=4,D418&amp;"4",IF(COUNTIF($D$3:$D418,$D418)=5,D418&amp;"5",IF(COUNTIF($D$3:$D418,$D418)=6,D418&amp;"6",IF(COUNTIF($D$3:$D418,$D418)=7,D418&amp;"7",IF(COUNTIF($D$3:$D418,$D418)=8,D418&amp;"8",D418)))))))))</f>
        <v/>
      </c>
    </row>
    <row r="419" spans="4:5" x14ac:dyDescent="0.3">
      <c r="D419" s="3" t="str">
        <f t="shared" si="6"/>
        <v/>
      </c>
      <c r="E419" s="3" t="str">
        <f>IF(D419="","",IF(COUNTIF($D$3:$D419,$D419)=1,D419&amp;"1",IF(COUNTIF($D$3:$D419,$D419)=2,D419&amp;"2",IF(COUNTIF($D$3:$D419,$D419)=3,D419&amp;"3",IF(COUNTIF($D$3:$D419,$D419)=4,D419&amp;"4",IF(COUNTIF($D$3:$D419,$D419)=5,D419&amp;"5",IF(COUNTIF($D$3:$D419,$D419)=6,D419&amp;"6",IF(COUNTIF($D$3:$D419,$D419)=7,D419&amp;"7",IF(COUNTIF($D$3:$D419,$D419)=8,D419&amp;"8",D419)))))))))</f>
        <v/>
      </c>
    </row>
    <row r="420" spans="4:5" x14ac:dyDescent="0.3">
      <c r="D420" s="3" t="str">
        <f t="shared" si="6"/>
        <v/>
      </c>
      <c r="E420" s="3" t="str">
        <f>IF(D420="","",IF(COUNTIF($D$3:$D420,$D420)=1,D420&amp;"1",IF(COUNTIF($D$3:$D420,$D420)=2,D420&amp;"2",IF(COUNTIF($D$3:$D420,$D420)=3,D420&amp;"3",IF(COUNTIF($D$3:$D420,$D420)=4,D420&amp;"4",IF(COUNTIF($D$3:$D420,$D420)=5,D420&amp;"5",IF(COUNTIF($D$3:$D420,$D420)=6,D420&amp;"6",IF(COUNTIF($D$3:$D420,$D420)=7,D420&amp;"7",IF(COUNTIF($D$3:$D420,$D420)=8,D420&amp;"8",D420)))))))))</f>
        <v/>
      </c>
    </row>
    <row r="421" spans="4:5" x14ac:dyDescent="0.3">
      <c r="D421" s="3" t="str">
        <f t="shared" si="6"/>
        <v/>
      </c>
      <c r="E421" s="3" t="str">
        <f>IF(D421="","",IF(COUNTIF($D$3:$D421,$D421)=1,D421&amp;"1",IF(COUNTIF($D$3:$D421,$D421)=2,D421&amp;"2",IF(COUNTIF($D$3:$D421,$D421)=3,D421&amp;"3",IF(COUNTIF($D$3:$D421,$D421)=4,D421&amp;"4",IF(COUNTIF($D$3:$D421,$D421)=5,D421&amp;"5",IF(COUNTIF($D$3:$D421,$D421)=6,D421&amp;"6",IF(COUNTIF($D$3:$D421,$D421)=7,D421&amp;"7",IF(COUNTIF($D$3:$D421,$D421)=8,D421&amp;"8",D421)))))))))</f>
        <v/>
      </c>
    </row>
    <row r="422" spans="4:5" x14ac:dyDescent="0.3">
      <c r="D422" s="3" t="str">
        <f t="shared" si="6"/>
        <v/>
      </c>
      <c r="E422" s="3" t="str">
        <f>IF(D422="","",IF(COUNTIF($D$3:$D422,$D422)=1,D422&amp;"1",IF(COUNTIF($D$3:$D422,$D422)=2,D422&amp;"2",IF(COUNTIF($D$3:$D422,$D422)=3,D422&amp;"3",IF(COUNTIF($D$3:$D422,$D422)=4,D422&amp;"4",IF(COUNTIF($D$3:$D422,$D422)=5,D422&amp;"5",IF(COUNTIF($D$3:$D422,$D422)=6,D422&amp;"6",IF(COUNTIF($D$3:$D422,$D422)=7,D422&amp;"7",IF(COUNTIF($D$3:$D422,$D422)=8,D422&amp;"8",D422)))))))))</f>
        <v/>
      </c>
    </row>
    <row r="423" spans="4:5" x14ac:dyDescent="0.3">
      <c r="D423" s="3" t="str">
        <f t="shared" si="6"/>
        <v/>
      </c>
      <c r="E423" s="3" t="str">
        <f>IF(D423="","",IF(COUNTIF($D$3:$D423,$D423)=1,D423&amp;"1",IF(COUNTIF($D$3:$D423,$D423)=2,D423&amp;"2",IF(COUNTIF($D$3:$D423,$D423)=3,D423&amp;"3",IF(COUNTIF($D$3:$D423,$D423)=4,D423&amp;"4",IF(COUNTIF($D$3:$D423,$D423)=5,D423&amp;"5",IF(COUNTIF($D$3:$D423,$D423)=6,D423&amp;"6",IF(COUNTIF($D$3:$D423,$D423)=7,D423&amp;"7",IF(COUNTIF($D$3:$D423,$D423)=8,D423&amp;"8",D423)))))))))</f>
        <v/>
      </c>
    </row>
    <row r="424" spans="4:5" x14ac:dyDescent="0.3">
      <c r="D424" s="3" t="str">
        <f t="shared" si="6"/>
        <v/>
      </c>
      <c r="E424" s="3" t="str">
        <f>IF(D424="","",IF(COUNTIF($D$3:$D424,$D424)=1,D424&amp;"1",IF(COUNTIF($D$3:$D424,$D424)=2,D424&amp;"2",IF(COUNTIF($D$3:$D424,$D424)=3,D424&amp;"3",IF(COUNTIF($D$3:$D424,$D424)=4,D424&amp;"4",IF(COUNTIF($D$3:$D424,$D424)=5,D424&amp;"5",IF(COUNTIF($D$3:$D424,$D424)=6,D424&amp;"6",IF(COUNTIF($D$3:$D424,$D424)=7,D424&amp;"7",IF(COUNTIF($D$3:$D424,$D424)=8,D424&amp;"8",D424)))))))))</f>
        <v/>
      </c>
    </row>
    <row r="425" spans="4:5" x14ac:dyDescent="0.3">
      <c r="D425" s="3" t="str">
        <f t="shared" si="6"/>
        <v/>
      </c>
      <c r="E425" s="3" t="str">
        <f>IF(D425="","",IF(COUNTIF($D$3:$D425,$D425)=1,D425&amp;"1",IF(COUNTIF($D$3:$D425,$D425)=2,D425&amp;"2",IF(COUNTIF($D$3:$D425,$D425)=3,D425&amp;"3",IF(COUNTIF($D$3:$D425,$D425)=4,D425&amp;"4",IF(COUNTIF($D$3:$D425,$D425)=5,D425&amp;"5",IF(COUNTIF($D$3:$D425,$D425)=6,D425&amp;"6",IF(COUNTIF($D$3:$D425,$D425)=7,D425&amp;"7",IF(COUNTIF($D$3:$D425,$D425)=8,D425&amp;"8",D425)))))))))</f>
        <v/>
      </c>
    </row>
    <row r="426" spans="4:5" x14ac:dyDescent="0.3">
      <c r="D426" s="3" t="str">
        <f t="shared" si="6"/>
        <v/>
      </c>
      <c r="E426" s="3" t="str">
        <f>IF(D426="","",IF(COUNTIF($D$3:$D426,$D426)=1,D426&amp;"1",IF(COUNTIF($D$3:$D426,$D426)=2,D426&amp;"2",IF(COUNTIF($D$3:$D426,$D426)=3,D426&amp;"3",IF(COUNTIF($D$3:$D426,$D426)=4,D426&amp;"4",IF(COUNTIF($D$3:$D426,$D426)=5,D426&amp;"5",IF(COUNTIF($D$3:$D426,$D426)=6,D426&amp;"6",IF(COUNTIF($D$3:$D426,$D426)=7,D426&amp;"7",IF(COUNTIF($D$3:$D426,$D426)=8,D426&amp;"8",D426)))))))))</f>
        <v/>
      </c>
    </row>
    <row r="427" spans="4:5" x14ac:dyDescent="0.3">
      <c r="D427" s="3" t="str">
        <f t="shared" si="6"/>
        <v/>
      </c>
      <c r="E427" s="3" t="str">
        <f>IF(D427="","",IF(COUNTIF($D$3:$D427,$D427)=1,D427&amp;"1",IF(COUNTIF($D$3:$D427,$D427)=2,D427&amp;"2",IF(COUNTIF($D$3:$D427,$D427)=3,D427&amp;"3",IF(COUNTIF($D$3:$D427,$D427)=4,D427&amp;"4",IF(COUNTIF($D$3:$D427,$D427)=5,D427&amp;"5",IF(COUNTIF($D$3:$D427,$D427)=6,D427&amp;"6",IF(COUNTIF($D$3:$D427,$D427)=7,D427&amp;"7",IF(COUNTIF($D$3:$D427,$D427)=8,D427&amp;"8",D427)))))))))</f>
        <v/>
      </c>
    </row>
    <row r="428" spans="4:5" x14ac:dyDescent="0.3">
      <c r="D428" s="3" t="str">
        <f t="shared" si="6"/>
        <v/>
      </c>
      <c r="E428" s="3" t="str">
        <f>IF(D428="","",IF(COUNTIF($D$3:$D428,$D428)=1,D428&amp;"1",IF(COUNTIF($D$3:$D428,$D428)=2,D428&amp;"2",IF(COUNTIF($D$3:$D428,$D428)=3,D428&amp;"3",IF(COUNTIF($D$3:$D428,$D428)=4,D428&amp;"4",IF(COUNTIF($D$3:$D428,$D428)=5,D428&amp;"5",IF(COUNTIF($D$3:$D428,$D428)=6,D428&amp;"6",IF(COUNTIF($D$3:$D428,$D428)=7,D428&amp;"7",IF(COUNTIF($D$3:$D428,$D428)=8,D428&amp;"8",D428)))))))))</f>
        <v/>
      </c>
    </row>
    <row r="429" spans="4:5" x14ac:dyDescent="0.3">
      <c r="D429" s="3" t="str">
        <f t="shared" si="6"/>
        <v/>
      </c>
      <c r="E429" s="3" t="str">
        <f>IF(D429="","",IF(COUNTIF($D$3:$D429,$D429)=1,D429&amp;"1",IF(COUNTIF($D$3:$D429,$D429)=2,D429&amp;"2",IF(COUNTIF($D$3:$D429,$D429)=3,D429&amp;"3",IF(COUNTIF($D$3:$D429,$D429)=4,D429&amp;"4",IF(COUNTIF($D$3:$D429,$D429)=5,D429&amp;"5",IF(COUNTIF($D$3:$D429,$D429)=6,D429&amp;"6",IF(COUNTIF($D$3:$D429,$D429)=7,D429&amp;"7",IF(COUNTIF($D$3:$D429,$D429)=8,D429&amp;"8",D429)))))))))</f>
        <v/>
      </c>
    </row>
    <row r="430" spans="4:5" x14ac:dyDescent="0.3">
      <c r="D430" s="3" t="str">
        <f t="shared" si="6"/>
        <v/>
      </c>
      <c r="E430" s="3" t="str">
        <f>IF(D430="","",IF(COUNTIF($D$3:$D430,$D430)=1,D430&amp;"1",IF(COUNTIF($D$3:$D430,$D430)=2,D430&amp;"2",IF(COUNTIF($D$3:$D430,$D430)=3,D430&amp;"3",IF(COUNTIF($D$3:$D430,$D430)=4,D430&amp;"4",IF(COUNTIF($D$3:$D430,$D430)=5,D430&amp;"5",IF(COUNTIF($D$3:$D430,$D430)=6,D430&amp;"6",IF(COUNTIF($D$3:$D430,$D430)=7,D430&amp;"7",IF(COUNTIF($D$3:$D430,$D430)=8,D430&amp;"8",D430)))))))))</f>
        <v/>
      </c>
    </row>
    <row r="431" spans="4:5" x14ac:dyDescent="0.3">
      <c r="D431" s="3" t="str">
        <f t="shared" si="6"/>
        <v/>
      </c>
      <c r="E431" s="3" t="str">
        <f>IF(D431="","",IF(COUNTIF($D$3:$D431,$D431)=1,D431&amp;"1",IF(COUNTIF($D$3:$D431,$D431)=2,D431&amp;"2",IF(COUNTIF($D$3:$D431,$D431)=3,D431&amp;"3",IF(COUNTIF($D$3:$D431,$D431)=4,D431&amp;"4",IF(COUNTIF($D$3:$D431,$D431)=5,D431&amp;"5",IF(COUNTIF($D$3:$D431,$D431)=6,D431&amp;"6",IF(COUNTIF($D$3:$D431,$D431)=7,D431&amp;"7",IF(COUNTIF($D$3:$D431,$D431)=8,D431&amp;"8",D431)))))))))</f>
        <v/>
      </c>
    </row>
    <row r="432" spans="4:5" x14ac:dyDescent="0.3">
      <c r="D432" s="3" t="str">
        <f t="shared" si="6"/>
        <v/>
      </c>
      <c r="E432" s="3" t="str">
        <f>IF(D432="","",IF(COUNTIF($D$3:$D432,$D432)=1,D432&amp;"1",IF(COUNTIF($D$3:$D432,$D432)=2,D432&amp;"2",IF(COUNTIF($D$3:$D432,$D432)=3,D432&amp;"3",IF(COUNTIF($D$3:$D432,$D432)=4,D432&amp;"4",IF(COUNTIF($D$3:$D432,$D432)=5,D432&amp;"5",IF(COUNTIF($D$3:$D432,$D432)=6,D432&amp;"6",IF(COUNTIF($D$3:$D432,$D432)=7,D432&amp;"7",IF(COUNTIF($D$3:$D432,$D432)=8,D432&amp;"8",D432)))))))))</f>
        <v/>
      </c>
    </row>
    <row r="433" spans="4:5" x14ac:dyDescent="0.3">
      <c r="D433" s="3" t="str">
        <f t="shared" si="6"/>
        <v/>
      </c>
      <c r="E433" s="3" t="str">
        <f>IF(D433="","",IF(COUNTIF($D$3:$D433,$D433)=1,D433&amp;"1",IF(COUNTIF($D$3:$D433,$D433)=2,D433&amp;"2",IF(COUNTIF($D$3:$D433,$D433)=3,D433&amp;"3",IF(COUNTIF($D$3:$D433,$D433)=4,D433&amp;"4",IF(COUNTIF($D$3:$D433,$D433)=5,D433&amp;"5",IF(COUNTIF($D$3:$D433,$D433)=6,D433&amp;"6",IF(COUNTIF($D$3:$D433,$D433)=7,D433&amp;"7",IF(COUNTIF($D$3:$D433,$D433)=8,D433&amp;"8",D433)))))))))</f>
        <v/>
      </c>
    </row>
    <row r="434" spans="4:5" x14ac:dyDescent="0.3">
      <c r="D434" s="3" t="str">
        <f t="shared" si="6"/>
        <v/>
      </c>
      <c r="E434" s="3" t="str">
        <f>IF(D434="","",IF(COUNTIF($D$3:$D434,$D434)=1,D434&amp;"1",IF(COUNTIF($D$3:$D434,$D434)=2,D434&amp;"2",IF(COUNTIF($D$3:$D434,$D434)=3,D434&amp;"3",IF(COUNTIF($D$3:$D434,$D434)=4,D434&amp;"4",IF(COUNTIF($D$3:$D434,$D434)=5,D434&amp;"5",IF(COUNTIF($D$3:$D434,$D434)=6,D434&amp;"6",IF(COUNTIF($D$3:$D434,$D434)=7,D434&amp;"7",IF(COUNTIF($D$3:$D434,$D434)=8,D434&amp;"8",D434)))))))))</f>
        <v/>
      </c>
    </row>
    <row r="435" spans="4:5" x14ac:dyDescent="0.3">
      <c r="D435" s="3" t="str">
        <f t="shared" si="6"/>
        <v/>
      </c>
      <c r="E435" s="3" t="str">
        <f>IF(D435="","",IF(COUNTIF($D$3:$D435,$D435)=1,D435&amp;"1",IF(COUNTIF($D$3:$D435,$D435)=2,D435&amp;"2",IF(COUNTIF($D$3:$D435,$D435)=3,D435&amp;"3",IF(COUNTIF($D$3:$D435,$D435)=4,D435&amp;"4",IF(COUNTIF($D$3:$D435,$D435)=5,D435&amp;"5",IF(COUNTIF($D$3:$D435,$D435)=6,D435&amp;"6",IF(COUNTIF($D$3:$D435,$D435)=7,D435&amp;"7",IF(COUNTIF($D$3:$D435,$D435)=8,D435&amp;"8",D435)))))))))</f>
        <v/>
      </c>
    </row>
    <row r="436" spans="4:5" x14ac:dyDescent="0.3">
      <c r="D436" s="3" t="str">
        <f t="shared" si="6"/>
        <v/>
      </c>
      <c r="E436" s="3" t="str">
        <f>IF(D436="","",IF(COUNTIF($D$3:$D436,$D436)=1,D436&amp;"1",IF(COUNTIF($D$3:$D436,$D436)=2,D436&amp;"2",IF(COUNTIF($D$3:$D436,$D436)=3,D436&amp;"3",IF(COUNTIF($D$3:$D436,$D436)=4,D436&amp;"4",IF(COUNTIF($D$3:$D436,$D436)=5,D436&amp;"5",IF(COUNTIF($D$3:$D436,$D436)=6,D436&amp;"6",IF(COUNTIF($D$3:$D436,$D436)=7,D436&amp;"7",IF(COUNTIF($D$3:$D436,$D436)=8,D436&amp;"8",D436)))))))))</f>
        <v/>
      </c>
    </row>
    <row r="437" spans="4:5" x14ac:dyDescent="0.3">
      <c r="D437" s="3" t="str">
        <f t="shared" si="6"/>
        <v/>
      </c>
      <c r="E437" s="3" t="str">
        <f>IF(D437="","",IF(COUNTIF($D$3:$D437,$D437)=1,D437&amp;"1",IF(COUNTIF($D$3:$D437,$D437)=2,D437&amp;"2",IF(COUNTIF($D$3:$D437,$D437)=3,D437&amp;"3",IF(COUNTIF($D$3:$D437,$D437)=4,D437&amp;"4",IF(COUNTIF($D$3:$D437,$D437)=5,D437&amp;"5",IF(COUNTIF($D$3:$D437,$D437)=6,D437&amp;"6",IF(COUNTIF($D$3:$D437,$D437)=7,D437&amp;"7",IF(COUNTIF($D$3:$D437,$D437)=8,D437&amp;"8",D437)))))))))</f>
        <v/>
      </c>
    </row>
    <row r="438" spans="4:5" x14ac:dyDescent="0.3">
      <c r="D438" s="3" t="str">
        <f t="shared" si="6"/>
        <v/>
      </c>
      <c r="E438" s="3" t="str">
        <f>IF(D438="","",IF(COUNTIF($D$3:$D438,$D438)=1,D438&amp;"1",IF(COUNTIF($D$3:$D438,$D438)=2,D438&amp;"2",IF(COUNTIF($D$3:$D438,$D438)=3,D438&amp;"3",IF(COUNTIF($D$3:$D438,$D438)=4,D438&amp;"4",IF(COUNTIF($D$3:$D438,$D438)=5,D438&amp;"5",IF(COUNTIF($D$3:$D438,$D438)=6,D438&amp;"6",IF(COUNTIF($D$3:$D438,$D438)=7,D438&amp;"7",IF(COUNTIF($D$3:$D438,$D438)=8,D438&amp;"8",D438)))))))))</f>
        <v/>
      </c>
    </row>
    <row r="439" spans="4:5" x14ac:dyDescent="0.3">
      <c r="D439" s="3" t="str">
        <f t="shared" si="6"/>
        <v/>
      </c>
      <c r="E439" s="3" t="str">
        <f>IF(D439="","",IF(COUNTIF($D$3:$D439,$D439)=1,D439&amp;"1",IF(COUNTIF($D$3:$D439,$D439)=2,D439&amp;"2",IF(COUNTIF($D$3:$D439,$D439)=3,D439&amp;"3",IF(COUNTIF($D$3:$D439,$D439)=4,D439&amp;"4",IF(COUNTIF($D$3:$D439,$D439)=5,D439&amp;"5",IF(COUNTIF($D$3:$D439,$D439)=6,D439&amp;"6",IF(COUNTIF($D$3:$D439,$D439)=7,D439&amp;"7",IF(COUNTIF($D$3:$D439,$D439)=8,D439&amp;"8",D439)))))))))</f>
        <v/>
      </c>
    </row>
    <row r="440" spans="4:5" x14ac:dyDescent="0.3">
      <c r="D440" s="3" t="str">
        <f t="shared" si="6"/>
        <v/>
      </c>
      <c r="E440" s="3" t="str">
        <f>IF(D440="","",IF(COUNTIF($D$3:$D440,$D440)=1,D440&amp;"1",IF(COUNTIF($D$3:$D440,$D440)=2,D440&amp;"2",IF(COUNTIF($D$3:$D440,$D440)=3,D440&amp;"3",IF(COUNTIF($D$3:$D440,$D440)=4,D440&amp;"4",IF(COUNTIF($D$3:$D440,$D440)=5,D440&amp;"5",IF(COUNTIF($D$3:$D440,$D440)=6,D440&amp;"6",IF(COUNTIF($D$3:$D440,$D440)=7,D440&amp;"7",IF(COUNTIF($D$3:$D440,$D440)=8,D440&amp;"8",D440)))))))))</f>
        <v/>
      </c>
    </row>
    <row r="441" spans="4:5" x14ac:dyDescent="0.3">
      <c r="D441" s="3" t="str">
        <f t="shared" si="6"/>
        <v/>
      </c>
      <c r="E441" s="3" t="str">
        <f>IF(D441="","",IF(COUNTIF($D$3:$D441,$D441)=1,D441&amp;"1",IF(COUNTIF($D$3:$D441,$D441)=2,D441&amp;"2",IF(COUNTIF($D$3:$D441,$D441)=3,D441&amp;"3",IF(COUNTIF($D$3:$D441,$D441)=4,D441&amp;"4",IF(COUNTIF($D$3:$D441,$D441)=5,D441&amp;"5",IF(COUNTIF($D$3:$D441,$D441)=6,D441&amp;"6",IF(COUNTIF($D$3:$D441,$D441)=7,D441&amp;"7",IF(COUNTIF($D$3:$D441,$D441)=8,D441&amp;"8",D441)))))))))</f>
        <v/>
      </c>
    </row>
    <row r="442" spans="4:5" x14ac:dyDescent="0.3">
      <c r="D442" s="3" t="str">
        <f t="shared" si="6"/>
        <v/>
      </c>
      <c r="E442" s="3" t="str">
        <f>IF(D442="","",IF(COUNTIF($D$3:$D442,$D442)=1,D442&amp;"1",IF(COUNTIF($D$3:$D442,$D442)=2,D442&amp;"2",IF(COUNTIF($D$3:$D442,$D442)=3,D442&amp;"3",IF(COUNTIF($D$3:$D442,$D442)=4,D442&amp;"4",IF(COUNTIF($D$3:$D442,$D442)=5,D442&amp;"5",IF(COUNTIF($D$3:$D442,$D442)=6,D442&amp;"6",IF(COUNTIF($D$3:$D442,$D442)=7,D442&amp;"7",IF(COUNTIF($D$3:$D442,$D442)=8,D442&amp;"8",D442)))))))))</f>
        <v/>
      </c>
    </row>
    <row r="443" spans="4:5" x14ac:dyDescent="0.3">
      <c r="D443" s="3" t="str">
        <f t="shared" si="6"/>
        <v/>
      </c>
      <c r="E443" s="3" t="str">
        <f>IF(D443="","",IF(COUNTIF($D$3:$D443,$D443)=1,D443&amp;"1",IF(COUNTIF($D$3:$D443,$D443)=2,D443&amp;"2",IF(COUNTIF($D$3:$D443,$D443)=3,D443&amp;"3",IF(COUNTIF($D$3:$D443,$D443)=4,D443&amp;"4",IF(COUNTIF($D$3:$D443,$D443)=5,D443&amp;"5",IF(COUNTIF($D$3:$D443,$D443)=6,D443&amp;"6",IF(COUNTIF($D$3:$D443,$D443)=7,D443&amp;"7",IF(COUNTIF($D$3:$D443,$D443)=8,D443&amp;"8",D443)))))))))</f>
        <v/>
      </c>
    </row>
    <row r="444" spans="4:5" x14ac:dyDescent="0.3">
      <c r="D444" s="3" t="str">
        <f t="shared" si="6"/>
        <v/>
      </c>
      <c r="E444" s="3" t="str">
        <f>IF(D444="","",IF(COUNTIF($D$3:$D444,$D444)=1,D444&amp;"1",IF(COUNTIF($D$3:$D444,$D444)=2,D444&amp;"2",IF(COUNTIF($D$3:$D444,$D444)=3,D444&amp;"3",IF(COUNTIF($D$3:$D444,$D444)=4,D444&amp;"4",IF(COUNTIF($D$3:$D444,$D444)=5,D444&amp;"5",IF(COUNTIF($D$3:$D444,$D444)=6,D444&amp;"6",IF(COUNTIF($D$3:$D444,$D444)=7,D444&amp;"7",IF(COUNTIF($D$3:$D444,$D444)=8,D444&amp;"8",D444)))))))))</f>
        <v/>
      </c>
    </row>
    <row r="445" spans="4:5" x14ac:dyDescent="0.3">
      <c r="D445" s="3" t="str">
        <f t="shared" si="6"/>
        <v/>
      </c>
      <c r="E445" s="3" t="str">
        <f>IF(D445="","",IF(COUNTIF($D$3:$D445,$D445)=1,D445&amp;"1",IF(COUNTIF($D$3:$D445,$D445)=2,D445&amp;"2",IF(COUNTIF($D$3:$D445,$D445)=3,D445&amp;"3",IF(COUNTIF($D$3:$D445,$D445)=4,D445&amp;"4",IF(COUNTIF($D$3:$D445,$D445)=5,D445&amp;"5",IF(COUNTIF($D$3:$D445,$D445)=6,D445&amp;"6",IF(COUNTIF($D$3:$D445,$D445)=7,D445&amp;"7",IF(COUNTIF($D$3:$D445,$D445)=8,D445&amp;"8",D445)))))))))</f>
        <v/>
      </c>
    </row>
    <row r="446" spans="4:5" x14ac:dyDescent="0.3">
      <c r="D446" s="3" t="str">
        <f t="shared" si="6"/>
        <v/>
      </c>
      <c r="E446" s="3" t="str">
        <f>IF(D446="","",IF(COUNTIF($D$3:$D446,$D446)=1,D446&amp;"1",IF(COUNTIF($D$3:$D446,$D446)=2,D446&amp;"2",IF(COUNTIF($D$3:$D446,$D446)=3,D446&amp;"3",IF(COUNTIF($D$3:$D446,$D446)=4,D446&amp;"4",IF(COUNTIF($D$3:$D446,$D446)=5,D446&amp;"5",IF(COUNTIF($D$3:$D446,$D446)=6,D446&amp;"6",IF(COUNTIF($D$3:$D446,$D446)=7,D446&amp;"7",IF(COUNTIF($D$3:$D446,$D446)=8,D446&amp;"8",D446)))))))))</f>
        <v/>
      </c>
    </row>
    <row r="447" spans="4:5" x14ac:dyDescent="0.3">
      <c r="D447" s="3" t="str">
        <f t="shared" si="6"/>
        <v/>
      </c>
      <c r="E447" s="3" t="str">
        <f>IF(D447="","",IF(COUNTIF($D$3:$D447,$D447)=1,D447&amp;"1",IF(COUNTIF($D$3:$D447,$D447)=2,D447&amp;"2",IF(COUNTIF($D$3:$D447,$D447)=3,D447&amp;"3",IF(COUNTIF($D$3:$D447,$D447)=4,D447&amp;"4",IF(COUNTIF($D$3:$D447,$D447)=5,D447&amp;"5",IF(COUNTIF($D$3:$D447,$D447)=6,D447&amp;"6",IF(COUNTIF($D$3:$D447,$D447)=7,D447&amp;"7",IF(COUNTIF($D$3:$D447,$D447)=8,D447&amp;"8",D447)))))))))</f>
        <v/>
      </c>
    </row>
    <row r="448" spans="4:5" x14ac:dyDescent="0.3">
      <c r="D448" s="3" t="str">
        <f t="shared" si="6"/>
        <v/>
      </c>
      <c r="E448" s="3" t="str">
        <f>IF(D448="","",IF(COUNTIF($D$3:$D448,$D448)=1,D448&amp;"1",IF(COUNTIF($D$3:$D448,$D448)=2,D448&amp;"2",IF(COUNTIF($D$3:$D448,$D448)=3,D448&amp;"3",IF(COUNTIF($D$3:$D448,$D448)=4,D448&amp;"4",IF(COUNTIF($D$3:$D448,$D448)=5,D448&amp;"5",IF(COUNTIF($D$3:$D448,$D448)=6,D448&amp;"6",IF(COUNTIF($D$3:$D448,$D448)=7,D448&amp;"7",IF(COUNTIF($D$3:$D448,$D448)=8,D448&amp;"8",D448)))))))))</f>
        <v/>
      </c>
    </row>
    <row r="449" spans="4:5" x14ac:dyDescent="0.3">
      <c r="D449" s="3" t="str">
        <f t="shared" si="6"/>
        <v/>
      </c>
      <c r="E449" s="3" t="str">
        <f>IF(D449="","",IF(COUNTIF($D$3:$D449,$D449)=1,D449&amp;"1",IF(COUNTIF($D$3:$D449,$D449)=2,D449&amp;"2",IF(COUNTIF($D$3:$D449,$D449)=3,D449&amp;"3",IF(COUNTIF($D$3:$D449,$D449)=4,D449&amp;"4",IF(COUNTIF($D$3:$D449,$D449)=5,D449&amp;"5",IF(COUNTIF($D$3:$D449,$D449)=6,D449&amp;"6",IF(COUNTIF($D$3:$D449,$D449)=7,D449&amp;"7",IF(COUNTIF($D$3:$D449,$D449)=8,D449&amp;"8",D449)))))))))</f>
        <v/>
      </c>
    </row>
    <row r="450" spans="4:5" x14ac:dyDescent="0.3">
      <c r="D450" s="3" t="str">
        <f t="shared" si="6"/>
        <v/>
      </c>
      <c r="E450" s="3" t="str">
        <f>IF(D450="","",IF(COUNTIF($D$3:$D450,$D450)=1,D450&amp;"1",IF(COUNTIF($D$3:$D450,$D450)=2,D450&amp;"2",IF(COUNTIF($D$3:$D450,$D450)=3,D450&amp;"3",IF(COUNTIF($D$3:$D450,$D450)=4,D450&amp;"4",IF(COUNTIF($D$3:$D450,$D450)=5,D450&amp;"5",IF(COUNTIF($D$3:$D450,$D450)=6,D450&amp;"6",IF(COUNTIF($D$3:$D450,$D450)=7,D450&amp;"7",IF(COUNTIF($D$3:$D450,$D450)=8,D450&amp;"8",D450)))))))))</f>
        <v/>
      </c>
    </row>
    <row r="451" spans="4:5" x14ac:dyDescent="0.3">
      <c r="D451" s="3" t="str">
        <f t="shared" si="6"/>
        <v/>
      </c>
      <c r="E451" s="3" t="str">
        <f>IF(D451="","",IF(COUNTIF($D$3:$D451,$D451)=1,D451&amp;"1",IF(COUNTIF($D$3:$D451,$D451)=2,D451&amp;"2",IF(COUNTIF($D$3:$D451,$D451)=3,D451&amp;"3",IF(COUNTIF($D$3:$D451,$D451)=4,D451&amp;"4",IF(COUNTIF($D$3:$D451,$D451)=5,D451&amp;"5",IF(COUNTIF($D$3:$D451,$D451)=6,D451&amp;"6",IF(COUNTIF($D$3:$D451,$D451)=7,D451&amp;"7",IF(COUNTIF($D$3:$D451,$D451)=8,D451&amp;"8",D451)))))))))</f>
        <v/>
      </c>
    </row>
    <row r="452" spans="4:5" x14ac:dyDescent="0.3">
      <c r="D452" s="3" t="str">
        <f t="shared" ref="D452:D490" si="7">B452&amp;C452</f>
        <v/>
      </c>
      <c r="E452" s="3" t="str">
        <f>IF(D452="","",IF(COUNTIF($D$3:$D452,$D452)=1,D452&amp;"1",IF(COUNTIF($D$3:$D452,$D452)=2,D452&amp;"2",IF(COUNTIF($D$3:$D452,$D452)=3,D452&amp;"3",IF(COUNTIF($D$3:$D452,$D452)=4,D452&amp;"4",IF(COUNTIF($D$3:$D452,$D452)=5,D452&amp;"5",IF(COUNTIF($D$3:$D452,$D452)=6,D452&amp;"6",IF(COUNTIF($D$3:$D452,$D452)=7,D452&amp;"7",IF(COUNTIF($D$3:$D452,$D452)=8,D452&amp;"8",D452)))))))))</f>
        <v/>
      </c>
    </row>
    <row r="453" spans="4:5" x14ac:dyDescent="0.3">
      <c r="D453" s="3" t="str">
        <f t="shared" si="7"/>
        <v/>
      </c>
      <c r="E453" s="3" t="str">
        <f>IF(D453="","",IF(COUNTIF($D$3:$D453,$D453)=1,D453&amp;"1",IF(COUNTIF($D$3:$D453,$D453)=2,D453&amp;"2",IF(COUNTIF($D$3:$D453,$D453)=3,D453&amp;"3",IF(COUNTIF($D$3:$D453,$D453)=4,D453&amp;"4",IF(COUNTIF($D$3:$D453,$D453)=5,D453&amp;"5",IF(COUNTIF($D$3:$D453,$D453)=6,D453&amp;"6",IF(COUNTIF($D$3:$D453,$D453)=7,D453&amp;"7",IF(COUNTIF($D$3:$D453,$D453)=8,D453&amp;"8",D453)))))))))</f>
        <v/>
      </c>
    </row>
    <row r="454" spans="4:5" x14ac:dyDescent="0.3">
      <c r="D454" s="3" t="str">
        <f t="shared" si="7"/>
        <v/>
      </c>
      <c r="E454" s="3" t="str">
        <f>IF(D454="","",IF(COUNTIF($D$3:$D454,$D454)=1,D454&amp;"1",IF(COUNTIF($D$3:$D454,$D454)=2,D454&amp;"2",IF(COUNTIF($D$3:$D454,$D454)=3,D454&amp;"3",IF(COUNTIF($D$3:$D454,$D454)=4,D454&amp;"4",IF(COUNTIF($D$3:$D454,$D454)=5,D454&amp;"5",IF(COUNTIF($D$3:$D454,$D454)=6,D454&amp;"6",IF(COUNTIF($D$3:$D454,$D454)=7,D454&amp;"7",IF(COUNTIF($D$3:$D454,$D454)=8,D454&amp;"8",D454)))))))))</f>
        <v/>
      </c>
    </row>
    <row r="455" spans="4:5" x14ac:dyDescent="0.3">
      <c r="D455" s="3" t="str">
        <f t="shared" si="7"/>
        <v/>
      </c>
      <c r="E455" s="3" t="str">
        <f>IF(D455="","",IF(COUNTIF($D$3:$D455,$D455)=1,D455&amp;"1",IF(COUNTIF($D$3:$D455,$D455)=2,D455&amp;"2",IF(COUNTIF($D$3:$D455,$D455)=3,D455&amp;"3",IF(COUNTIF($D$3:$D455,$D455)=4,D455&amp;"4",IF(COUNTIF($D$3:$D455,$D455)=5,D455&amp;"5",IF(COUNTIF($D$3:$D455,$D455)=6,D455&amp;"6",IF(COUNTIF($D$3:$D455,$D455)=7,D455&amp;"7",IF(COUNTIF($D$3:$D455,$D455)=8,D455&amp;"8",D455)))))))))</f>
        <v/>
      </c>
    </row>
    <row r="456" spans="4:5" x14ac:dyDescent="0.3">
      <c r="D456" s="3" t="str">
        <f t="shared" si="7"/>
        <v/>
      </c>
      <c r="E456" s="3" t="str">
        <f>IF(D456="","",IF(COUNTIF($D$3:$D456,$D456)=1,D456&amp;"1",IF(COUNTIF($D$3:$D456,$D456)=2,D456&amp;"2",IF(COUNTIF($D$3:$D456,$D456)=3,D456&amp;"3",IF(COUNTIF($D$3:$D456,$D456)=4,D456&amp;"4",IF(COUNTIF($D$3:$D456,$D456)=5,D456&amp;"5",IF(COUNTIF($D$3:$D456,$D456)=6,D456&amp;"6",IF(COUNTIF($D$3:$D456,$D456)=7,D456&amp;"7",IF(COUNTIF($D$3:$D456,$D456)=8,D456&amp;"8",D456)))))))))</f>
        <v/>
      </c>
    </row>
    <row r="457" spans="4:5" x14ac:dyDescent="0.3">
      <c r="D457" s="3" t="str">
        <f t="shared" si="7"/>
        <v/>
      </c>
      <c r="E457" s="3" t="str">
        <f>IF(D457="","",IF(COUNTIF($D$3:$D457,$D457)=1,D457&amp;"1",IF(COUNTIF($D$3:$D457,$D457)=2,D457&amp;"2",IF(COUNTIF($D$3:$D457,$D457)=3,D457&amp;"3",IF(COUNTIF($D$3:$D457,$D457)=4,D457&amp;"4",IF(COUNTIF($D$3:$D457,$D457)=5,D457&amp;"5",IF(COUNTIF($D$3:$D457,$D457)=6,D457&amp;"6",IF(COUNTIF($D$3:$D457,$D457)=7,D457&amp;"7",IF(COUNTIF($D$3:$D457,$D457)=8,D457&amp;"8",D457)))))))))</f>
        <v/>
      </c>
    </row>
    <row r="458" spans="4:5" x14ac:dyDescent="0.3">
      <c r="D458" s="3" t="str">
        <f t="shared" si="7"/>
        <v/>
      </c>
      <c r="E458" s="3" t="str">
        <f>IF(D458="","",IF(COUNTIF($D$3:$D458,$D458)=1,D458&amp;"1",IF(COUNTIF($D$3:$D458,$D458)=2,D458&amp;"2",IF(COUNTIF($D$3:$D458,$D458)=3,D458&amp;"3",IF(COUNTIF($D$3:$D458,$D458)=4,D458&amp;"4",IF(COUNTIF($D$3:$D458,$D458)=5,D458&amp;"5",IF(COUNTIF($D$3:$D458,$D458)=6,D458&amp;"6",IF(COUNTIF($D$3:$D458,$D458)=7,D458&amp;"7",IF(COUNTIF($D$3:$D458,$D458)=8,D458&amp;"8",D458)))))))))</f>
        <v/>
      </c>
    </row>
    <row r="459" spans="4:5" x14ac:dyDescent="0.3">
      <c r="D459" s="3" t="str">
        <f t="shared" si="7"/>
        <v/>
      </c>
      <c r="E459" s="3" t="str">
        <f>IF(D459="","",IF(COUNTIF($D$3:$D459,$D459)=1,D459&amp;"1",IF(COUNTIF($D$3:$D459,$D459)=2,D459&amp;"2",IF(COUNTIF($D$3:$D459,$D459)=3,D459&amp;"3",IF(COUNTIF($D$3:$D459,$D459)=4,D459&amp;"4",IF(COUNTIF($D$3:$D459,$D459)=5,D459&amp;"5",IF(COUNTIF($D$3:$D459,$D459)=6,D459&amp;"6",IF(COUNTIF($D$3:$D459,$D459)=7,D459&amp;"7",IF(COUNTIF($D$3:$D459,$D459)=8,D459&amp;"8",D459)))))))))</f>
        <v/>
      </c>
    </row>
    <row r="460" spans="4:5" x14ac:dyDescent="0.3">
      <c r="D460" s="3" t="str">
        <f t="shared" si="7"/>
        <v/>
      </c>
      <c r="E460" s="3" t="str">
        <f>IF(D460="","",IF(COUNTIF($D$3:$D460,$D460)=1,D460&amp;"1",IF(COUNTIF($D$3:$D460,$D460)=2,D460&amp;"2",IF(COUNTIF($D$3:$D460,$D460)=3,D460&amp;"3",IF(COUNTIF($D$3:$D460,$D460)=4,D460&amp;"4",IF(COUNTIF($D$3:$D460,$D460)=5,D460&amp;"5",IF(COUNTIF($D$3:$D460,$D460)=6,D460&amp;"6",IF(COUNTIF($D$3:$D460,$D460)=7,D460&amp;"7",IF(COUNTIF($D$3:$D460,$D460)=8,D460&amp;"8",D460)))))))))</f>
        <v/>
      </c>
    </row>
    <row r="461" spans="4:5" x14ac:dyDescent="0.3">
      <c r="D461" s="3" t="str">
        <f t="shared" si="7"/>
        <v/>
      </c>
      <c r="E461" s="3" t="str">
        <f>IF(D461="","",IF(COUNTIF($D$3:$D461,$D461)=1,D461&amp;"1",IF(COUNTIF($D$3:$D461,$D461)=2,D461&amp;"2",IF(COUNTIF($D$3:$D461,$D461)=3,D461&amp;"3",IF(COUNTIF($D$3:$D461,$D461)=4,D461&amp;"4",IF(COUNTIF($D$3:$D461,$D461)=5,D461&amp;"5",IF(COUNTIF($D$3:$D461,$D461)=6,D461&amp;"6",IF(COUNTIF($D$3:$D461,$D461)=7,D461&amp;"7",IF(COUNTIF($D$3:$D461,$D461)=8,D461&amp;"8",D461)))))))))</f>
        <v/>
      </c>
    </row>
    <row r="462" spans="4:5" x14ac:dyDescent="0.3">
      <c r="D462" s="3" t="str">
        <f t="shared" si="7"/>
        <v/>
      </c>
      <c r="E462" s="3" t="str">
        <f>IF(D462="","",IF(COUNTIF($D$3:$D462,$D462)=1,D462&amp;"1",IF(COUNTIF($D$3:$D462,$D462)=2,D462&amp;"2",IF(COUNTIF($D$3:$D462,$D462)=3,D462&amp;"3",IF(COUNTIF($D$3:$D462,$D462)=4,D462&amp;"4",IF(COUNTIF($D$3:$D462,$D462)=5,D462&amp;"5",IF(COUNTIF($D$3:$D462,$D462)=6,D462&amp;"6",IF(COUNTIF($D$3:$D462,$D462)=7,D462&amp;"7",IF(COUNTIF($D$3:$D462,$D462)=8,D462&amp;"8",D462)))))))))</f>
        <v/>
      </c>
    </row>
    <row r="463" spans="4:5" x14ac:dyDescent="0.3">
      <c r="D463" s="3" t="str">
        <f t="shared" si="7"/>
        <v/>
      </c>
      <c r="E463" s="3" t="str">
        <f>IF(D463="","",IF(COUNTIF($D$3:$D463,$D463)=1,D463&amp;"1",IF(COUNTIF($D$3:$D463,$D463)=2,D463&amp;"2",IF(COUNTIF($D$3:$D463,$D463)=3,D463&amp;"3",IF(COUNTIF($D$3:$D463,$D463)=4,D463&amp;"4",IF(COUNTIF($D$3:$D463,$D463)=5,D463&amp;"5",IF(COUNTIF($D$3:$D463,$D463)=6,D463&amp;"6",IF(COUNTIF($D$3:$D463,$D463)=7,D463&amp;"7",IF(COUNTIF($D$3:$D463,$D463)=8,D463&amp;"8",D463)))))))))</f>
        <v/>
      </c>
    </row>
    <row r="464" spans="4:5" x14ac:dyDescent="0.3">
      <c r="D464" s="3" t="str">
        <f t="shared" si="7"/>
        <v/>
      </c>
      <c r="E464" s="3" t="str">
        <f>IF(D464="","",IF(COUNTIF($D$3:$D464,$D464)=1,D464&amp;"1",IF(COUNTIF($D$3:$D464,$D464)=2,D464&amp;"2",IF(COUNTIF($D$3:$D464,$D464)=3,D464&amp;"3",IF(COUNTIF($D$3:$D464,$D464)=4,D464&amp;"4",IF(COUNTIF($D$3:$D464,$D464)=5,D464&amp;"5",IF(COUNTIF($D$3:$D464,$D464)=6,D464&amp;"6",IF(COUNTIF($D$3:$D464,$D464)=7,D464&amp;"7",IF(COUNTIF($D$3:$D464,$D464)=8,D464&amp;"8",D464)))))))))</f>
        <v/>
      </c>
    </row>
    <row r="465" spans="4:5" x14ac:dyDescent="0.3">
      <c r="D465" s="3" t="str">
        <f t="shared" si="7"/>
        <v/>
      </c>
      <c r="E465" s="3" t="str">
        <f>IF(D465="","",IF(COUNTIF($D$3:$D465,$D465)=1,D465&amp;"1",IF(COUNTIF($D$3:$D465,$D465)=2,D465&amp;"2",IF(COUNTIF($D$3:$D465,$D465)=3,D465&amp;"3",IF(COUNTIF($D$3:$D465,$D465)=4,D465&amp;"4",IF(COUNTIF($D$3:$D465,$D465)=5,D465&amp;"5",IF(COUNTIF($D$3:$D465,$D465)=6,D465&amp;"6",IF(COUNTIF($D$3:$D465,$D465)=7,D465&amp;"7",IF(COUNTIF($D$3:$D465,$D465)=8,D465&amp;"8",D465)))))))))</f>
        <v/>
      </c>
    </row>
    <row r="466" spans="4:5" x14ac:dyDescent="0.3">
      <c r="D466" s="3" t="str">
        <f t="shared" si="7"/>
        <v/>
      </c>
      <c r="E466" s="3" t="str">
        <f>IF(D466="","",IF(COUNTIF($D$3:$D466,$D466)=1,D466&amp;"1",IF(COUNTIF($D$3:$D466,$D466)=2,D466&amp;"2",IF(COUNTIF($D$3:$D466,$D466)=3,D466&amp;"3",IF(COUNTIF($D$3:$D466,$D466)=4,D466&amp;"4",IF(COUNTIF($D$3:$D466,$D466)=5,D466&amp;"5",IF(COUNTIF($D$3:$D466,$D466)=6,D466&amp;"6",IF(COUNTIF($D$3:$D466,$D466)=7,D466&amp;"7",IF(COUNTIF($D$3:$D466,$D466)=8,D466&amp;"8",D466)))))))))</f>
        <v/>
      </c>
    </row>
    <row r="467" spans="4:5" x14ac:dyDescent="0.3">
      <c r="D467" s="3" t="str">
        <f t="shared" si="7"/>
        <v/>
      </c>
      <c r="E467" s="3" t="str">
        <f>IF(D467="","",IF(COUNTIF($D$3:$D467,$D467)=1,D467&amp;"1",IF(COUNTIF($D$3:$D467,$D467)=2,D467&amp;"2",IF(COUNTIF($D$3:$D467,$D467)=3,D467&amp;"3",IF(COUNTIF($D$3:$D467,$D467)=4,D467&amp;"4",IF(COUNTIF($D$3:$D467,$D467)=5,D467&amp;"5",IF(COUNTIF($D$3:$D467,$D467)=6,D467&amp;"6",IF(COUNTIF($D$3:$D467,$D467)=7,D467&amp;"7",IF(COUNTIF($D$3:$D467,$D467)=8,D467&amp;"8",D467)))))))))</f>
        <v/>
      </c>
    </row>
    <row r="468" spans="4:5" x14ac:dyDescent="0.3">
      <c r="D468" s="3" t="str">
        <f t="shared" si="7"/>
        <v/>
      </c>
      <c r="E468" s="3" t="str">
        <f>IF(D468="","",IF(COUNTIF($D$3:$D468,$D468)=1,D468&amp;"1",IF(COUNTIF($D$3:$D468,$D468)=2,D468&amp;"2",IF(COUNTIF($D$3:$D468,$D468)=3,D468&amp;"3",IF(COUNTIF($D$3:$D468,$D468)=4,D468&amp;"4",IF(COUNTIF($D$3:$D468,$D468)=5,D468&amp;"5",IF(COUNTIF($D$3:$D468,$D468)=6,D468&amp;"6",IF(COUNTIF($D$3:$D468,$D468)=7,D468&amp;"7",IF(COUNTIF($D$3:$D468,$D468)=8,D468&amp;"8",D468)))))))))</f>
        <v/>
      </c>
    </row>
    <row r="469" spans="4:5" x14ac:dyDescent="0.3">
      <c r="D469" s="3" t="str">
        <f t="shared" si="7"/>
        <v/>
      </c>
      <c r="E469" s="3" t="str">
        <f>IF(D469="","",IF(COUNTIF($D$3:$D469,$D469)=1,D469&amp;"1",IF(COUNTIF($D$3:$D469,$D469)=2,D469&amp;"2",IF(COUNTIF($D$3:$D469,$D469)=3,D469&amp;"3",IF(COUNTIF($D$3:$D469,$D469)=4,D469&amp;"4",IF(COUNTIF($D$3:$D469,$D469)=5,D469&amp;"5",IF(COUNTIF($D$3:$D469,$D469)=6,D469&amp;"6",IF(COUNTIF($D$3:$D469,$D469)=7,D469&amp;"7",IF(COUNTIF($D$3:$D469,$D469)=8,D469&amp;"8",D469)))))))))</f>
        <v/>
      </c>
    </row>
    <row r="470" spans="4:5" x14ac:dyDescent="0.3">
      <c r="D470" s="3" t="str">
        <f t="shared" si="7"/>
        <v/>
      </c>
      <c r="E470" s="3" t="str">
        <f>IF(D470="","",IF(COUNTIF($D$3:$D470,$D470)=1,D470&amp;"1",IF(COUNTIF($D$3:$D470,$D470)=2,D470&amp;"2",IF(COUNTIF($D$3:$D470,$D470)=3,D470&amp;"3",IF(COUNTIF($D$3:$D470,$D470)=4,D470&amp;"4",IF(COUNTIF($D$3:$D470,$D470)=5,D470&amp;"5",IF(COUNTIF($D$3:$D470,$D470)=6,D470&amp;"6",IF(COUNTIF($D$3:$D470,$D470)=7,D470&amp;"7",IF(COUNTIF($D$3:$D470,$D470)=8,D470&amp;"8",D470)))))))))</f>
        <v/>
      </c>
    </row>
    <row r="471" spans="4:5" x14ac:dyDescent="0.3">
      <c r="D471" s="3" t="str">
        <f t="shared" si="7"/>
        <v/>
      </c>
      <c r="E471" s="3" t="str">
        <f>IF(D471="","",IF(COUNTIF($D$3:$D471,$D471)=1,D471&amp;"1",IF(COUNTIF($D$3:$D471,$D471)=2,D471&amp;"2",IF(COUNTIF($D$3:$D471,$D471)=3,D471&amp;"3",IF(COUNTIF($D$3:$D471,$D471)=4,D471&amp;"4",IF(COUNTIF($D$3:$D471,$D471)=5,D471&amp;"5",IF(COUNTIF($D$3:$D471,$D471)=6,D471&amp;"6",IF(COUNTIF($D$3:$D471,$D471)=7,D471&amp;"7",IF(COUNTIF($D$3:$D471,$D471)=8,D471&amp;"8",D471)))))))))</f>
        <v/>
      </c>
    </row>
    <row r="472" spans="4:5" x14ac:dyDescent="0.3">
      <c r="D472" s="3" t="str">
        <f t="shared" si="7"/>
        <v/>
      </c>
      <c r="E472" s="3" t="str">
        <f>IF(D472="","",IF(COUNTIF($D$3:$D472,$D472)=1,D472&amp;"1",IF(COUNTIF($D$3:$D472,$D472)=2,D472&amp;"2",IF(COUNTIF($D$3:$D472,$D472)=3,D472&amp;"3",IF(COUNTIF($D$3:$D472,$D472)=4,D472&amp;"4",IF(COUNTIF($D$3:$D472,$D472)=5,D472&amp;"5",IF(COUNTIF($D$3:$D472,$D472)=6,D472&amp;"6",IF(COUNTIF($D$3:$D472,$D472)=7,D472&amp;"7",IF(COUNTIF($D$3:$D472,$D472)=8,D472&amp;"8",D472)))))))))</f>
        <v/>
      </c>
    </row>
    <row r="473" spans="4:5" x14ac:dyDescent="0.3">
      <c r="D473" s="3" t="str">
        <f t="shared" si="7"/>
        <v/>
      </c>
      <c r="E473" s="3" t="str">
        <f>IF(D473="","",IF(COUNTIF($D$3:$D473,$D473)=1,D473&amp;"1",IF(COUNTIF($D$3:$D473,$D473)=2,D473&amp;"2",IF(COUNTIF($D$3:$D473,$D473)=3,D473&amp;"3",IF(COUNTIF($D$3:$D473,$D473)=4,D473&amp;"4",IF(COUNTIF($D$3:$D473,$D473)=5,D473&amp;"5",IF(COUNTIF($D$3:$D473,$D473)=6,D473&amp;"6",IF(COUNTIF($D$3:$D473,$D473)=7,D473&amp;"7",IF(COUNTIF($D$3:$D473,$D473)=8,D473&amp;"8",D473)))))))))</f>
        <v/>
      </c>
    </row>
    <row r="474" spans="4:5" x14ac:dyDescent="0.3">
      <c r="D474" s="3" t="str">
        <f t="shared" si="7"/>
        <v/>
      </c>
      <c r="E474" s="3" t="str">
        <f>IF(D474="","",IF(COUNTIF($D$3:$D474,$D474)=1,D474&amp;"1",IF(COUNTIF($D$3:$D474,$D474)=2,D474&amp;"2",IF(COUNTIF($D$3:$D474,$D474)=3,D474&amp;"3",IF(COUNTIF($D$3:$D474,$D474)=4,D474&amp;"4",IF(COUNTIF($D$3:$D474,$D474)=5,D474&amp;"5",IF(COUNTIF($D$3:$D474,$D474)=6,D474&amp;"6",IF(COUNTIF($D$3:$D474,$D474)=7,D474&amp;"7",IF(COUNTIF($D$3:$D474,$D474)=8,D474&amp;"8",D474)))))))))</f>
        <v/>
      </c>
    </row>
    <row r="475" spans="4:5" x14ac:dyDescent="0.3">
      <c r="D475" s="3" t="str">
        <f t="shared" si="7"/>
        <v/>
      </c>
      <c r="E475" s="3" t="str">
        <f>IF(D475="","",IF(COUNTIF($D$3:$D475,$D475)=1,D475&amp;"1",IF(COUNTIF($D$3:$D475,$D475)=2,D475&amp;"2",IF(COUNTIF($D$3:$D475,$D475)=3,D475&amp;"3",IF(COUNTIF($D$3:$D475,$D475)=4,D475&amp;"4",IF(COUNTIF($D$3:$D475,$D475)=5,D475&amp;"5",IF(COUNTIF($D$3:$D475,$D475)=6,D475&amp;"6",IF(COUNTIF($D$3:$D475,$D475)=7,D475&amp;"7",IF(COUNTIF($D$3:$D475,$D475)=8,D475&amp;"8",D475)))))))))</f>
        <v/>
      </c>
    </row>
    <row r="476" spans="4:5" x14ac:dyDescent="0.3">
      <c r="D476" s="3" t="str">
        <f t="shared" si="7"/>
        <v/>
      </c>
      <c r="E476" s="3" t="str">
        <f>IF(D476="","",IF(COUNTIF($D$3:$D476,$D476)=1,D476&amp;"1",IF(COUNTIF($D$3:$D476,$D476)=2,D476&amp;"2",IF(COUNTIF($D$3:$D476,$D476)=3,D476&amp;"3",IF(COUNTIF($D$3:$D476,$D476)=4,D476&amp;"4",IF(COUNTIF($D$3:$D476,$D476)=5,D476&amp;"5",IF(COUNTIF($D$3:$D476,$D476)=6,D476&amp;"6",IF(COUNTIF($D$3:$D476,$D476)=7,D476&amp;"7",IF(COUNTIF($D$3:$D476,$D476)=8,D476&amp;"8",D476)))))))))</f>
        <v/>
      </c>
    </row>
    <row r="477" spans="4:5" x14ac:dyDescent="0.3">
      <c r="D477" s="3" t="str">
        <f t="shared" si="7"/>
        <v/>
      </c>
      <c r="E477" s="3" t="str">
        <f>IF(D477="","",IF(COUNTIF($D$3:$D477,$D477)=1,D477&amp;"1",IF(COUNTIF($D$3:$D477,$D477)=2,D477&amp;"2",IF(COUNTIF($D$3:$D477,$D477)=3,D477&amp;"3",IF(COUNTIF($D$3:$D477,$D477)=4,D477&amp;"4",IF(COUNTIF($D$3:$D477,$D477)=5,D477&amp;"5",IF(COUNTIF($D$3:$D477,$D477)=6,D477&amp;"6",IF(COUNTIF($D$3:$D477,$D477)=7,D477&amp;"7",IF(COUNTIF($D$3:$D477,$D477)=8,D477&amp;"8",D477)))))))))</f>
        <v/>
      </c>
    </row>
    <row r="478" spans="4:5" x14ac:dyDescent="0.3">
      <c r="D478" s="3" t="str">
        <f t="shared" si="7"/>
        <v/>
      </c>
      <c r="E478" s="3" t="str">
        <f>IF(D478="","",IF(COUNTIF($D$3:$D478,$D478)=1,D478&amp;"1",IF(COUNTIF($D$3:$D478,$D478)=2,D478&amp;"2",IF(COUNTIF($D$3:$D478,$D478)=3,D478&amp;"3",IF(COUNTIF($D$3:$D478,$D478)=4,D478&amp;"4",IF(COUNTIF($D$3:$D478,$D478)=5,D478&amp;"5",IF(COUNTIF($D$3:$D478,$D478)=6,D478&amp;"6",IF(COUNTIF($D$3:$D478,$D478)=7,D478&amp;"7",IF(COUNTIF($D$3:$D478,$D478)=8,D478&amp;"8",D478)))))))))</f>
        <v/>
      </c>
    </row>
    <row r="479" spans="4:5" x14ac:dyDescent="0.3">
      <c r="D479" s="3" t="str">
        <f t="shared" si="7"/>
        <v/>
      </c>
      <c r="E479" s="3" t="str">
        <f>IF(D479="","",IF(COUNTIF($D$3:$D479,$D479)=1,D479&amp;"1",IF(COUNTIF($D$3:$D479,$D479)=2,D479&amp;"2",IF(COUNTIF($D$3:$D479,$D479)=3,D479&amp;"3",IF(COUNTIF($D$3:$D479,$D479)=4,D479&amp;"4",IF(COUNTIF($D$3:$D479,$D479)=5,D479&amp;"5",IF(COUNTIF($D$3:$D479,$D479)=6,D479&amp;"6",IF(COUNTIF($D$3:$D479,$D479)=7,D479&amp;"7",IF(COUNTIF($D$3:$D479,$D479)=8,D479&amp;"8",D479)))))))))</f>
        <v/>
      </c>
    </row>
    <row r="480" spans="4:5" x14ac:dyDescent="0.3">
      <c r="D480" s="3" t="str">
        <f t="shared" si="7"/>
        <v/>
      </c>
      <c r="E480" s="3" t="str">
        <f>IF(D480="","",IF(COUNTIF($D$3:$D480,$D480)=1,D480&amp;"1",IF(COUNTIF($D$3:$D480,$D480)=2,D480&amp;"2",IF(COUNTIF($D$3:$D480,$D480)=3,D480&amp;"3",IF(COUNTIF($D$3:$D480,$D480)=4,D480&amp;"4",IF(COUNTIF($D$3:$D480,$D480)=5,D480&amp;"5",IF(COUNTIF($D$3:$D480,$D480)=6,D480&amp;"6",IF(COUNTIF($D$3:$D480,$D480)=7,D480&amp;"7",IF(COUNTIF($D$3:$D480,$D480)=8,D480&amp;"8",D480)))))))))</f>
        <v/>
      </c>
    </row>
    <row r="481" spans="4:5" x14ac:dyDescent="0.3">
      <c r="D481" s="3" t="str">
        <f t="shared" si="7"/>
        <v/>
      </c>
      <c r="E481" s="3" t="str">
        <f>IF(D481="","",IF(COUNTIF($D$3:$D481,$D481)=1,D481&amp;"1",IF(COUNTIF($D$3:$D481,$D481)=2,D481&amp;"2",IF(COUNTIF($D$3:$D481,$D481)=3,D481&amp;"3",IF(COUNTIF($D$3:$D481,$D481)=4,D481&amp;"4",IF(COUNTIF($D$3:$D481,$D481)=5,D481&amp;"5",IF(COUNTIF($D$3:$D481,$D481)=6,D481&amp;"6",IF(COUNTIF($D$3:$D481,$D481)=7,D481&amp;"7",IF(COUNTIF($D$3:$D481,$D481)=8,D481&amp;"8",D481)))))))))</f>
        <v/>
      </c>
    </row>
    <row r="482" spans="4:5" x14ac:dyDescent="0.3">
      <c r="D482" s="3" t="str">
        <f t="shared" si="7"/>
        <v/>
      </c>
      <c r="E482" s="3" t="str">
        <f>IF(D482="","",IF(COUNTIF($D$3:$D482,$D482)=1,D482&amp;"1",IF(COUNTIF($D$3:$D482,$D482)=2,D482&amp;"2",IF(COUNTIF($D$3:$D482,$D482)=3,D482&amp;"3",IF(COUNTIF($D$3:$D482,$D482)=4,D482&amp;"4",IF(COUNTIF($D$3:$D482,$D482)=5,D482&amp;"5",IF(COUNTIF($D$3:$D482,$D482)=6,D482&amp;"6",IF(COUNTIF($D$3:$D482,$D482)=7,D482&amp;"7",IF(COUNTIF($D$3:$D482,$D482)=8,D482&amp;"8",D482)))))))))</f>
        <v/>
      </c>
    </row>
    <row r="483" spans="4:5" x14ac:dyDescent="0.3">
      <c r="D483" s="3" t="str">
        <f t="shared" si="7"/>
        <v/>
      </c>
      <c r="E483" s="3" t="str">
        <f>IF(D483="","",IF(COUNTIF($D$3:$D483,$D483)=1,D483&amp;"1",IF(COUNTIF($D$3:$D483,$D483)=2,D483&amp;"2",IF(COUNTIF($D$3:$D483,$D483)=3,D483&amp;"3",IF(COUNTIF($D$3:$D483,$D483)=4,D483&amp;"4",IF(COUNTIF($D$3:$D483,$D483)=5,D483&amp;"5",IF(COUNTIF($D$3:$D483,$D483)=6,D483&amp;"6",IF(COUNTIF($D$3:$D483,$D483)=7,D483&amp;"7",IF(COUNTIF($D$3:$D483,$D483)=8,D483&amp;"8",D483)))))))))</f>
        <v/>
      </c>
    </row>
    <row r="484" spans="4:5" x14ac:dyDescent="0.3">
      <c r="D484" s="3" t="str">
        <f t="shared" si="7"/>
        <v/>
      </c>
      <c r="E484" s="3" t="str">
        <f>IF(D484="","",IF(COUNTIF($D$3:$D484,$D484)=1,D484&amp;"1",IF(COUNTIF($D$3:$D484,$D484)=2,D484&amp;"2",IF(COUNTIF($D$3:$D484,$D484)=3,D484&amp;"3",IF(COUNTIF($D$3:$D484,$D484)=4,D484&amp;"4",IF(COUNTIF($D$3:$D484,$D484)=5,D484&amp;"5",IF(COUNTIF($D$3:$D484,$D484)=6,D484&amp;"6",IF(COUNTIF($D$3:$D484,$D484)=7,D484&amp;"7",IF(COUNTIF($D$3:$D484,$D484)=8,D484&amp;"8",D484)))))))))</f>
        <v/>
      </c>
    </row>
    <row r="485" spans="4:5" x14ac:dyDescent="0.3">
      <c r="D485" s="3" t="str">
        <f t="shared" si="7"/>
        <v/>
      </c>
      <c r="E485" s="3" t="str">
        <f>IF(D485="","",IF(COUNTIF($D$3:$D485,$D485)=1,D485&amp;"1",IF(COUNTIF($D$3:$D485,$D485)=2,D485&amp;"2",IF(COUNTIF($D$3:$D485,$D485)=3,D485&amp;"3",IF(COUNTIF($D$3:$D485,$D485)=4,D485&amp;"4",IF(COUNTIF($D$3:$D485,$D485)=5,D485&amp;"5",IF(COUNTIF($D$3:$D485,$D485)=6,D485&amp;"6",IF(COUNTIF($D$3:$D485,$D485)=7,D485&amp;"7",IF(COUNTIF($D$3:$D485,$D485)=8,D485&amp;"8",D485)))))))))</f>
        <v/>
      </c>
    </row>
    <row r="486" spans="4:5" x14ac:dyDescent="0.3">
      <c r="D486" s="3" t="str">
        <f t="shared" si="7"/>
        <v/>
      </c>
      <c r="E486" s="3" t="str">
        <f>IF(D486="","",IF(COUNTIF($D$3:$D486,$D486)=1,D486&amp;"1",IF(COUNTIF($D$3:$D486,$D486)=2,D486&amp;"2",IF(COUNTIF($D$3:$D486,$D486)=3,D486&amp;"3",IF(COUNTIF($D$3:$D486,$D486)=4,D486&amp;"4",IF(COUNTIF($D$3:$D486,$D486)=5,D486&amp;"5",IF(COUNTIF($D$3:$D486,$D486)=6,D486&amp;"6",IF(COUNTIF($D$3:$D486,$D486)=7,D486&amp;"7",IF(COUNTIF($D$3:$D486,$D486)=8,D486&amp;"8",D486)))))))))</f>
        <v/>
      </c>
    </row>
    <row r="487" spans="4:5" x14ac:dyDescent="0.3">
      <c r="D487" s="3" t="str">
        <f t="shared" si="7"/>
        <v/>
      </c>
      <c r="E487" s="3" t="str">
        <f>IF(D487="","",IF(COUNTIF($D$3:$D487,$D487)=1,D487&amp;"1",IF(COUNTIF($D$3:$D487,$D487)=2,D487&amp;"2",IF(COUNTIF($D$3:$D487,$D487)=3,D487&amp;"3",IF(COUNTIF($D$3:$D487,$D487)=4,D487&amp;"4",IF(COUNTIF($D$3:$D487,$D487)=5,D487&amp;"5",IF(COUNTIF($D$3:$D487,$D487)=6,D487&amp;"6",IF(COUNTIF($D$3:$D487,$D487)=7,D487&amp;"7",IF(COUNTIF($D$3:$D487,$D487)=8,D487&amp;"8",D487)))))))))</f>
        <v/>
      </c>
    </row>
    <row r="488" spans="4:5" x14ac:dyDescent="0.3">
      <c r="D488" s="3" t="str">
        <f t="shared" si="7"/>
        <v/>
      </c>
      <c r="E488" s="3" t="str">
        <f>IF(D488="","",IF(COUNTIF($D$3:$D488,$D488)=1,D488&amp;"1",IF(COUNTIF($D$3:$D488,$D488)=2,D488&amp;"2",IF(COUNTIF($D$3:$D488,$D488)=3,D488&amp;"3",IF(COUNTIF($D$3:$D488,$D488)=4,D488&amp;"4",IF(COUNTIF($D$3:$D488,$D488)=5,D488&amp;"5",IF(COUNTIF($D$3:$D488,$D488)=6,D488&amp;"6",IF(COUNTIF($D$3:$D488,$D488)=7,D488&amp;"7",IF(COUNTIF($D$3:$D488,$D488)=8,D488&amp;"8",D488)))))))))</f>
        <v/>
      </c>
    </row>
    <row r="489" spans="4:5" x14ac:dyDescent="0.3">
      <c r="D489" s="3" t="str">
        <f t="shared" si="7"/>
        <v/>
      </c>
      <c r="E489" s="3" t="str">
        <f>IF(D489="","",IF(COUNTIF($D$3:$D489,$D489)=1,D489&amp;"1",IF(COUNTIF($D$3:$D489,$D489)=2,D489&amp;"2",IF(COUNTIF($D$3:$D489,$D489)=3,D489&amp;"3",IF(COUNTIF($D$3:$D489,$D489)=4,D489&amp;"4",IF(COUNTIF($D$3:$D489,$D489)=5,D489&amp;"5",IF(COUNTIF($D$3:$D489,$D489)=6,D489&amp;"6",IF(COUNTIF($D$3:$D489,$D489)=7,D489&amp;"7",IF(COUNTIF($D$3:$D489,$D489)=8,D489&amp;"8",D489)))))))))</f>
        <v/>
      </c>
    </row>
    <row r="490" spans="4:5" x14ac:dyDescent="0.3">
      <c r="D490" s="3" t="str">
        <f t="shared" si="7"/>
        <v/>
      </c>
      <c r="E490" s="3" t="str">
        <f>IF(D490="","",IF(COUNTIF($D$3:$D490,$D490)=1,D490&amp;"1",IF(COUNTIF($D$3:$D490,$D490)=2,D490&amp;"2",IF(COUNTIF($D$3:$D490,$D490)=3,D490&amp;"3",IF(COUNTIF($D$3:$D490,$D490)=4,D490&amp;"4",IF(COUNTIF($D$3:$D490,$D490)=5,D490&amp;"5",IF(COUNTIF($D$3:$D490,$D490)=6,D490&amp;"6",IF(COUNTIF($D$3:$D490,$D490)=7,D490&amp;"7",IF(COUNTIF($D$3:$D490,$D490)=8,D490&amp;"8",D490)))))))))</f>
        <v/>
      </c>
    </row>
  </sheetData>
  <autoFilter ref="A2:J104" xr:uid="{A95BED2A-1A0D-477C-9635-28154163C1C3}"/>
  <phoneticPr fontId="3" type="noConversion"/>
  <conditionalFormatting sqref="F8:J93">
    <cfRule type="cellIs" dxfId="1" priority="2" operator="greaterThan">
      <formula>8</formula>
    </cfRule>
  </conditionalFormatting>
  <conditionalFormatting sqref="F8:J103">
    <cfRule type="cellIs" dxfId="0" priority="1" operator="greaterThan">
      <formula>8</formula>
    </cfRule>
  </conditionalFormatting>
  <hyperlinks>
    <hyperlink ref="A1" location="'0-使用说明'!D1" display="'0-使用说明'!D1" xr:uid="{E0ECDBFD-E4B8-4C64-B647-4579B83FA40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5DADB-6CF4-4E38-87A7-A2F99C437EFE}">
  <sheetPr codeName="Sheet12"/>
  <dimension ref="A1:F34"/>
  <sheetViews>
    <sheetView zoomScale="86" zoomScaleNormal="86" workbookViewId="0">
      <selection activeCell="B2" sqref="B2"/>
    </sheetView>
  </sheetViews>
  <sheetFormatPr defaultRowHeight="14.25" x14ac:dyDescent="0.2"/>
  <cols>
    <col min="1" max="1" width="21.25" customWidth="1"/>
    <col min="2" max="2" width="29.5" customWidth="1"/>
    <col min="3" max="3" width="34.625" customWidth="1"/>
    <col min="4" max="4" width="35.5" customWidth="1"/>
    <col min="5" max="5" width="26.125" customWidth="1"/>
  </cols>
  <sheetData>
    <row r="1" spans="1:6" ht="15" customHeight="1" x14ac:dyDescent="0.2">
      <c r="A1" s="137" t="s">
        <v>351</v>
      </c>
      <c r="B1" s="138"/>
      <c r="C1" s="138"/>
      <c r="D1" s="138"/>
      <c r="E1" s="139"/>
    </row>
    <row r="2" spans="1:6" ht="36.75" customHeight="1" x14ac:dyDescent="0.2">
      <c r="A2" s="19" t="s">
        <v>0</v>
      </c>
      <c r="B2" s="19" t="s">
        <v>674</v>
      </c>
      <c r="C2" s="19" t="s">
        <v>352</v>
      </c>
      <c r="D2" s="131" t="str">
        <f>IFERROR(VLOOKUP($B$2,'1-1 基本信息'!$A:$K,10,0),"")</f>
        <v>管理机关</v>
      </c>
      <c r="E2" s="133"/>
      <c r="F2" s="116" t="s">
        <v>897</v>
      </c>
    </row>
    <row r="3" spans="1:6" ht="39" customHeight="1" x14ac:dyDescent="0.2">
      <c r="A3" s="19" t="s">
        <v>353</v>
      </c>
      <c r="B3" s="101" t="str">
        <f>IFERROR(VLOOKUP($B$2,'1-1 基本信息'!$A:$K,7,0),"")</f>
        <v>公司首席专家，油气开发管理部经理、党支部书记</v>
      </c>
      <c r="C3" s="19" t="s">
        <v>354</v>
      </c>
      <c r="D3" s="131" t="str">
        <f>VLOOKUP(B2,'1-1 基本信息'!$A:$I,8,0)</f>
        <v>中层正职</v>
      </c>
      <c r="E3" s="133"/>
    </row>
    <row r="4" spans="1:6" ht="34.5" customHeight="1" x14ac:dyDescent="0.2">
      <c r="A4" s="19" t="s">
        <v>468</v>
      </c>
      <c r="B4" s="27">
        <f ca="1">IFERROR((TODAY()-VLOOKUP($B$2,'1-1 基本信息'!$A:$E,5,0))/365,"")</f>
        <v>3.0356164383561643</v>
      </c>
      <c r="C4" s="19" t="s">
        <v>356</v>
      </c>
      <c r="D4" s="131" t="str">
        <f>IFERROR(VLOOKUP($B$2,'1-1 基本信息'!$A:$F,6,0),"")</f>
        <v>本科</v>
      </c>
      <c r="E4" s="133"/>
    </row>
    <row r="5" spans="1:6" ht="15" customHeight="1" x14ac:dyDescent="0.2">
      <c r="A5" s="137" t="s">
        <v>357</v>
      </c>
      <c r="B5" s="138"/>
      <c r="C5" s="138"/>
      <c r="D5" s="138"/>
      <c r="E5" s="139"/>
    </row>
    <row r="6" spans="1:6" ht="15" customHeight="1" x14ac:dyDescent="0.2">
      <c r="A6" s="150" t="s">
        <v>358</v>
      </c>
      <c r="B6" s="151"/>
      <c r="C6" s="154" t="s">
        <v>359</v>
      </c>
      <c r="D6" s="156" t="s">
        <v>360</v>
      </c>
      <c r="E6" s="157"/>
    </row>
    <row r="7" spans="1:6" ht="21" x14ac:dyDescent="0.2">
      <c r="A7" s="152"/>
      <c r="B7" s="153"/>
      <c r="C7" s="155"/>
      <c r="D7" s="20" t="s">
        <v>361</v>
      </c>
      <c r="E7" s="20" t="s">
        <v>433</v>
      </c>
    </row>
    <row r="8" spans="1:6" ht="20.25" x14ac:dyDescent="0.2">
      <c r="A8" s="19" t="str">
        <f ca="1">(YEAR(TODAY())-3)&amp;"年"</f>
        <v>2018年</v>
      </c>
      <c r="B8" s="19">
        <f>IFERROR(VLOOKUP($B$2,'1-2-2 关键绩效'!$A:$K,11,0),"")</f>
        <v>100</v>
      </c>
      <c r="C8" s="160">
        <f>AVERAGE(B8:B10)</f>
        <v>93.333333333333329</v>
      </c>
      <c r="D8" s="147" t="str">
        <f>RANK($C$8,'1-2-2 关键绩效'!$Z:$Z,0)&amp;"/"&amp;COUNT('1-2-2 关键绩效'!Z:Z)</f>
        <v>11/83</v>
      </c>
      <c r="E8" s="147" t="str">
        <f>(COUNTIFS('1-2-2 关键绩效'!$D:$D,D3,'1-2-2 关键绩效'!$Z:$Z,"&gt;"&amp;'2-个人报告'!C8:C10)+1)&amp;"/"&amp;COUNTIFS('1-2-2 关键绩效'!$D:$D,D3)</f>
        <v>4/32</v>
      </c>
    </row>
    <row r="9" spans="1:6" ht="20.25" x14ac:dyDescent="0.2">
      <c r="A9" s="19" t="str">
        <f ca="1">(YEAR(TODAY())-2)&amp;"年"</f>
        <v>2019年</v>
      </c>
      <c r="B9" s="19">
        <f>IFERROR(VLOOKUP($B$2,'1-2-2 关键绩效'!$A:$R,18,0),"")</f>
        <v>90</v>
      </c>
      <c r="C9" s="161"/>
      <c r="D9" s="148"/>
      <c r="E9" s="148"/>
    </row>
    <row r="10" spans="1:6" ht="20.25" x14ac:dyDescent="0.2">
      <c r="A10" s="19" t="str">
        <f ca="1">(YEAR(TODAY())-1)&amp;"年"</f>
        <v>2020年</v>
      </c>
      <c r="B10" s="19">
        <f>IFERROR(VLOOKUP($B$2,'1-2-2 关键绩效'!$A:$Y,25,0),"")</f>
        <v>90</v>
      </c>
      <c r="C10" s="162"/>
      <c r="D10" s="149"/>
      <c r="E10" s="149"/>
    </row>
    <row r="11" spans="1:6" ht="15" customHeight="1" x14ac:dyDescent="0.2">
      <c r="A11" s="137" t="s">
        <v>362</v>
      </c>
      <c r="B11" s="138"/>
      <c r="C11" s="138"/>
      <c r="D11" s="138"/>
      <c r="E11" s="139"/>
    </row>
    <row r="12" spans="1:6" ht="16.5" customHeight="1" x14ac:dyDescent="0.2">
      <c r="A12" s="28" t="s">
        <v>363</v>
      </c>
      <c r="B12" s="156" t="s">
        <v>12</v>
      </c>
      <c r="C12" s="157"/>
      <c r="D12" s="20" t="s">
        <v>446</v>
      </c>
      <c r="E12" s="20" t="s">
        <v>364</v>
      </c>
    </row>
    <row r="13" spans="1:6" ht="16.5" customHeight="1" x14ac:dyDescent="0.2">
      <c r="A13" s="143" t="s">
        <v>13</v>
      </c>
      <c r="B13" s="132" t="s">
        <v>14</v>
      </c>
      <c r="C13" s="133"/>
      <c r="D13" s="34" t="str">
        <f>IFERROR(AVERAGEIFS('1-3 关键能力得分'!D:D,'1-3 关键能力得分'!$C:$C,'2-个人报告'!$D$3:$E$3),"")</f>
        <v/>
      </c>
      <c r="E13" s="19" t="str">
        <f>IFERROR(IF(VLOOKUP($B$2,'1-3 关键能力得分'!$A:$R,4,0)=0,"",VLOOKUP($B$2,'1-3 关键能力得分'!$A:$R,4,0)),"")</f>
        <v/>
      </c>
    </row>
    <row r="14" spans="1:6" ht="16.5" customHeight="1" x14ac:dyDescent="0.2">
      <c r="A14" s="143"/>
      <c r="B14" s="132" t="s">
        <v>15</v>
      </c>
      <c r="C14" s="133"/>
      <c r="D14" s="34">
        <f>IFERROR(AVERAGEIFS('1-3 关键能力得分'!E:E,'1-3 关键能力得分'!$C:$C,'2-个人报告'!$D$3:$E$3),"")</f>
        <v>7.6428571428571432</v>
      </c>
      <c r="E14" s="19">
        <f>IFERROR(IF(VLOOKUP($B$2,'1-3 关键能力得分'!$A:$R,5,0)=0,"",VLOOKUP($B$2,'1-3 关键能力得分'!$A:$R,5,0)),"")</f>
        <v>10</v>
      </c>
    </row>
    <row r="15" spans="1:6" ht="16.5" customHeight="1" x14ac:dyDescent="0.2">
      <c r="A15" s="143"/>
      <c r="B15" s="132" t="s">
        <v>434</v>
      </c>
      <c r="C15" s="133"/>
      <c r="D15" s="34">
        <f>IFERROR(AVERAGEIFS('1-3 关键能力得分'!F:F,'1-3 关键能力得分'!$C:$C,'2-个人报告'!$D$3:$E$3),"")</f>
        <v>7.4285714285714288</v>
      </c>
      <c r="E15" s="19">
        <f>IFERROR(IF(VLOOKUP($B$2,'1-3 关键能力得分'!$A:$R,6,0)=0,"",VLOOKUP($B$2,'1-3 关键能力得分'!$A:$R,6,0)),"")</f>
        <v>9</v>
      </c>
    </row>
    <row r="16" spans="1:6" ht="20.25" customHeight="1" x14ac:dyDescent="0.2">
      <c r="A16" s="143"/>
      <c r="B16" s="132" t="s">
        <v>435</v>
      </c>
      <c r="C16" s="133"/>
      <c r="D16" s="34">
        <f>IFERROR(AVERAGEIFS('1-3 关键能力得分'!G:G,'1-3 关键能力得分'!$C:$C,'2-个人报告'!$D$3:$E$3),"")</f>
        <v>7.9285714285714288</v>
      </c>
      <c r="E16" s="19">
        <f>IFERROR(IF(VLOOKUP($B$2,'1-3 关键能力得分'!$A:$R,7,0)=0,"",VLOOKUP($B$2,'1-3 关键能力得分'!$A:$R,7,0)),"")</f>
        <v>8</v>
      </c>
    </row>
    <row r="17" spans="1:5" ht="20.25" customHeight="1" x14ac:dyDescent="0.2">
      <c r="A17" s="144" t="s">
        <v>436</v>
      </c>
      <c r="B17" s="132" t="s">
        <v>17</v>
      </c>
      <c r="C17" s="133"/>
      <c r="D17" s="34" t="str">
        <f>IFERROR(AVERAGEIFS('1-3 关键能力得分'!H:H,'1-3 关键能力得分'!$C:$C,'2-个人报告'!$D$3:$E$3),"")</f>
        <v/>
      </c>
      <c r="E17" s="19" t="str">
        <f>IFERROR(IF(VLOOKUP($B$2,'1-3 关键能力得分'!$A:$R,8,0)=0,"",VLOOKUP($B$2,'1-3 关键能力得分'!$A:$R,8,0)),"")</f>
        <v/>
      </c>
    </row>
    <row r="18" spans="1:5" ht="20.25" customHeight="1" x14ac:dyDescent="0.2">
      <c r="A18" s="145"/>
      <c r="B18" s="132" t="s">
        <v>18</v>
      </c>
      <c r="C18" s="133"/>
      <c r="D18" s="34">
        <f>IFERROR(AVERAGEIFS('1-3 关键能力得分'!I:I,'1-3 关键能力得分'!$C:$C,'2-个人报告'!$D$3:$E$3),"")</f>
        <v>7.4285714285714288</v>
      </c>
      <c r="E18" s="19">
        <f>IFERROR(IF(VLOOKUP($B$2,'1-3 关键能力得分'!$A:$R,9,0)=0,"",VLOOKUP($B$2,'1-3 关键能力得分'!$A:$R,9,0)),"")</f>
        <v>7</v>
      </c>
    </row>
    <row r="19" spans="1:5" ht="20.25" customHeight="1" x14ac:dyDescent="0.2">
      <c r="A19" s="146"/>
      <c r="B19" s="132" t="s">
        <v>19</v>
      </c>
      <c r="C19" s="133"/>
      <c r="D19" s="34">
        <f>IFERROR(AVERAGEIFS('1-3 关键能力得分'!J:J,'1-3 关键能力得分'!$C:$C,'2-个人报告'!$D$3:$E$3),"")</f>
        <v>7.7857142857142856</v>
      </c>
      <c r="E19" s="19">
        <f>IFERROR(IF(VLOOKUP($B$2,'1-3 关键能力得分'!$A:$R,10,0)=0,"",VLOOKUP($B$2,'1-3 关键能力得分'!$A:$R,10,0)),"")</f>
        <v>9</v>
      </c>
    </row>
    <row r="20" spans="1:5" ht="20.25" customHeight="1" x14ac:dyDescent="0.2">
      <c r="A20" s="144" t="s">
        <v>437</v>
      </c>
      <c r="B20" s="132" t="s">
        <v>438</v>
      </c>
      <c r="C20" s="133"/>
      <c r="D20" s="34" t="str">
        <f>IFERROR(AVERAGEIFS('1-3 关键能力得分'!K:K,'1-3 关键能力得分'!$C:$C,'2-个人报告'!$D$3:$E$3),"")</f>
        <v/>
      </c>
      <c r="E20" s="19" t="str">
        <f>IFERROR(IF(VLOOKUP($B$2,'1-3 关键能力得分'!$A:$R,11,0)=0,"",VLOOKUP($B$2,'1-3 关键能力得分'!$A:$R,11,0)),"")</f>
        <v/>
      </c>
    </row>
    <row r="21" spans="1:5" ht="20.25" customHeight="1" x14ac:dyDescent="0.2">
      <c r="A21" s="146"/>
      <c r="B21" s="132" t="s">
        <v>439</v>
      </c>
      <c r="C21" s="133"/>
      <c r="D21" s="34" t="str">
        <f>IFERROR(AVERAGEIFS('1-3 关键能力得分'!L:L,'1-3 关键能力得分'!$C:$C,'2-个人报告'!$D$3:$E$3),"")</f>
        <v/>
      </c>
      <c r="E21" s="19" t="str">
        <f>IFERROR(IF(VLOOKUP($B$2,'1-3 关键能力得分'!$A:$R,12,0)=0,"",VLOOKUP($B$2,'1-3 关键能力得分'!$A:$R,12,0)),"")</f>
        <v/>
      </c>
    </row>
    <row r="22" spans="1:5" ht="20.25" customHeight="1" x14ac:dyDescent="0.2">
      <c r="A22" s="144" t="s">
        <v>451</v>
      </c>
      <c r="B22" s="132" t="s">
        <v>440</v>
      </c>
      <c r="C22" s="133"/>
      <c r="D22" s="34">
        <f>IFERROR(AVERAGEIFS('1-3 关键能力得分'!M:M,'1-3 关键能力得分'!$C:$C,'2-个人报告'!$D$3:$E$3),"")</f>
        <v>6.8</v>
      </c>
      <c r="E22" s="19" t="str">
        <f>IFERROR(IF(VLOOKUP($B$2,'1-3 关键能力得分'!$A:$R,13,0)=0,"",VLOOKUP($B$2,'1-3 关键能力得分'!$A:$R,13,0)),"")</f>
        <v/>
      </c>
    </row>
    <row r="23" spans="1:5" ht="20.25" customHeight="1" x14ac:dyDescent="0.2">
      <c r="A23" s="145"/>
      <c r="B23" s="132" t="s">
        <v>441</v>
      </c>
      <c r="C23" s="133"/>
      <c r="D23" s="34">
        <f>IFERROR(AVERAGEIFS('1-3 关键能力得分'!N:N,'1-3 关键能力得分'!$C:$C,'2-个人报告'!$D$3:$E$3),"")</f>
        <v>8</v>
      </c>
      <c r="E23" s="19" t="str">
        <f>IFERROR(IF(VLOOKUP($B$2,'1-3 关键能力得分'!$A:$R,14,0)=0,"",VLOOKUP($B$2,'1-3 关键能力得分'!$A:$R,14,0)),"")</f>
        <v/>
      </c>
    </row>
    <row r="24" spans="1:5" ht="20.25" customHeight="1" x14ac:dyDescent="0.2">
      <c r="A24" s="145"/>
      <c r="B24" s="132" t="s">
        <v>442</v>
      </c>
      <c r="C24" s="133"/>
      <c r="D24" s="34">
        <f>IFERROR(AVERAGEIFS('1-3 关键能力得分'!O:O,'1-3 关键能力得分'!$C:$C,'2-个人报告'!$D$3:$E$3),"")</f>
        <v>8.3333333333333339</v>
      </c>
      <c r="E24" s="19">
        <f>IFERROR(IF(VLOOKUP($B$2,'1-3 关键能力得分'!$A:$R,15,0)=0,"",VLOOKUP($B$2,'1-3 关键能力得分'!$A:$R,15,0)),"")</f>
        <v>8</v>
      </c>
    </row>
    <row r="25" spans="1:5" ht="20.25" customHeight="1" x14ac:dyDescent="0.2">
      <c r="A25" s="145"/>
      <c r="B25" s="132" t="s">
        <v>443</v>
      </c>
      <c r="C25" s="133"/>
      <c r="D25" s="34">
        <f>IFERROR(AVERAGEIFS('1-3 关键能力得分'!P:P,'1-3 关键能力得分'!$C:$C,'2-个人报告'!$D$3:$E$3),"")</f>
        <v>7.75</v>
      </c>
      <c r="E25" s="19" t="str">
        <f>IFERROR(IF(VLOOKUP($B$2,'1-3 关键能力得分'!$A:$R,16,0)=0,"",VLOOKUP($B$2,'1-3 关键能力得分'!$A:$R,16,0)),"")</f>
        <v/>
      </c>
    </row>
    <row r="26" spans="1:5" ht="20.25" customHeight="1" x14ac:dyDescent="0.2">
      <c r="A26" s="145"/>
      <c r="B26" s="132" t="s">
        <v>444</v>
      </c>
      <c r="C26" s="133"/>
      <c r="D26" s="34">
        <f>IFERROR(AVERAGEIFS('1-3 关键能力得分'!Q:Q,'1-3 关键能力得分'!$C:$C,'2-个人报告'!$D$3:$E$3),"")</f>
        <v>7.833333333333333</v>
      </c>
      <c r="E26" s="19" t="str">
        <f>IFERROR(IF(VLOOKUP($B$2,'1-3 关键能力得分'!$A:$R,17,0)=0,"",VLOOKUP($B$2,'1-3 关键能力得分'!$A:$R,17,0)),"")</f>
        <v/>
      </c>
    </row>
    <row r="27" spans="1:5" ht="20.25" customHeight="1" x14ac:dyDescent="0.2">
      <c r="A27" s="163"/>
      <c r="B27" s="132" t="s">
        <v>16</v>
      </c>
      <c r="C27" s="133"/>
      <c r="D27" s="34">
        <f>IFERROR(AVERAGEIFS('1-3 关键能力得分'!R:R,'1-3 关键能力得分'!$C:$C,'2-个人报告'!$D$3:$E$3),"")</f>
        <v>7.5555555555555554</v>
      </c>
      <c r="E27" s="19">
        <f>IFERROR(IF(VLOOKUP($B$2,'1-3 关键能力得分'!$A:$R,18,0)=0,"",VLOOKUP($B$2,'1-3 关键能力得分'!$A:$R,18,0)),"")</f>
        <v>9</v>
      </c>
    </row>
    <row r="28" spans="1:5" ht="16.5" customHeight="1" x14ac:dyDescent="0.2">
      <c r="A28" s="129" t="s">
        <v>445</v>
      </c>
      <c r="B28" s="140"/>
      <c r="C28" s="130"/>
      <c r="D28" s="158">
        <f>IFERROR(VLOOKUP($B$2,'1-3 关键能力得分'!$A:$S,19,0),"")</f>
        <v>8.5714285714285712</v>
      </c>
      <c r="E28" s="159"/>
    </row>
    <row r="29" spans="1:5" ht="16.5" customHeight="1" x14ac:dyDescent="0.2">
      <c r="A29" s="129" t="str">
        <f>"排名("&amp;D3&amp;")"</f>
        <v>排名(中层正职)</v>
      </c>
      <c r="B29" s="140"/>
      <c r="C29" s="130"/>
      <c r="D29" s="141">
        <f>COUNTIFS('1-3 关键能力得分'!C:C,'2-个人报告'!D3:E3,'1-3 关键能力得分'!S:S,"&gt;"&amp;D28)+1</f>
        <v>1</v>
      </c>
      <c r="E29" s="142"/>
    </row>
    <row r="30" spans="1:5" ht="16.5" customHeight="1" x14ac:dyDescent="0.2">
      <c r="A30" s="137" t="s">
        <v>365</v>
      </c>
      <c r="B30" s="138"/>
      <c r="C30" s="138"/>
      <c r="D30" s="138"/>
      <c r="E30" s="139"/>
    </row>
    <row r="31" spans="1:5" ht="36.75" customHeight="1" x14ac:dyDescent="0.2">
      <c r="A31" s="129" t="s">
        <v>366</v>
      </c>
      <c r="B31" s="130"/>
      <c r="C31" s="134" t="str">
        <f>IFERROR((VLOOKUP('2-个人报告'!$B$2,'1-4 关键专业'!$E:$K,2,0)&amp;"  "&amp;VLOOKUP('2-个人报告'!$B$2,'1-4 关键专业'!$E:$K,3,0)&amp;"  "&amp;VLOOKUP('2-个人报告'!$B$2,'1-4 关键专业'!$E:$K,4,0)&amp;"  "&amp;VLOOKUP('2-个人报告'!$B$2,'1-4 关键专业'!$E:$K,5,0)&amp;"  "&amp;VLOOKUP('2-个人报告'!$B$2,'1-4 关键专业'!$E:$K,6,0)&amp;"  "&amp;VLOOKUP('2-个人报告'!$B$2,'1-4 关键专业'!$E:$K,7,0)),"  ")</f>
        <v xml:space="preserve">油气勘探开发规划及部署  油气勘探开发技术研究  油气勘探开发生产支持  企业管理  党群管理  </v>
      </c>
      <c r="D31" s="135"/>
      <c r="E31" s="136"/>
    </row>
    <row r="32" spans="1:5" ht="15" customHeight="1" x14ac:dyDescent="0.2">
      <c r="A32" s="137" t="s">
        <v>367</v>
      </c>
      <c r="B32" s="138"/>
      <c r="C32" s="138"/>
      <c r="D32" s="138"/>
      <c r="E32" s="139"/>
    </row>
    <row r="33" spans="1:5" ht="16.5" customHeight="1" x14ac:dyDescent="0.2">
      <c r="A33" s="129" t="s">
        <v>368</v>
      </c>
      <c r="B33" s="130"/>
      <c r="C33" s="131">
        <f>VLOOKUP($D$2&amp;$D$3,'1-5-1 关键经历积分对应表'!$G$2:$H$16,2,0)</f>
        <v>100</v>
      </c>
      <c r="D33" s="132"/>
      <c r="E33" s="133"/>
    </row>
    <row r="34" spans="1:5" ht="16.5" customHeight="1" x14ac:dyDescent="0.2">
      <c r="A34" s="129" t="s">
        <v>369</v>
      </c>
      <c r="B34" s="130"/>
      <c r="C34" s="131">
        <f>SUMIFS('1-5-2 关键经历得分表'!$J:$J,'1-5-2 关键经历得分表'!$A:$A,'2-个人报告'!$B$2)</f>
        <v>80</v>
      </c>
      <c r="D34" s="132"/>
      <c r="E34" s="133"/>
    </row>
  </sheetData>
  <mergeCells count="44">
    <mergeCell ref="A1:E1"/>
    <mergeCell ref="D4:E4"/>
    <mergeCell ref="D6:E6"/>
    <mergeCell ref="C8:C10"/>
    <mergeCell ref="A22:A27"/>
    <mergeCell ref="B19:C19"/>
    <mergeCell ref="A30:E30"/>
    <mergeCell ref="D8:D10"/>
    <mergeCell ref="E8:E10"/>
    <mergeCell ref="D2:E2"/>
    <mergeCell ref="D3:E3"/>
    <mergeCell ref="A5:E5"/>
    <mergeCell ref="A6:B7"/>
    <mergeCell ref="C6:C7"/>
    <mergeCell ref="A11:E11"/>
    <mergeCell ref="B12:C12"/>
    <mergeCell ref="B13:C13"/>
    <mergeCell ref="B14:C14"/>
    <mergeCell ref="B15:C15"/>
    <mergeCell ref="B16:C16"/>
    <mergeCell ref="A28:C28"/>
    <mergeCell ref="D28:E28"/>
    <mergeCell ref="A29:C29"/>
    <mergeCell ref="D29:E29"/>
    <mergeCell ref="B27:C27"/>
    <mergeCell ref="A13:A16"/>
    <mergeCell ref="A17:A19"/>
    <mergeCell ref="B20:C20"/>
    <mergeCell ref="B22:C22"/>
    <mergeCell ref="B23:C23"/>
    <mergeCell ref="B24:C24"/>
    <mergeCell ref="B25:C25"/>
    <mergeCell ref="B26:C26"/>
    <mergeCell ref="B21:C21"/>
    <mergeCell ref="A20:A21"/>
    <mergeCell ref="B17:C17"/>
    <mergeCell ref="B18:C18"/>
    <mergeCell ref="A34:B34"/>
    <mergeCell ref="C34:E34"/>
    <mergeCell ref="A31:B31"/>
    <mergeCell ref="C31:E31"/>
    <mergeCell ref="A32:E32"/>
    <mergeCell ref="A33:B33"/>
    <mergeCell ref="C33:E33"/>
  </mergeCells>
  <phoneticPr fontId="3" type="noConversion"/>
  <hyperlinks>
    <hyperlink ref="F2" location="'0-使用说明'!D1" display="'0-使用说明'!D1" xr:uid="{B7861E09-0331-4201-B0CE-1656F7A61C96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790C-257C-45A4-BC59-16CCCF26B99C}">
  <sheetPr codeName="Sheet13"/>
  <dimension ref="A1:K40"/>
  <sheetViews>
    <sheetView zoomScale="91" zoomScaleNormal="91" workbookViewId="0">
      <selection activeCell="D2" sqref="D2"/>
    </sheetView>
  </sheetViews>
  <sheetFormatPr defaultRowHeight="14.25" x14ac:dyDescent="0.2"/>
  <cols>
    <col min="1" max="1" width="11.375" customWidth="1"/>
    <col min="2" max="2" width="6.875" customWidth="1"/>
    <col min="3" max="3" width="4.625" customWidth="1"/>
    <col min="4" max="4" width="15.375" customWidth="1"/>
    <col min="5" max="5" width="12" customWidth="1"/>
    <col min="6" max="6" width="8.5" customWidth="1"/>
    <col min="7" max="7" width="14.5" customWidth="1"/>
    <col min="8" max="8" width="12.625" customWidth="1"/>
    <col min="9" max="9" width="13" customWidth="1"/>
    <col min="10" max="10" width="19.125" customWidth="1"/>
  </cols>
  <sheetData>
    <row r="1" spans="1:11" ht="32.25" customHeight="1" x14ac:dyDescent="0.2">
      <c r="A1" s="197" t="s">
        <v>370</v>
      </c>
      <c r="B1" s="197"/>
      <c r="C1" s="197"/>
      <c r="D1" s="187"/>
      <c r="E1" s="187"/>
      <c r="F1" s="187"/>
      <c r="G1" s="187"/>
      <c r="H1" s="187"/>
      <c r="I1" s="187"/>
      <c r="J1" s="198"/>
      <c r="K1" s="116" t="s">
        <v>897</v>
      </c>
    </row>
    <row r="2" spans="1:11" ht="34.5" customHeight="1" x14ac:dyDescent="0.2">
      <c r="A2" s="164" t="s">
        <v>397</v>
      </c>
      <c r="B2" s="164"/>
      <c r="C2" s="164"/>
      <c r="D2" s="81" t="s">
        <v>32</v>
      </c>
      <c r="E2" s="21" t="s">
        <v>398</v>
      </c>
      <c r="F2" s="204">
        <f>COUNTIFS('1-1 基本信息'!$K:$K,'3-团队报告'!$D$2:$D$2,'1-1 基本信息'!$I:$I,"正处级")</f>
        <v>2</v>
      </c>
      <c r="G2" s="205"/>
      <c r="H2" s="21" t="s">
        <v>371</v>
      </c>
      <c r="I2" s="196">
        <f>COUNTIFS('1-1 基本信息'!$K:$K,'3-团队报告'!$D$2:$D$2,'1-1 基本信息'!$I:$I,"副处级")</f>
        <v>2</v>
      </c>
      <c r="J2" s="195"/>
    </row>
    <row r="3" spans="1:11" ht="33.75" customHeight="1" x14ac:dyDescent="0.2">
      <c r="A3" s="186" t="s">
        <v>27</v>
      </c>
      <c r="B3" s="187"/>
      <c r="C3" s="187"/>
      <c r="D3" s="189"/>
      <c r="E3" s="189"/>
      <c r="F3" s="189"/>
      <c r="G3" s="189"/>
      <c r="H3" s="189"/>
      <c r="I3" s="189"/>
      <c r="J3" s="188"/>
    </row>
    <row r="4" spans="1:11" ht="29.25" customHeight="1" x14ac:dyDescent="0.2">
      <c r="A4" s="199" t="s">
        <v>372</v>
      </c>
      <c r="B4" s="200"/>
      <c r="C4" s="200"/>
      <c r="D4" s="201"/>
      <c r="E4" s="199" t="s">
        <v>373</v>
      </c>
      <c r="F4" s="200"/>
      <c r="G4" s="201"/>
      <c r="H4" s="22" t="s">
        <v>374</v>
      </c>
      <c r="I4" s="190" t="s">
        <v>375</v>
      </c>
      <c r="J4" s="192"/>
    </row>
    <row r="5" spans="1:11" ht="17.25" x14ac:dyDescent="0.2">
      <c r="A5" s="194" t="s">
        <v>376</v>
      </c>
      <c r="B5" s="196"/>
      <c r="C5" s="196"/>
      <c r="D5" s="195"/>
      <c r="E5" s="194" t="s">
        <v>377</v>
      </c>
      <c r="F5" s="196"/>
      <c r="G5" s="195"/>
      <c r="H5" s="83">
        <f ca="1">IFERROR(AVERAGEIFS('1-1 基本信息'!$D:$D,'1-1 基本信息'!$K:$K,'3-团队报告'!$D$2:$D$2),"")</f>
        <v>45.189726027397263</v>
      </c>
      <c r="I5" s="165" t="str">
        <f ca="1">IF(H5&gt;47,"平均年龄过大",IF(H5&lt;43,"平均年龄过小",""))</f>
        <v/>
      </c>
      <c r="J5" s="165"/>
    </row>
    <row r="6" spans="1:11" ht="17.25" x14ac:dyDescent="0.2">
      <c r="A6" s="207" t="s">
        <v>378</v>
      </c>
      <c r="B6" s="208"/>
      <c r="C6" s="208"/>
      <c r="D6" s="209"/>
      <c r="E6" s="18" t="s">
        <v>38</v>
      </c>
      <c r="F6" s="194" t="s">
        <v>379</v>
      </c>
      <c r="G6" s="195"/>
      <c r="H6" s="51">
        <f ca="1">IFERROR(COUNTIFS('1-1 基本信息'!$D:$D,"&gt;=50",'1-1 基本信息'!$D:$D,"&lt;=55",'1-1 基本信息'!$K:$K,'3-团队报告'!$D$2:$D$2)/COUNTIF('1-1 基本信息'!$K:$K,'3-团队报告'!$D$2:$D$2),"")</f>
        <v>0.25</v>
      </c>
      <c r="I6" s="165" t="str">
        <f ca="1">IF(H6&gt;0.3,"年龄结构不合理，【50,55】年龄段人数过多","")</f>
        <v/>
      </c>
      <c r="J6" s="165"/>
    </row>
    <row r="7" spans="1:11" ht="17.25" x14ac:dyDescent="0.2">
      <c r="A7" s="210"/>
      <c r="B7" s="211"/>
      <c r="C7" s="211"/>
      <c r="D7" s="212"/>
      <c r="E7" s="18" t="s">
        <v>39</v>
      </c>
      <c r="F7" s="194" t="s">
        <v>380</v>
      </c>
      <c r="G7" s="195"/>
      <c r="H7" s="51">
        <f ca="1">IFERROR(COUNTIFS('1-1 基本信息'!$D:$D,"&gt;=40",'1-1 基本信息'!$D:$D,"&lt;=49",'1-1 基本信息'!$K:$K,'3-团队报告'!$D$2:$D$2)/COUNTIF('1-1 基本信息'!$K:$K,'3-团队报告'!$D$2:$D$2),"")</f>
        <v>0.25</v>
      </c>
      <c r="I7" s="165" t="str">
        <f ca="1">IF(H7&lt;0.25,"存在即将退休人员，需考虑人员接替","")</f>
        <v/>
      </c>
      <c r="J7" s="165"/>
    </row>
    <row r="8" spans="1:11" ht="16.5" customHeight="1" x14ac:dyDescent="0.2">
      <c r="A8" s="213"/>
      <c r="B8" s="214"/>
      <c r="C8" s="214"/>
      <c r="D8" s="215"/>
      <c r="E8" s="18" t="s">
        <v>40</v>
      </c>
      <c r="F8" s="194" t="s">
        <v>380</v>
      </c>
      <c r="G8" s="195"/>
      <c r="H8" s="51">
        <f ca="1">IFERROR(COUNTIFS('1-1 基本信息'!$D:$D,"&gt;=40",'1-1 基本信息'!$D:$D,"&lt;=49",'1-1 基本信息'!$K:$K,'3-团队报告'!$D$2:$D$2)/COUNTIF('1-1 基本信息'!$K:$K,'3-团队报告'!$D$2:$D$2),"")</f>
        <v>0.25</v>
      </c>
      <c r="I8" s="165" t="str">
        <f ca="1">IF(H8&lt;0.25,"年轻人员过少，需考虑年轻人员储备","")</f>
        <v/>
      </c>
      <c r="J8" s="165"/>
    </row>
    <row r="9" spans="1:11" ht="17.25" x14ac:dyDescent="0.2">
      <c r="A9" s="194" t="s">
        <v>381</v>
      </c>
      <c r="B9" s="196"/>
      <c r="C9" s="196"/>
      <c r="D9" s="195"/>
      <c r="E9" s="194" t="s">
        <v>382</v>
      </c>
      <c r="F9" s="196"/>
      <c r="G9" s="195"/>
      <c r="H9" s="84">
        <f ca="1">_xlfn.MAXIFS('1-1 基本信息'!$D:$D,'1-1 基本信息'!$K:$K,'3-团队报告'!$D$2:$D$2)-_xlfn.MINIFS('1-1 基本信息'!$D:$D,'1-1 基本信息'!$K:$K,'3-团队报告'!$D$2:$D$2)</f>
        <v>12.512328767123286</v>
      </c>
      <c r="I9" s="206" t="str">
        <f ca="1">IF(H9&lt;10,"年龄极差过小","")</f>
        <v/>
      </c>
      <c r="J9" s="206"/>
    </row>
    <row r="10" spans="1:11" ht="16.5" customHeight="1" x14ac:dyDescent="0.2">
      <c r="A10" s="202" t="s">
        <v>383</v>
      </c>
      <c r="B10" s="203"/>
      <c r="C10" s="203"/>
      <c r="D10" s="189"/>
      <c r="E10" s="189"/>
      <c r="F10" s="189"/>
      <c r="G10" s="189"/>
      <c r="H10" s="189"/>
      <c r="I10" s="187"/>
      <c r="J10" s="198"/>
    </row>
    <row r="11" spans="1:11" ht="14.25" customHeight="1" x14ac:dyDescent="0.2">
      <c r="A11" s="166" t="s">
        <v>461</v>
      </c>
      <c r="B11" s="166"/>
      <c r="C11" s="166"/>
      <c r="D11" s="167" t="str">
        <f>IFERROR((VLOOKUP($D$2,'1-4 关键专业'!$N$17:$AA$49,2,0)&amp;" "&amp;VLOOKUP($D$2,'1-4 关键专业'!$N$17:$AA$49,3,0)&amp;" "&amp;VLOOKUP($D$2,'1-4 关键专业'!$N$17:$AA$49,4,0)&amp;" "&amp;VLOOKUP($D$2,'1-4 关键专业'!$N$17:$AA$49,5,0)&amp;" "&amp;VLOOKUP($D$2,'1-4 关键专业'!$N$17:$AA$49,6,0)&amp;" "&amp;VLOOKUP($D$2,'1-4 关键专业'!$N$17:$AA$49,7,0)&amp;" "&amp;VLOOKUP($D$2,'1-4 关键专业'!$N$17:$AA$49,8,0)&amp;" "&amp;VLOOKUP($D$2,'1-4 关键专业'!$N$17:$AA$49,9,0)&amp;" "&amp;VLOOKUP($D$2,'1-4 关键专业'!$N$17:$AA$49,10,0)&amp;" "&amp;VLOOKUP($D$2,'1-4 关键专业'!$N$17:$AA$49,11,0)&amp;" "&amp;VLOOKUP($D$2,'1-4 关键专业'!$N$17:$AA$49,12,0)&amp;" "&amp;VLOOKUP($D$2,'1-4 关键专业'!$N$17:$AA$49,13,0)&amp;" ")," ")</f>
        <v xml:space="preserve">油气勘探开发规划及部署 油气勘探开发技术研究 油气勘探开发生产支持 油气藏管理 安全环保 党群管理 企业管理      </v>
      </c>
      <c r="E11" s="167"/>
      <c r="F11" s="167"/>
      <c r="G11" s="167"/>
      <c r="H11" s="167"/>
      <c r="I11" s="167"/>
      <c r="J11" s="168"/>
    </row>
    <row r="12" spans="1:11" ht="14.25" customHeight="1" x14ac:dyDescent="0.2">
      <c r="A12" s="166" t="s">
        <v>462</v>
      </c>
      <c r="B12" s="166"/>
      <c r="C12" s="166"/>
      <c r="D12" s="167" t="str">
        <f>IFERROR((VLOOKUP($D$2,'1-4 关键专业'!$N$52:$W$84,2,0)&amp;" "&amp;VLOOKUP($D$2,'1-4 关键专业'!$N$52:$W$84,3,0)&amp;" "&amp;VLOOKUP($D$2,'1-4 关键专业'!$N$52:$W$84,4,0)&amp;" "&amp;VLOOKUP($D$2,'1-4 关键专业'!$N$52:$W$84,5,0)&amp;" "&amp;VLOOKUP($D$2,'1-4 关键专业'!$N$52:$W$84,6,0)&amp;" "&amp;VLOOKUP($D$2,'1-4 关键专业'!$N$52:$W$84,7,0)&amp;" "&amp;VLOOKUP($D$2,'1-4 关键专业'!$N$52:$W$84,8,0)&amp;" "&amp;VLOOKUP($D$2,'1-4 关键专业'!$N$52:$W$84,9,0)&amp;" "&amp;VLOOKUP($D$2,'1-4 关键专业'!$N$52:$W$84,10,0))," ")</f>
        <v xml:space="preserve">油气勘探开发规划及部署 油气勘探开发技术研究 油气勘探开发生产支持      </v>
      </c>
      <c r="E12" s="167"/>
      <c r="F12" s="167"/>
      <c r="G12" s="167"/>
      <c r="H12" s="167"/>
      <c r="I12" s="167"/>
      <c r="J12" s="168"/>
    </row>
    <row r="13" spans="1:11" ht="15" customHeight="1" x14ac:dyDescent="0.2">
      <c r="A13" s="166" t="s">
        <v>463</v>
      </c>
      <c r="B13" s="166"/>
      <c r="C13" s="166"/>
      <c r="D13" s="167" t="str">
        <f>IFERROR((VLOOKUP($D$2&amp;"中层正职",'1-4 关键专业'!$D:$K,3,0)&amp;" "&amp;VLOOKUP($D$2&amp;"中层正职",'1-4 关键专业'!$D:$K,4,0)&amp;" "&amp;VLOOKUP($D$2&amp;"中层正职",'1-4 关键专业'!$D:$K,5,0)&amp;" "&amp;VLOOKUP($D$2&amp;"中层正职",'1-4 关键专业'!$D:$K,6,0)&amp;" "&amp;VLOOKUP($D$2&amp;"中层正职",'1-4 关键专业'!$D:$K,7,0)&amp;" "&amp;VLOOKUP($D$2&amp;"中层正职",'1-4 关键专业'!$D:$K,8,0))," ")</f>
        <v xml:space="preserve">油气勘探开发规划及部署 油气勘探开发技术研究 油气勘探开发生产支持 企业管理 党群管理 </v>
      </c>
      <c r="E13" s="167"/>
      <c r="F13" s="167"/>
      <c r="G13" s="167"/>
      <c r="H13" s="167"/>
      <c r="I13" s="167"/>
      <c r="J13" s="168"/>
    </row>
    <row r="14" spans="1:11" ht="14.25" customHeight="1" x14ac:dyDescent="0.2">
      <c r="A14" s="166" t="s">
        <v>464</v>
      </c>
      <c r="B14" s="166"/>
      <c r="C14" s="166"/>
      <c r="D14" s="167" t="str">
        <f>IFERROR((VLOOKUP($D$2&amp;"党委书记",'1-4 关键专业'!$D:$K,3,0)&amp;" "&amp;VLOOKUP($D$2&amp;"党委书记",'1-4 关键专业'!$D:$K,4,0)&amp;" "&amp;VLOOKUP($D$2&amp;"党委书记",'1-4 关键专业'!$D:$K,5,0)&amp;" "&amp;VLOOKUP($D$2&amp;"党委书记",'1-4 关键专业'!$D:$K,6,0)&amp;" "&amp;VLOOKUP($D$2&amp;"党委书记",'1-4 关键专业'!$D:$K,7,0)&amp;" "&amp;VLOOKUP($D$2&amp;"党委书记",'1-4 关键专业'!$D:$K,8,0))," ")</f>
        <v xml:space="preserve">党群管理 企业管理 安全环保   </v>
      </c>
      <c r="E14" s="167"/>
      <c r="F14" s="167"/>
      <c r="G14" s="167"/>
      <c r="H14" s="167"/>
      <c r="I14" s="167"/>
      <c r="J14" s="168"/>
    </row>
    <row r="15" spans="1:11" ht="14.25" customHeight="1" x14ac:dyDescent="0.2">
      <c r="A15" s="166" t="s">
        <v>465</v>
      </c>
      <c r="B15" s="166"/>
      <c r="C15" s="166"/>
      <c r="D15" s="167" t="str">
        <f>IFERROR((VLOOKUP($D$2&amp;"中层副职",'1-4 关键专业'!$D:$K,3,0)&amp;" "&amp;VLOOKUP($D$2&amp;"中层副职",'1-4 关键专业'!$D:$K,4,0)&amp;" "&amp;VLOOKUP($D$2&amp;"中层副职",'1-4 关键专业'!$D:$K,5,0)&amp;" "&amp;VLOOKUP($D$2&amp;"中层副职",'1-4 关键专业'!$D:$K,6,0)&amp;" "&amp;VLOOKUP($D$2&amp;"中层副职",'1-4 关键专业'!$D:$K,7,0)&amp;" "&amp;VLOOKUP($D$2&amp;"中层副职",'1-4 关键专业'!$D:$K,8,0))," ")</f>
        <v xml:space="preserve">油气勘探开发规划及部署 油气勘探开发技术研究 油气勘探开发生产支持 油气藏管理 企业管理 </v>
      </c>
      <c r="E15" s="167"/>
      <c r="F15" s="167"/>
      <c r="G15" s="167"/>
      <c r="H15" s="167"/>
      <c r="I15" s="167"/>
      <c r="J15" s="168"/>
    </row>
    <row r="16" spans="1:11" ht="14.25" customHeight="1" x14ac:dyDescent="0.2">
      <c r="A16" s="186" t="s">
        <v>385</v>
      </c>
      <c r="B16" s="187"/>
      <c r="C16" s="187"/>
      <c r="D16" s="189"/>
      <c r="E16" s="189"/>
      <c r="F16" s="189"/>
      <c r="G16" s="189"/>
      <c r="H16" s="189"/>
      <c r="I16" s="189"/>
      <c r="J16" s="188"/>
    </row>
    <row r="17" spans="1:10" ht="14.25" customHeight="1" x14ac:dyDescent="0.2">
      <c r="A17" s="190" t="s">
        <v>12</v>
      </c>
      <c r="B17" s="191"/>
      <c r="C17" s="191"/>
      <c r="D17" s="192"/>
      <c r="E17" s="190" t="s">
        <v>399</v>
      </c>
      <c r="F17" s="192"/>
      <c r="G17" s="190" t="s">
        <v>386</v>
      </c>
      <c r="H17" s="192"/>
      <c r="I17" s="49" t="s">
        <v>387</v>
      </c>
      <c r="J17" s="49" t="s">
        <v>388</v>
      </c>
    </row>
    <row r="18" spans="1:10" ht="14.25" customHeight="1" x14ac:dyDescent="0.2">
      <c r="A18" s="193" t="s">
        <v>447</v>
      </c>
      <c r="B18" s="193"/>
      <c r="C18" s="143" t="s">
        <v>14</v>
      </c>
      <c r="D18" s="143"/>
      <c r="E18" s="185" t="str">
        <f>IFERROR(AVERAGE('1-3 关键能力得分'!D:D),"")</f>
        <v/>
      </c>
      <c r="F18" s="185"/>
      <c r="G18" s="185" t="str">
        <f>IFERROR(AVERAGEIFS('1-3 关键能力得分'!D:D,'1-3 关键能力得分'!B:B,'3-团队报告'!$D$2),"")</f>
        <v/>
      </c>
      <c r="H18" s="185"/>
      <c r="I18" s="50" t="str">
        <f>IF(G18="","",IF(G18&gt;E18,"◆ "&amp;C18,""))</f>
        <v/>
      </c>
      <c r="J18" s="50" t="str">
        <f>IF(G18="","",IF(G18&lt;E18,"◆ "&amp;C18,""))</f>
        <v/>
      </c>
    </row>
    <row r="19" spans="1:10" ht="14.25" customHeight="1" x14ac:dyDescent="0.2">
      <c r="A19" s="193"/>
      <c r="B19" s="193"/>
      <c r="C19" s="143" t="s">
        <v>15</v>
      </c>
      <c r="D19" s="143"/>
      <c r="E19" s="185">
        <f>IFERROR(AVERAGE('1-3 关键能力得分'!E:E),"")</f>
        <v>6.9</v>
      </c>
      <c r="F19" s="185"/>
      <c r="G19" s="185">
        <f>IFERROR(AVERAGEIFS('1-3 关键能力得分'!E:E,'1-3 关键能力得分'!B:B,'3-团队报告'!$D$2),"")</f>
        <v>7</v>
      </c>
      <c r="H19" s="185"/>
      <c r="I19" s="50" t="str">
        <f t="shared" ref="I19:I32" si="0">IF(G19="","",IF(G19&gt;E19,"◆ "&amp;C19,""))</f>
        <v>◆ 团队管理</v>
      </c>
      <c r="J19" s="50" t="str">
        <f t="shared" ref="J19:J32" si="1">IF(G19="","",IF(G19&lt;E19,"◆ "&amp;C19,""))</f>
        <v/>
      </c>
    </row>
    <row r="20" spans="1:10" ht="14.25" customHeight="1" x14ac:dyDescent="0.2">
      <c r="A20" s="193"/>
      <c r="B20" s="193"/>
      <c r="C20" s="143" t="s">
        <v>434</v>
      </c>
      <c r="D20" s="143"/>
      <c r="E20" s="185">
        <f>IFERROR(AVERAGE('1-3 关键能力得分'!F:F),"")</f>
        <v>7.0666666666666664</v>
      </c>
      <c r="F20" s="185"/>
      <c r="G20" s="185">
        <f>IFERROR(AVERAGEIFS('1-3 关键能力得分'!F:F,'1-3 关键能力得分'!B:B,'3-团队报告'!$D$2),"")</f>
        <v>7</v>
      </c>
      <c r="H20" s="185"/>
      <c r="I20" s="50" t="str">
        <f t="shared" si="0"/>
        <v/>
      </c>
      <c r="J20" s="50" t="str">
        <f t="shared" si="1"/>
        <v>◆ 学习创新</v>
      </c>
    </row>
    <row r="21" spans="1:10" ht="14.25" customHeight="1" x14ac:dyDescent="0.2">
      <c r="A21" s="193"/>
      <c r="B21" s="193"/>
      <c r="C21" s="143" t="s">
        <v>435</v>
      </c>
      <c r="D21" s="143"/>
      <c r="E21" s="185">
        <f>IFERROR(AVERAGE('1-3 关键能力得分'!G:G),"")</f>
        <v>7.6</v>
      </c>
      <c r="F21" s="185"/>
      <c r="G21" s="185">
        <f>IFERROR(AVERAGEIFS('1-3 关键能力得分'!G:G,'1-3 关键能力得分'!B:B,'3-团队报告'!$D$2),"")</f>
        <v>7</v>
      </c>
      <c r="H21" s="185"/>
      <c r="I21" s="50" t="str">
        <f t="shared" si="0"/>
        <v/>
      </c>
      <c r="J21" s="50" t="str">
        <f t="shared" si="1"/>
        <v>◆ 攻坚克难</v>
      </c>
    </row>
    <row r="22" spans="1:10" ht="14.25" customHeight="1" x14ac:dyDescent="0.2">
      <c r="A22" s="193" t="s">
        <v>448</v>
      </c>
      <c r="B22" s="193"/>
      <c r="C22" s="143" t="s">
        <v>17</v>
      </c>
      <c r="D22" s="143"/>
      <c r="E22" s="185" t="str">
        <f>IFERROR(AVERAGE('1-3 关键能力得分'!H:H),"")</f>
        <v/>
      </c>
      <c r="F22" s="185"/>
      <c r="G22" s="185" t="str">
        <f>IFERROR(AVERAGEIFS('1-3 关键能力得分'!H:H,'1-3 关键能力得分'!B:B,'3-团队报告'!$D$2),"")</f>
        <v/>
      </c>
      <c r="H22" s="185"/>
      <c r="I22" s="50" t="str">
        <f t="shared" si="0"/>
        <v/>
      </c>
      <c r="J22" s="50" t="str">
        <f t="shared" si="1"/>
        <v/>
      </c>
    </row>
    <row r="23" spans="1:10" ht="14.25" customHeight="1" x14ac:dyDescent="0.2">
      <c r="A23" s="193"/>
      <c r="B23" s="193"/>
      <c r="C23" s="143" t="s">
        <v>18</v>
      </c>
      <c r="D23" s="143"/>
      <c r="E23" s="185">
        <f>IFERROR(AVERAGE('1-3 关键能力得分'!I:I),"")</f>
        <v>7</v>
      </c>
      <c r="F23" s="185"/>
      <c r="G23" s="185">
        <f>IFERROR(AVERAGEIFS('1-3 关键能力得分'!I:I,'1-3 关键能力得分'!B:B,'3-团队报告'!$D$2),"")</f>
        <v>5.5</v>
      </c>
      <c r="H23" s="185"/>
      <c r="I23" s="50" t="str">
        <f t="shared" si="0"/>
        <v/>
      </c>
      <c r="J23" s="50" t="str">
        <f t="shared" si="1"/>
        <v>◆ 经营思维</v>
      </c>
    </row>
    <row r="24" spans="1:10" ht="14.25" customHeight="1" x14ac:dyDescent="0.2">
      <c r="A24" s="193"/>
      <c r="B24" s="193"/>
      <c r="C24" s="143" t="s">
        <v>19</v>
      </c>
      <c r="D24" s="143"/>
      <c r="E24" s="185">
        <f>IFERROR(AVERAGE('1-3 关键能力得分'!J:J),"")</f>
        <v>7.2333333333333334</v>
      </c>
      <c r="F24" s="185"/>
      <c r="G24" s="185">
        <f>IFERROR(AVERAGEIFS('1-3 关键能力得分'!J:J,'1-3 关键能力得分'!B:B,'3-团队报告'!$D$2),"")</f>
        <v>6.5</v>
      </c>
      <c r="H24" s="185"/>
      <c r="I24" s="50" t="str">
        <f t="shared" si="0"/>
        <v/>
      </c>
      <c r="J24" s="50" t="str">
        <f t="shared" si="1"/>
        <v>◆ 统筹协调</v>
      </c>
    </row>
    <row r="25" spans="1:10" ht="14.25" customHeight="1" x14ac:dyDescent="0.2">
      <c r="A25" s="193" t="s">
        <v>449</v>
      </c>
      <c r="B25" s="193"/>
      <c r="C25" s="143" t="s">
        <v>438</v>
      </c>
      <c r="D25" s="143"/>
      <c r="E25" s="185" t="str">
        <f>IFERROR(AVERAGE('1-3 关键能力得分'!K:K),"")</f>
        <v/>
      </c>
      <c r="F25" s="185"/>
      <c r="G25" s="185" t="str">
        <f>IFERROR(AVERAGEIFS('1-3 关键能力得分'!K:K,'1-3 关键能力得分'!B:B,'3-团队报告'!$D$2),"")</f>
        <v/>
      </c>
      <c r="H25" s="185"/>
      <c r="I25" s="50" t="str">
        <f t="shared" si="0"/>
        <v/>
      </c>
      <c r="J25" s="50" t="str">
        <f t="shared" si="1"/>
        <v/>
      </c>
    </row>
    <row r="26" spans="1:10" ht="14.25" customHeight="1" x14ac:dyDescent="0.2">
      <c r="A26" s="193"/>
      <c r="B26" s="193"/>
      <c r="C26" s="143" t="s">
        <v>439</v>
      </c>
      <c r="D26" s="143"/>
      <c r="E26" s="185" t="str">
        <f>IFERROR(AVERAGE('1-3 关键能力得分'!L:L),"")</f>
        <v/>
      </c>
      <c r="F26" s="185"/>
      <c r="G26" s="185" t="str">
        <f>IFERROR(AVERAGEIFS('1-3 关键能力得分'!L:L,'1-3 关键能力得分'!B:B,'3-团队报告'!$D$2),"")</f>
        <v/>
      </c>
      <c r="H26" s="185"/>
      <c r="I26" s="50" t="str">
        <f t="shared" si="0"/>
        <v/>
      </c>
      <c r="J26" s="50" t="str">
        <f t="shared" si="1"/>
        <v/>
      </c>
    </row>
    <row r="27" spans="1:10" ht="14.25" customHeight="1" x14ac:dyDescent="0.2">
      <c r="A27" s="193" t="s">
        <v>450</v>
      </c>
      <c r="B27" s="193"/>
      <c r="C27" s="143" t="s">
        <v>440</v>
      </c>
      <c r="D27" s="143"/>
      <c r="E27" s="185">
        <f>IFERROR(AVERAGE('1-3 关键能力得分'!M:M),"")</f>
        <v>6.5555555555555554</v>
      </c>
      <c r="F27" s="185"/>
      <c r="G27" s="185" t="str">
        <f>IFERROR(AVERAGEIFS('1-3 关键能力得分'!M:M,'1-3 关键能力得分'!B:B,'3-团队报告'!$D$2),"")</f>
        <v/>
      </c>
      <c r="H27" s="185"/>
      <c r="I27" s="50" t="str">
        <f t="shared" si="0"/>
        <v/>
      </c>
      <c r="J27" s="50" t="str">
        <f t="shared" si="1"/>
        <v/>
      </c>
    </row>
    <row r="28" spans="1:10" ht="14.25" customHeight="1" x14ac:dyDescent="0.2">
      <c r="A28" s="193"/>
      <c r="B28" s="193"/>
      <c r="C28" s="143" t="s">
        <v>441</v>
      </c>
      <c r="D28" s="143"/>
      <c r="E28" s="185">
        <f>IFERROR(AVERAGE('1-3 关键能力得分'!N:N),"")</f>
        <v>7</v>
      </c>
      <c r="F28" s="185"/>
      <c r="G28" s="185" t="str">
        <f>IFERROR(AVERAGEIFS('1-3 关键能力得分'!N:N,'1-3 关键能力得分'!B:B,'3-团队报告'!$D$2),"")</f>
        <v/>
      </c>
      <c r="H28" s="185"/>
      <c r="I28" s="50" t="str">
        <f t="shared" si="0"/>
        <v/>
      </c>
      <c r="J28" s="50" t="str">
        <f t="shared" si="1"/>
        <v/>
      </c>
    </row>
    <row r="29" spans="1:10" ht="14.25" customHeight="1" x14ac:dyDescent="0.2">
      <c r="A29" s="193"/>
      <c r="B29" s="193"/>
      <c r="C29" s="143" t="s">
        <v>442</v>
      </c>
      <c r="D29" s="143"/>
      <c r="E29" s="185">
        <f>IFERROR(AVERAGE('1-3 关键能力得分'!O:O),"")</f>
        <v>7.375</v>
      </c>
      <c r="F29" s="185"/>
      <c r="G29" s="185">
        <f>IFERROR(AVERAGEIFS('1-3 关键能力得分'!O:O,'1-3 关键能力得分'!B:B,'3-团队报告'!$D$2),"")</f>
        <v>8</v>
      </c>
      <c r="H29" s="185"/>
      <c r="I29" s="50" t="str">
        <f t="shared" si="0"/>
        <v>◆ 精益管理</v>
      </c>
      <c r="J29" s="50" t="str">
        <f t="shared" si="1"/>
        <v/>
      </c>
    </row>
    <row r="30" spans="1:10" ht="14.25" customHeight="1" x14ac:dyDescent="0.2">
      <c r="A30" s="193"/>
      <c r="B30" s="193"/>
      <c r="C30" s="143" t="s">
        <v>443</v>
      </c>
      <c r="D30" s="143"/>
      <c r="E30" s="185">
        <f>IFERROR(AVERAGE('1-3 关键能力得分'!P:P),"")</f>
        <v>7.75</v>
      </c>
      <c r="F30" s="185"/>
      <c r="G30" s="185" t="str">
        <f>IFERROR(AVERAGEIFS('1-3 关键能力得分'!P:P,'1-3 关键能力得分'!B:B,'3-团队报告'!$D$2),"")</f>
        <v/>
      </c>
      <c r="H30" s="185"/>
      <c r="I30" s="50" t="str">
        <f t="shared" si="0"/>
        <v/>
      </c>
      <c r="J30" s="50" t="str">
        <f t="shared" si="1"/>
        <v/>
      </c>
    </row>
    <row r="31" spans="1:10" ht="14.25" customHeight="1" x14ac:dyDescent="0.2">
      <c r="A31" s="193"/>
      <c r="B31" s="193"/>
      <c r="C31" s="143" t="s">
        <v>444</v>
      </c>
      <c r="D31" s="143"/>
      <c r="E31" s="185">
        <f>IFERROR(AVERAGE('1-3 关键能力得分'!Q:Q),"")</f>
        <v>7.4615384615384617</v>
      </c>
      <c r="F31" s="185"/>
      <c r="G31" s="185" t="str">
        <f>IFERROR(AVERAGEIFS('1-3 关键能力得分'!Q:Q,'1-3 关键能力得分'!B:B,'3-团队报告'!$D$2),"")</f>
        <v/>
      </c>
      <c r="H31" s="185"/>
      <c r="I31" s="50" t="str">
        <f t="shared" si="0"/>
        <v/>
      </c>
      <c r="J31" s="50" t="str">
        <f t="shared" si="1"/>
        <v/>
      </c>
    </row>
    <row r="32" spans="1:10" ht="14.25" customHeight="1" x14ac:dyDescent="0.2">
      <c r="A32" s="193"/>
      <c r="B32" s="193"/>
      <c r="C32" s="143" t="s">
        <v>16</v>
      </c>
      <c r="D32" s="143"/>
      <c r="E32" s="185">
        <f>IFERROR(AVERAGE('1-3 关键能力得分'!R:R),"")</f>
        <v>7.1052631578947372</v>
      </c>
      <c r="F32" s="185"/>
      <c r="G32" s="185">
        <f>IFERROR(AVERAGEIFS('1-3 关键能力得分'!R:R,'1-3 关键能力得分'!B:B,'3-团队报告'!$D$2),"")</f>
        <v>7</v>
      </c>
      <c r="H32" s="185"/>
      <c r="I32" s="50" t="str">
        <f t="shared" si="0"/>
        <v/>
      </c>
      <c r="J32" s="50" t="str">
        <f t="shared" si="1"/>
        <v>◆ 专业管理</v>
      </c>
    </row>
    <row r="33" spans="1:10" ht="14.25" customHeight="1" x14ac:dyDescent="0.2">
      <c r="A33" s="186" t="s">
        <v>389</v>
      </c>
      <c r="B33" s="187"/>
      <c r="C33" s="187"/>
      <c r="D33" s="187"/>
      <c r="E33" s="187"/>
      <c r="F33" s="187"/>
      <c r="G33" s="187"/>
      <c r="H33" s="187"/>
      <c r="I33" s="187"/>
      <c r="J33" s="188"/>
    </row>
    <row r="34" spans="1:10" ht="14.25" customHeight="1" x14ac:dyDescent="0.2">
      <c r="A34" s="180"/>
      <c r="B34" s="181"/>
      <c r="C34" s="181"/>
      <c r="D34" s="182"/>
      <c r="E34" s="169" t="s">
        <v>390</v>
      </c>
      <c r="F34" s="171"/>
      <c r="G34" s="23" t="s">
        <v>391</v>
      </c>
      <c r="H34" s="23" t="s">
        <v>392</v>
      </c>
      <c r="I34" s="23" t="s">
        <v>393</v>
      </c>
      <c r="J34" s="23" t="s">
        <v>394</v>
      </c>
    </row>
    <row r="35" spans="1:10" ht="14.25" customHeight="1" x14ac:dyDescent="0.2">
      <c r="A35" s="169" t="s">
        <v>395</v>
      </c>
      <c r="B35" s="170"/>
      <c r="C35" s="170"/>
      <c r="D35" s="171"/>
      <c r="E35" s="183" t="str">
        <f>IF(COUNTIFS('1-6 风险因素'!$D:$D,'3-团队报告'!$D$2&amp;"中层正职")=1,IF(VLOOKUP('3-团队报告'!$D$2&amp;"中层正职",'1-6 风险因素'!$D:$J,3,0)&gt;8,"√",""),IF(COUNTIFS('1-6 风险因素'!$D:$D,'3-团队报告'!$D$2&amp;"中层正职")=2,IF(OR(VLOOKUP('3-团队报告'!$D$2&amp;"中层正职"&amp;"1",'1-6 风险因素'!$E:$J,2,0)&gt;8,VLOOKUP('3-团队报告'!$D$2&amp;"中层正职"&amp;"2",'1-6 风险因素'!$E:$J,2,0)&gt;8),"√",""),IF(COUNTIFS('1-6 风险因素'!$D:$D,'3-团队报告'!$D$2&amp;"中层正职")=3,IF(OR(VLOOKUP('3-团队报告'!$D$2&amp;"中层正职"&amp;"1",'1-6 风险因素'!$E:$J,2,0)&gt;8,VLOOKUP('3-团队报告'!$D$2&amp;"中层正职"&amp;"2",'1-6 风险因素'!$E:$J,2,0)&gt;8,VLOOKUP('3-团队报告'!$D$2&amp;"中层正职"&amp;"3",'1-6 风险因素'!$E:$J,2,0)&gt;8),"√",""),"")))</f>
        <v/>
      </c>
      <c r="F35" s="184"/>
      <c r="G35" s="86" t="str">
        <f>IF(COUNTIFS('1-6 风险因素'!$D:$D,'3-团队报告'!$D$2&amp;"中层正职")=1,IF(VLOOKUP('3-团队报告'!$D$2&amp;"中层正职",'1-6 风险因素'!$D:$J,4,0)&gt;8,"√",""),IF(COUNTIFS('1-6 风险因素'!$D:$D,'3-团队报告'!$D$2&amp;"中层正职")=2,IF(OR(VLOOKUP('3-团队报告'!$D$2&amp;"中层正职"&amp;"1",'1-6 风险因素'!$E:$J,3,0)&gt;8,VLOOKUP('3-团队报告'!$D$2&amp;"中层正职"&amp;"2",'1-6 风险因素'!$E:$J,3,0)&gt;8),"√",""),IF(COUNTIFS('1-6 风险因素'!$D:$D,'3-团队报告'!$D$2&amp;"中层正职")=3,IF(OR(VLOOKUP('3-团队报告'!$D$2&amp;"中层正职"&amp;"1",'1-6 风险因素'!$E:$J,3,0)&gt;8,VLOOKUP('3-团队报告'!$D$2&amp;"中层正职"&amp;"2",'1-6 风险因素'!$E:$J,3,0)&gt;8,VLOOKUP('3-团队报告'!$D$2&amp;"中层正职"&amp;"3",'1-6 风险因素'!$E:$J,3,0)&gt;8),"√",""),"")))</f>
        <v/>
      </c>
      <c r="H35" s="87" t="str">
        <f>IF(COUNTIFS('1-6 风险因素'!$D:$D,'3-团队报告'!$D$2&amp;"中层正职")=1,IF(VLOOKUP('3-团队报告'!$D$2&amp;"中层正职",'1-6 风险因素'!$D:$J,5,0)&gt;8,"√",""),IF(COUNTIFS('1-6 风险因素'!$D:$D,'3-团队报告'!$D$2&amp;"中层正职")=2,IF(OR(VLOOKUP('3-团队报告'!$D$2&amp;"中层正职"&amp;"1",'1-6 风险因素'!$E:$J,4,0)&gt;8,VLOOKUP('3-团队报告'!$D$2&amp;"中层正职"&amp;"2",'1-6 风险因素'!$E:$J,4,0)&gt;8),"√",""),IF(COUNTIFS('1-6 风险因素'!$D:$D,'3-团队报告'!$D$2&amp;"中层正职")=3,IF(OR(VLOOKUP('3-团队报告'!$D$2&amp;"中层正职"&amp;"1",'1-6 风险因素'!$E:$J,4,0)&gt;8,VLOOKUP('3-团队报告'!$D$2&amp;"中层正职"&amp;"2",'1-6 风险因素'!$E:$J,4,0)&gt;8,VLOOKUP('3-团队报告'!$D$2&amp;"中层正职"&amp;"3",'1-6 风险因素'!$E:$J,4,0)&gt;8),"√",""),"")))</f>
        <v/>
      </c>
      <c r="I35" s="87" t="str">
        <f>IF(COUNTIFS('1-6 风险因素'!$D:$D,'3-团队报告'!$D$2&amp;"中层正职")=1,IF(VLOOKUP('3-团队报告'!$D$2&amp;"中层正职",'1-6 风险因素'!$D:$J,6,0)&gt;8,"√",""),IF(COUNTIFS('1-6 风险因素'!$D:$D,'3-团队报告'!$D$2&amp;"中层正职")=2,IF(OR(VLOOKUP('3-团队报告'!$D$2&amp;"中层正职"&amp;"1",'1-6 风险因素'!$E:$J,5,0)&gt;8,VLOOKUP('3-团队报告'!$D$2&amp;"中层正职"&amp;"2",'1-6 风险因素'!$E:$J,5,0)&gt;8),"√",""),IF(COUNTIFS('1-6 风险因素'!$D:$D,'3-团队报告'!$D$2&amp;"中层正职")=3,IF(OR(VLOOKUP('3-团队报告'!$D$2&amp;"中层正职"&amp;"1",'1-6 风险因素'!$E:$J,5,0)&gt;8,VLOOKUP('3-团队报告'!$D$2&amp;"中层正职"&amp;"2",'1-6 风险因素'!$E:$J,5,0)&gt;8,VLOOKUP('3-团队报告'!$D$2&amp;"中层正职"&amp;"3",'1-6 风险因素'!$E:$J,5,0)&gt;8),"√",""),"")))</f>
        <v/>
      </c>
      <c r="J35" s="86" t="str">
        <f>IF(COUNTIFS('1-6 风险因素'!$D:$D,'3-团队报告'!$D$2&amp;"中层正职")=1,IF(VLOOKUP('3-团队报告'!$D$2&amp;"中层正职",'1-6 风险因素'!$D:$J,7,0)&gt;8,"√",""),IF(COUNTIFS('1-6 风险因素'!$D:$D,'3-团队报告'!$D$2&amp;"中层正职")=2,IF(OR(VLOOKUP('3-团队报告'!$D$2&amp;"中层正职"&amp;"1",'1-6 风险因素'!$E:$J,6,0)&gt;8,VLOOKUP('3-团队报告'!$D$2&amp;"中层正职"&amp;"2",'1-6 风险因素'!$E:$J,6,0)&gt;8),"√",""),IF(COUNTIFS('1-6 风险因素'!$D:$D,'3-团队报告'!$D$2&amp;"中层正职")=3,IF(OR(VLOOKUP('3-团队报告'!$D$2&amp;"中层正职"&amp;"1",'1-6 风险因素'!$E:$J,6,0)&gt;8,VLOOKUP('3-团队报告'!$D$2&amp;"中层正职"&amp;"2",'1-6 风险因素'!$E:$J,6,0)&gt;8,VLOOKUP('3-团队报告'!$D$2&amp;"中层正职"&amp;"3",'1-6 风险因素'!$E:$J,6,0)&gt;8),"√",""),"")))</f>
        <v/>
      </c>
    </row>
    <row r="36" spans="1:10" ht="14.25" customHeight="1" x14ac:dyDescent="0.2">
      <c r="A36" s="169" t="s">
        <v>396</v>
      </c>
      <c r="B36" s="170"/>
      <c r="C36" s="170"/>
      <c r="D36" s="171"/>
      <c r="E36" s="183" t="str">
        <f>IF(COUNTIFS('1-6 风险因素'!$D:$D,'3-团队报告'!$D$2&amp;"党委书记")=1,IF(VLOOKUP('3-团队报告'!$D$2&amp;"党委书记",'1-6 风险因素'!$D:$J,3,0)&gt;8,"√",""),IF(COUNTIFS('1-6 风险因素'!$D:$D,'3-团队报告'!$D$2&amp;"党委书记")=2,IF(OR(VLOOKUP('3-团队报告'!$D$2&amp;"党委书记"&amp;"1",'1-6 风险因素'!$E:$J,2,0)&gt;8,VLOOKUP('3-团队报告'!$D$2&amp;"党委书记"&amp;"2",'1-6 风险因素'!$E:$J,2,0)&gt;8),"√",""),IF(COUNTIFS('1-6 风险因素'!$D:$D,'3-团队报告'!$D$2&amp;"党委书记")=3,IF(OR(VLOOKUP('3-团队报告'!$D$2&amp;"党委书记"&amp;"1",'1-6 风险因素'!$E:$J,2,0)&gt;8,VLOOKUP('3-团队报告'!$D$2&amp;"党委书记"&amp;"2",'1-6 风险因素'!$E:$J,2,0)&gt;8,VLOOKUP('3-团队报告'!$D$2&amp;"党委书记"&amp;"3",'1-6 风险因素'!$E:$J,2,0)&gt;8),"√",""),"")))</f>
        <v/>
      </c>
      <c r="F36" s="184"/>
      <c r="G36" s="87" t="str">
        <f>IF(COUNTIFS('1-6 风险因素'!$D:$D,'3-团队报告'!$D$2&amp;"党委书记")=1,IF(VLOOKUP('3-团队报告'!$D$2&amp;"党委书记",'1-6 风险因素'!$D:$J,4,0)&gt;8,"√",""),IF(COUNTIFS('1-6 风险因素'!$D:$D,'3-团队报告'!$D$2&amp;"党委书记")=2,IF(OR(VLOOKUP('3-团队报告'!$D$2&amp;"党委书记"&amp;"1",'1-6 风险因素'!$E:$J,3,0)&gt;8,VLOOKUP('3-团队报告'!$D$2&amp;"党委书记"&amp;"2",'1-6 风险因素'!$E:$J,3,0)&gt;8),"√",""),IF(COUNTIFS('1-6 风险因素'!$D:$D,'3-团队报告'!$D$2&amp;"党委书记")=3,IF(OR(VLOOKUP('3-团队报告'!$D$2&amp;"党委书记"&amp;"1",'1-6 风险因素'!$E:$J,3,0)&gt;8,VLOOKUP('3-团队报告'!$D$2&amp;"党委书记"&amp;"2",'1-6 风险因素'!$E:$J,3,0)&gt;8,VLOOKUP('3-团队报告'!$D$2&amp;"党委书记"&amp;"3",'1-6 风险因素'!$E:$J,3,0)&gt;8),"√",""),"")))</f>
        <v/>
      </c>
      <c r="H36" s="86" t="str">
        <f>IF(COUNTIFS('1-6 风险因素'!$D:$D,'3-团队报告'!$D$2&amp;"党委书记")=1,IF(VLOOKUP('3-团队报告'!$D$2&amp;"党委书记",'1-6 风险因素'!$D:$J,5,0)&gt;8,"√",""),IF(COUNTIFS('1-6 风险因素'!$D:$D,'3-团队报告'!$D$2&amp;"党委书记")=2,IF(OR(VLOOKUP('3-团队报告'!$D$2&amp;"党委书记"&amp;"1",'1-6 风险因素'!$E:$J,4,0)&gt;8,VLOOKUP('3-团队报告'!$D$2&amp;"党委书记"&amp;"2",'1-6 风险因素'!$E:$J,4,0)&gt;8),"√",""),IF(COUNTIFS('1-6 风险因素'!$D:$D,'3-团队报告'!$D$2&amp;"党委书记")=3,IF(OR(VLOOKUP('3-团队报告'!$D$2&amp;"党委书记"&amp;"1",'1-6 风险因素'!$E:$J,4,0)&gt;8,VLOOKUP('3-团队报告'!$D$2&amp;"党委书记"&amp;"2",'1-6 风险因素'!$E:$J,4,0)&gt;8,VLOOKUP('3-团队报告'!$D$2&amp;"党委书记"&amp;"3",'1-6 风险因素'!$E:$J,4,0)&gt;8),"√",""),"")))</f>
        <v/>
      </c>
      <c r="I36" s="86" t="str">
        <f>IF(COUNTIFS('1-6 风险因素'!$D:$D,'3-团队报告'!$D$2&amp;"党委书记")=1,IF(VLOOKUP('3-团队报告'!$D$2&amp;"党委书记",'1-6 风险因素'!$D:$J,6,0)&gt;8,"√",""),IF(COUNTIFS('1-6 风险因素'!$D:$D,'3-团队报告'!$D$2&amp;"党委书记")=2,IF(OR(VLOOKUP('3-团队报告'!$D$2&amp;"党委书记"&amp;"1",'1-6 风险因素'!$E:$J,5,0)&gt;8,VLOOKUP('3-团队报告'!$D$2&amp;"党委书记"&amp;"2",'1-6 风险因素'!$E:$J,5,0)&gt;8),"√",""),IF(COUNTIFS('1-6 风险因素'!$D:$D,'3-团队报告'!$D$2&amp;"党委书记")=3,IF(OR(VLOOKUP('3-团队报告'!$D$2&amp;"党委书记"&amp;"1",'1-6 风险因素'!$E:$J,5,0)&gt;8,VLOOKUP('3-团队报告'!$D$2&amp;"党委书记"&amp;"2",'1-6 风险因素'!$E:$J,5,0)&gt;8,VLOOKUP('3-团队报告'!$D$2&amp;"党委书记"&amp;"3",'1-6 风险因素'!$E:$J,5,0)&gt;8),"√",""),"")))</f>
        <v/>
      </c>
      <c r="J36" s="87" t="str">
        <f>IF(COUNTIFS('1-6 风险因素'!$D:$D,'3-团队报告'!$D$2&amp;"党委书记")=1,IF(VLOOKUP('3-团队报告'!$D$2&amp;"党委书记",'1-6 风险因素'!$D:$J,7,0)&gt;8,"√",""),IF(COUNTIFS('1-6 风险因素'!$D:$D,'3-团队报告'!$D$2&amp;"党委书记")=2,IF(OR(VLOOKUP('3-团队报告'!$D$2&amp;"党委书记"&amp;"1",'1-6 风险因素'!$E:$J,6,0)&gt;8,VLOOKUP('3-团队报告'!$D$2&amp;"党委书记"&amp;"2",'1-6 风险因素'!$E:$J,6,0)&gt;8),"√",""),IF(COUNTIFS('1-6 风险因素'!$D:$D,'3-团队报告'!$D$2&amp;"党委书记")=3,IF(OR(VLOOKUP('3-团队报告'!$D$2&amp;"党委书记"&amp;"1",'1-6 风险因素'!$E:$J,6,0)&gt;8,VLOOKUP('3-团队报告'!$D$2&amp;"党委书记"&amp;"2",'1-6 风险因素'!$E:$J,6,0)&gt;8,VLOOKUP('3-团队报告'!$D$2&amp;"党委书记"&amp;"3",'1-6 风险因素'!$E:$J,6,0)&gt;8),"√",""),"")))</f>
        <v/>
      </c>
    </row>
    <row r="37" spans="1:10" ht="14.25" customHeight="1" x14ac:dyDescent="0.2">
      <c r="A37" s="169" t="s">
        <v>355</v>
      </c>
      <c r="B37" s="170"/>
      <c r="C37" s="170"/>
      <c r="D37" s="171"/>
      <c r="E37" s="172" t="str">
        <f>IF(COUNTIFS('1-6 风险因素'!$D:$D,'3-团队报告'!$D$2&amp;"中层副职")=1,IF(VLOOKUP('3-团队报告'!$D$2&amp;"中层副职",'1-6 风险因素'!$D:$J,3,0)&gt;8,"√",""),IF(COUNTIFS('1-6 风险因素'!$D:$D,'3-团队报告'!$D$2&amp;"中层副职")=2,IF(OR(VLOOKUP('3-团队报告'!$D$2&amp;"中层副职"&amp;"1",'1-6 风险因素'!$E:$J,2,0)&gt;8,VLOOKUP('3-团队报告'!$D$2&amp;"中层副职"&amp;"2",'1-6 风险因素'!$E:$J,2,0)&gt;8),"√",""),IF(COUNTIFS('1-6 风险因素'!$D:$D,'3-团队报告'!$D$2&amp;"中层副职")=3,IF(OR(VLOOKUP('3-团队报告'!$D$2&amp;"中层副职"&amp;"1",'1-6 风险因素'!$E:$J,2,0)&gt;8,VLOOKUP('3-团队报告'!$D$2&amp;"中层副职"&amp;"2",'1-6 风险因素'!$E:$J,2,0)&gt;8,VLOOKUP('3-团队报告'!$D$2&amp;"中层副职"&amp;"3",'1-6 风险因素'!$E:$J,2,0)&gt;8),"√",""),"")))</f>
        <v/>
      </c>
      <c r="F37" s="173"/>
      <c r="G37" s="82" t="str">
        <f>IF(COUNTIFS('1-6 风险因素'!$D:$D,'3-团队报告'!$D$2&amp;"中层副职")=1,IF(VLOOKUP('3-团队报告'!$D$2&amp;"中层副职",'1-6 风险因素'!$D:$J,4,0)&gt;8,"√",""),IF(COUNTIFS('1-6 风险因素'!$D:$D,'3-团队报告'!$D$2&amp;"中层副职")=2,IF(OR(VLOOKUP('3-团队报告'!$D$2&amp;"中层副职"&amp;"1",'1-6 风险因素'!$E:$J,3,0)&gt;8,VLOOKUP('3-团队报告'!$D$2&amp;"中层副职"&amp;"2",'1-6 风险因素'!$E:$J,3,0)&gt;8),"√",""),IF(COUNTIFS('1-6 风险因素'!$D:$D,'3-团队报告'!$D$2&amp;"中层副职")=3,IF(OR(VLOOKUP('3-团队报告'!$D$2&amp;"中层副职"&amp;"1",'1-6 风险因素'!$E:$J,3,0)&gt;8,VLOOKUP('3-团队报告'!$D$2&amp;"中层副职"&amp;"2",'1-6 风险因素'!$E:$J,3,0)&gt;8,VLOOKUP('3-团队报告'!$D$2&amp;"中层副职"&amp;"3",'1-6 风险因素'!$E:$J,3,0)&gt;8),"√",""),"")))</f>
        <v>√</v>
      </c>
      <c r="H37" s="82" t="str">
        <f>IF(COUNTIFS('1-6 风险因素'!$D:$D,'3-团队报告'!$D$2&amp;"中层副职")=1,IF(VLOOKUP('3-团队报告'!$D$2&amp;"中层副职",'1-6 风险因素'!$D:$J,5,0)&gt;8,"√",""),IF(COUNTIFS('1-6 风险因素'!$D:$D,'3-团队报告'!$D$2&amp;"中层副职")=2,IF(OR(VLOOKUP('3-团队报告'!$D$2&amp;"中层副职"&amp;"1",'1-6 风险因素'!$E:$J,4,0)&gt;8,VLOOKUP('3-团队报告'!$D$2&amp;"中层副职"&amp;"2",'1-6 风险因素'!$E:$J,4,0)&gt;8),"√",""),IF(COUNTIFS('1-6 风险因素'!$D:$D,'3-团队报告'!$D$2&amp;"中层副职")=3,IF(OR(VLOOKUP('3-团队报告'!$D$2&amp;"中层副职"&amp;"1",'1-6 风险因素'!$E:$J,4,0)&gt;8,VLOOKUP('3-团队报告'!$D$2&amp;"中层副职"&amp;"2",'1-6 风险因素'!$E:$J,4,0)&gt;8,VLOOKUP('3-团队报告'!$D$2&amp;"中层副职"&amp;"3",'1-6 风险因素'!$E:$J,4,0)&gt;8),"√",""),"")))</f>
        <v/>
      </c>
      <c r="I37" s="85" t="str">
        <f>IF(COUNTIFS('1-6 风险因素'!$D:$D,'3-团队报告'!$D$2&amp;"中层副职")=1,IF(VLOOKUP('3-团队报告'!$D$2&amp;"中层副职",'1-6 风险因素'!$D:$J,6,0)&gt;8,"√",""),IF(COUNTIFS('1-6 风险因素'!$D:$D,'3-团队报告'!$D$2&amp;"中层副职")=2,IF(OR(VLOOKUP('3-团队报告'!$D$2&amp;"中层副职"&amp;"1",'1-6 风险因素'!$E:$J,5,0)&gt;8,VLOOKUP('3-团队报告'!$D$2&amp;"中层副职"&amp;"2",'1-6 风险因素'!$E:$J,5,0)&gt;8),"√",""),IF(COUNTIFS('1-6 风险因素'!$D:$D,'3-团队报告'!$D$2&amp;"中层副职")=3,IF(OR(VLOOKUP('3-团队报告'!$D$2&amp;"中层副职"&amp;"1",'1-6 风险因素'!$E:$J,5,0)&gt;8,VLOOKUP('3-团队报告'!$D$2&amp;"中层副职"&amp;"2",'1-6 风险因素'!$E:$J,5,0)&gt;8,VLOOKUP('3-团队报告'!$D$2&amp;"中层副职"&amp;"3",'1-6 风险因素'!$E:$J,5,0)&gt;8),"√",""),"")))</f>
        <v/>
      </c>
      <c r="J37" s="82" t="str">
        <f>IF(COUNTIFS('1-6 风险因素'!$D:$D,'3-团队报告'!$D$2&amp;"中层副职")=1,IF(VLOOKUP('3-团队报告'!$D$2&amp;"中层副职",'1-6 风险因素'!$D:$J,7,0)&gt;8,"√",""),IF(COUNTIFS('1-6 风险因素'!$D:$D,'3-团队报告'!$D$2&amp;"中层副职")=2,IF(OR(VLOOKUP('3-团队报告'!$D$2&amp;"中层副职"&amp;"1",'1-6 风险因素'!$E:$J,6,0)&gt;8,VLOOKUP('3-团队报告'!$D$2&amp;"中层副职"&amp;"2",'1-6 风险因素'!$E:$J,6,0)&gt;8),"√",""),IF(COUNTIFS('1-6 风险因素'!$D:$D,'3-团队报告'!$D$2&amp;"中层副职")=3,IF(OR(VLOOKUP('3-团队报告'!$D$2&amp;"中层副职"&amp;"1",'1-6 风险因素'!$E:$J,6,0)&gt;8,VLOOKUP('3-团队报告'!$D$2&amp;"中层副职"&amp;"2",'1-6 风险因素'!$E:$J,6,0)&gt;8,VLOOKUP('3-团队报告'!$D$2&amp;"中层副职"&amp;"3",'1-6 风险因素'!$E:$J,6,0)&gt;8),"√",""),"")))</f>
        <v/>
      </c>
    </row>
    <row r="38" spans="1:10" ht="14.25" customHeight="1" x14ac:dyDescent="0.2">
      <c r="A38" s="174" t="s">
        <v>375</v>
      </c>
      <c r="B38" s="175"/>
      <c r="C38" s="175"/>
      <c r="D38" s="175"/>
      <c r="E38" s="165" t="str">
        <f>IF(AND(H35="",I35=""),"","◆ 中层正职存在"&amp;IF(H35="√",H34,"")&amp;" "&amp;IF(I35="√",I34,"")&amp;"倾向")</f>
        <v/>
      </c>
      <c r="F38" s="165"/>
      <c r="G38" s="165"/>
      <c r="H38" s="165"/>
      <c r="I38" s="165"/>
      <c r="J38" s="165"/>
    </row>
    <row r="39" spans="1:10" ht="14.25" customHeight="1" x14ac:dyDescent="0.2">
      <c r="A39" s="176"/>
      <c r="B39" s="177"/>
      <c r="C39" s="177"/>
      <c r="D39" s="177"/>
      <c r="E39" s="165" t="str">
        <f>IF(AND(G36="",J36=""),"","◆ 党委书记存在"&amp;IF(G36="√",G34,"")&amp;" "&amp;IF(J36="√",J34,"")&amp;"倾向")</f>
        <v/>
      </c>
      <c r="F39" s="165"/>
      <c r="G39" s="165"/>
      <c r="H39" s="165"/>
      <c r="I39" s="165"/>
      <c r="J39" s="165"/>
    </row>
    <row r="40" spans="1:10" ht="14.25" customHeight="1" x14ac:dyDescent="0.2">
      <c r="A40" s="178"/>
      <c r="B40" s="179"/>
      <c r="C40" s="179"/>
      <c r="D40" s="179"/>
      <c r="E40" s="165" t="str">
        <f>IF(AND(E37="",I37=""),"","◆ 中层副职存在"&amp;IF(E37="√",E34,"")&amp;" "&amp;IF(I37="√",I34,"")&amp;"倾向")</f>
        <v/>
      </c>
      <c r="F40" s="165"/>
      <c r="G40" s="165"/>
      <c r="H40" s="165"/>
      <c r="I40" s="165"/>
      <c r="J40" s="165"/>
    </row>
  </sheetData>
  <mergeCells count="98">
    <mergeCell ref="G32:H32"/>
    <mergeCell ref="G27:H27"/>
    <mergeCell ref="G28:H28"/>
    <mergeCell ref="G29:H29"/>
    <mergeCell ref="G30:H30"/>
    <mergeCell ref="G31:H31"/>
    <mergeCell ref="G22:H22"/>
    <mergeCell ref="G23:H23"/>
    <mergeCell ref="G24:H24"/>
    <mergeCell ref="G25:H25"/>
    <mergeCell ref="G26:H26"/>
    <mergeCell ref="G17:H17"/>
    <mergeCell ref="G18:H18"/>
    <mergeCell ref="G19:H19"/>
    <mergeCell ref="G20:H20"/>
    <mergeCell ref="G21:H21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A22:B24"/>
    <mergeCell ref="A25:B26"/>
    <mergeCell ref="A27:B32"/>
    <mergeCell ref="C29:D29"/>
    <mergeCell ref="C30:D30"/>
    <mergeCell ref="C31:D31"/>
    <mergeCell ref="C32:D32"/>
    <mergeCell ref="C24:D24"/>
    <mergeCell ref="C25:D25"/>
    <mergeCell ref="C26:D26"/>
    <mergeCell ref="C27:D27"/>
    <mergeCell ref="C28:D28"/>
    <mergeCell ref="A1:J1"/>
    <mergeCell ref="A3:J3"/>
    <mergeCell ref="A4:D4"/>
    <mergeCell ref="E4:G4"/>
    <mergeCell ref="A10:J10"/>
    <mergeCell ref="I2:J2"/>
    <mergeCell ref="F2:G2"/>
    <mergeCell ref="I4:J4"/>
    <mergeCell ref="A5:D5"/>
    <mergeCell ref="E5:G5"/>
    <mergeCell ref="I5:J5"/>
    <mergeCell ref="I6:J6"/>
    <mergeCell ref="I8:J8"/>
    <mergeCell ref="I9:J9"/>
    <mergeCell ref="A6:D8"/>
    <mergeCell ref="F6:G6"/>
    <mergeCell ref="D15:J15"/>
    <mergeCell ref="F7:G7"/>
    <mergeCell ref="F8:G8"/>
    <mergeCell ref="A9:D9"/>
    <mergeCell ref="E9:G9"/>
    <mergeCell ref="I7:J7"/>
    <mergeCell ref="E20:F20"/>
    <mergeCell ref="E21:F21"/>
    <mergeCell ref="E32:F32"/>
    <mergeCell ref="A33:J33"/>
    <mergeCell ref="A16:J16"/>
    <mergeCell ref="A17:D17"/>
    <mergeCell ref="E17:F17"/>
    <mergeCell ref="E18:F18"/>
    <mergeCell ref="E19:F19"/>
    <mergeCell ref="C18:D18"/>
    <mergeCell ref="C19:D19"/>
    <mergeCell ref="C20:D20"/>
    <mergeCell ref="C21:D21"/>
    <mergeCell ref="C22:D22"/>
    <mergeCell ref="C23:D23"/>
    <mergeCell ref="A18:B21"/>
    <mergeCell ref="A34:D34"/>
    <mergeCell ref="E34:F34"/>
    <mergeCell ref="A35:D35"/>
    <mergeCell ref="E35:F35"/>
    <mergeCell ref="A36:D36"/>
    <mergeCell ref="E36:F36"/>
    <mergeCell ref="A2:C2"/>
    <mergeCell ref="E39:J39"/>
    <mergeCell ref="A12:C12"/>
    <mergeCell ref="A11:C11"/>
    <mergeCell ref="A13:C13"/>
    <mergeCell ref="A14:C14"/>
    <mergeCell ref="A15:C15"/>
    <mergeCell ref="D11:J11"/>
    <mergeCell ref="D12:J12"/>
    <mergeCell ref="D13:J13"/>
    <mergeCell ref="D14:J14"/>
    <mergeCell ref="A37:D37"/>
    <mergeCell ref="E37:F37"/>
    <mergeCell ref="A38:D40"/>
    <mergeCell ref="E38:J38"/>
    <mergeCell ref="E40:J40"/>
  </mergeCells>
  <phoneticPr fontId="3" type="noConversion"/>
  <dataValidations count="1">
    <dataValidation type="list" allowBlank="1" showInputMessage="1" showErrorMessage="1" sqref="D2" xr:uid="{6B3CA802-21B7-4A04-9BAF-454246CAC9BD}">
      <formula1>首行</formula1>
    </dataValidation>
  </dataValidations>
  <hyperlinks>
    <hyperlink ref="K1" location="'0-使用说明'!D1" display="'0-使用说明'!D1" xr:uid="{A2EDC9FB-04B9-4FB1-830F-1D5C98A45EB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35</vt:i4>
      </vt:variant>
    </vt:vector>
  </HeadingPairs>
  <TitlesOfParts>
    <vt:vector size="48" baseType="lpstr">
      <vt:lpstr>0-使用说明</vt:lpstr>
      <vt:lpstr>1-1 基本信息</vt:lpstr>
      <vt:lpstr>Sheet9</vt:lpstr>
      <vt:lpstr>1-2-1 绩效数据</vt:lpstr>
      <vt:lpstr>1-2-2 关键绩效</vt:lpstr>
      <vt:lpstr>1-3 关键能力得分</vt:lpstr>
      <vt:lpstr>1-4 关键专业</vt:lpstr>
      <vt:lpstr>1-5-2 关键经历得分汇总表</vt:lpstr>
      <vt:lpstr>1-5-1 关键经历积分对应表</vt:lpstr>
      <vt:lpstr>1-5-2 关键经历得分表</vt:lpstr>
      <vt:lpstr>1-6 风险因素</vt:lpstr>
      <vt:lpstr>2-个人报告</vt:lpstr>
      <vt:lpstr>3-团队报告</vt:lpstr>
      <vt:lpstr>安全环保部</vt:lpstr>
      <vt:lpstr>财务资产部</vt:lpstr>
      <vt:lpstr>采气二厂</vt:lpstr>
      <vt:lpstr>采气一厂</vt:lpstr>
      <vt:lpstr>采油气工程服务中心</vt:lpstr>
      <vt:lpstr>采油一厂</vt:lpstr>
      <vt:lpstr>层级</vt:lpstr>
      <vt:lpstr>党委办公室</vt:lpstr>
      <vt:lpstr>党委宣传部</vt:lpstr>
      <vt:lpstr>档案管理中心</vt:lpstr>
      <vt:lpstr>概预算中心</vt:lpstr>
      <vt:lpstr>工程技术管理部</vt:lpstr>
      <vt:lpstr>工会</vt:lpstr>
      <vt:lpstr>纪委监督部</vt:lpstr>
      <vt:lpstr>勘探开发研究院</vt:lpstr>
      <vt:lpstr>科技管理部</vt:lpstr>
      <vt:lpstr>培训中心_党校</vt:lpstr>
      <vt:lpstr>企管与法律部</vt:lpstr>
      <vt:lpstr>人力资源部</vt:lpstr>
      <vt:lpstr>设备管理部</vt:lpstr>
      <vt:lpstr>审计部</vt:lpstr>
      <vt:lpstr>生产运行管理部</vt:lpstr>
      <vt:lpstr>石油工程技术研究院</vt:lpstr>
      <vt:lpstr>石油工程监督中心</vt:lpstr>
      <vt:lpstr>首行</vt:lpstr>
      <vt:lpstr>投资发展部</vt:lpstr>
      <vt:lpstr>物资供应中心</vt:lpstr>
      <vt:lpstr>新乡社区管理服务中心</vt:lpstr>
      <vt:lpstr>信息化管理中心</vt:lpstr>
      <vt:lpstr>油地工作保卫部</vt:lpstr>
      <vt:lpstr>油气开发管理部</vt:lpstr>
      <vt:lpstr>油气勘探管理部</vt:lpstr>
      <vt:lpstr>油气销售中心</vt:lpstr>
      <vt:lpstr>郑州社区管理服务中心</vt:lpstr>
      <vt:lpstr>总经理办公室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Acetale</dc:creator>
  <cp:lastModifiedBy>Administrator</cp:lastModifiedBy>
  <dcterms:created xsi:type="dcterms:W3CDTF">2015-06-05T18:19:34Z</dcterms:created>
  <dcterms:modified xsi:type="dcterms:W3CDTF">2021-12-13T06:27:20Z</dcterms:modified>
</cp:coreProperties>
</file>